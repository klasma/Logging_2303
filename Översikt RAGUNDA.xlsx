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46041</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46041</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46041</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46041</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41415-2024</t>
        </is>
      </c>
      <c r="B10" s="1" t="n">
        <v>45560.34532407407</v>
      </c>
      <c r="C10" s="1" t="n">
        <v>46041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46041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46041</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46041</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46041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46041</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46041</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46041</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59762-2024</t>
        </is>
      </c>
      <c r="B18" s="1" t="n">
        <v>45639.55269675926</v>
      </c>
      <c r="C18" s="1" t="n">
        <v>46041</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46041</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46041</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46041</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46041</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46041</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46041</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32741-2025</t>
        </is>
      </c>
      <c r="B25" s="1" t="n">
        <v>45839.42482638889</v>
      </c>
      <c r="C25" s="1" t="n">
        <v>46041</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31839-2022</t>
        </is>
      </c>
      <c r="B26" s="1" t="n">
        <v>44776</v>
      </c>
      <c r="C26" s="1" t="n">
        <v>46041</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9347-2024</t>
        </is>
      </c>
      <c r="B27" s="1" t="n">
        <v>45358.99375</v>
      </c>
      <c r="C27" s="1" t="n">
        <v>46041</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25632-2025</t>
        </is>
      </c>
      <c r="B28" s="1" t="n">
        <v>45803.59474537037</v>
      </c>
      <c r="C28" s="1" t="n">
        <v>46041</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46041</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46041</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10982-2025</t>
        </is>
      </c>
      <c r="B31" s="1" t="n">
        <v>45723.40688657408</v>
      </c>
      <c r="C31" s="1" t="n">
        <v>46041</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4591-2024</t>
        </is>
      </c>
      <c r="B32" s="1" t="n">
        <v>45327</v>
      </c>
      <c r="C32" s="1" t="n">
        <v>46041</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55894-2022</t>
        </is>
      </c>
      <c r="B33" s="1" t="n">
        <v>44888</v>
      </c>
      <c r="C33" s="1" t="n">
        <v>46041</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13483-2022</t>
        </is>
      </c>
      <c r="B34" s="1" t="n">
        <v>44645.99859953704</v>
      </c>
      <c r="C34" s="1" t="n">
        <v>46041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62948-2021</t>
        </is>
      </c>
      <c r="B35" s="1" t="n">
        <v>44504</v>
      </c>
      <c r="C35" s="1" t="n">
        <v>46041</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12372-2024</t>
        </is>
      </c>
      <c r="B36" s="1" t="n">
        <v>45378</v>
      </c>
      <c r="C36" s="1" t="n">
        <v>46041</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58876-2025</t>
        </is>
      </c>
      <c r="B37" s="1" t="n">
        <v>45987.46929398148</v>
      </c>
      <c r="C37" s="1" t="n">
        <v>46041</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42393-2025</t>
        </is>
      </c>
      <c r="B38" s="1" t="n">
        <v>45905</v>
      </c>
      <c r="C38" s="1" t="n">
        <v>46041</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32068-2024</t>
        </is>
      </c>
      <c r="B39" s="1" t="n">
        <v>45510</v>
      </c>
      <c r="C39" s="1" t="n">
        <v>46041</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46041</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33822-2023</t>
        </is>
      </c>
      <c r="B41" s="1" t="n">
        <v>45121</v>
      </c>
      <c r="C41" s="1" t="n">
        <v>46041</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45190.96092592592</v>
      </c>
      <c r="C42" s="1" t="n">
        <v>46041</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4146-2025</t>
        </is>
      </c>
      <c r="B43" s="1" t="n">
        <v>45685.36501157407</v>
      </c>
      <c r="C43" s="1" t="n">
        <v>46041</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46041</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46041</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30876-2025</t>
        </is>
      </c>
      <c r="B46" s="1" t="n">
        <v>45832.34461805555</v>
      </c>
      <c r="C46" s="1" t="n">
        <v>46041</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59107-2025</t>
        </is>
      </c>
      <c r="B47" s="1" t="n">
        <v>45988.46924768519</v>
      </c>
      <c r="C47" s="1" t="n">
        <v>46041</v>
      </c>
      <c r="D47" t="inlineStr">
        <is>
          <t>JÄMTLANDS LÄN</t>
        </is>
      </c>
      <c r="E47" t="inlineStr">
        <is>
          <t>RAGUNDA</t>
        </is>
      </c>
      <c r="F47" t="inlineStr">
        <is>
          <t>SCA</t>
        </is>
      </c>
      <c r="G47" t="n">
        <v>22.6</v>
      </c>
      <c r="H47" t="n">
        <v>1</v>
      </c>
      <c r="I47" t="n">
        <v>4</v>
      </c>
      <c r="J47" t="n">
        <v>4</v>
      </c>
      <c r="K47" t="n">
        <v>0</v>
      </c>
      <c r="L47" t="n">
        <v>0</v>
      </c>
      <c r="M47" t="n">
        <v>0</v>
      </c>
      <c r="N47" t="n">
        <v>0</v>
      </c>
      <c r="O47" t="n">
        <v>4</v>
      </c>
      <c r="P47" t="n">
        <v>0</v>
      </c>
      <c r="Q47" t="n">
        <v>8</v>
      </c>
      <c r="R47" s="2" t="inlineStr">
        <is>
          <t>Garnlav
Lunglav
Skrovellav
Tretåig hackspett
Bårdlav
Luddlav
Skinnlav
Stuplav</t>
        </is>
      </c>
      <c r="S47">
        <f>HYPERLINK("https://klasma.github.io/Logging_2303/artfynd/A 59107-2025 artfynd.xlsx", "A 59107-2025")</f>
        <v/>
      </c>
      <c r="T47">
        <f>HYPERLINK("https://klasma.github.io/Logging_2303/kartor/A 59107-2025 karta.png", "A 59107-2025")</f>
        <v/>
      </c>
      <c r="V47">
        <f>HYPERLINK("https://klasma.github.io/Logging_2303/klagomål/A 59107-2025 FSC-klagomål.docx", "A 59107-2025")</f>
        <v/>
      </c>
      <c r="W47">
        <f>HYPERLINK("https://klasma.github.io/Logging_2303/klagomålsmail/A 59107-2025 FSC-klagomål mail.docx", "A 59107-2025")</f>
        <v/>
      </c>
      <c r="X47">
        <f>HYPERLINK("https://klasma.github.io/Logging_2303/tillsyn/A 59107-2025 tillsynsbegäran.docx", "A 59107-2025")</f>
        <v/>
      </c>
      <c r="Y47">
        <f>HYPERLINK("https://klasma.github.io/Logging_2303/tillsynsmail/A 59107-2025 tillsynsbegäran mail.docx", "A 59107-2025")</f>
        <v/>
      </c>
      <c r="Z47">
        <f>HYPERLINK("https://klasma.github.io/Logging_2303/fåglar/A 59107-2025 prioriterade fågelarter.docx", "A 59107-2025")</f>
        <v/>
      </c>
    </row>
    <row r="48" ht="15" customHeight="1">
      <c r="A48" t="inlineStr">
        <is>
          <t>A 60129-2025</t>
        </is>
      </c>
      <c r="B48" s="1" t="n">
        <v>45994.34461805555</v>
      </c>
      <c r="C48" s="1" t="n">
        <v>46041</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51037-2025</t>
        </is>
      </c>
      <c r="B49" s="1" t="n">
        <v>45947.40729166667</v>
      </c>
      <c r="C49" s="1" t="n">
        <v>46041</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62738-2025</t>
        </is>
      </c>
      <c r="B50" s="1" t="n">
        <v>46008.57341435185</v>
      </c>
      <c r="C50" s="1" t="n">
        <v>46041</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46041</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3634-2024</t>
        </is>
      </c>
      <c r="B52" s="1" t="n">
        <v>45320</v>
      </c>
      <c r="C52" s="1" t="n">
        <v>46041</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24732-2025</t>
        </is>
      </c>
      <c r="B53" s="1" t="n">
        <v>45799.34421296296</v>
      </c>
      <c r="C53" s="1" t="n">
        <v>46041</v>
      </c>
      <c r="D53" t="inlineStr">
        <is>
          <t>JÄMTLANDS LÄN</t>
        </is>
      </c>
      <c r="E53" t="inlineStr">
        <is>
          <t>RAGUNDA</t>
        </is>
      </c>
      <c r="F53" t="inlineStr">
        <is>
          <t>SCA</t>
        </is>
      </c>
      <c r="G53" t="n">
        <v>16.2</v>
      </c>
      <c r="H53" t="n">
        <v>1</v>
      </c>
      <c r="I53" t="n">
        <v>3</v>
      </c>
      <c r="J53" t="n">
        <v>4</v>
      </c>
      <c r="K53" t="n">
        <v>1</v>
      </c>
      <c r="L53" t="n">
        <v>0</v>
      </c>
      <c r="M53" t="n">
        <v>0</v>
      </c>
      <c r="N53" t="n">
        <v>0</v>
      </c>
      <c r="O53" t="n">
        <v>5</v>
      </c>
      <c r="P53" t="n">
        <v>1</v>
      </c>
      <c r="Q53" t="n">
        <v>8</v>
      </c>
      <c r="R53" s="2" t="inlineStr">
        <is>
          <t>Knärot
Gammelgransskål
Garnlav
Lunglav
Vitgrynig nållav
Bollvitmossa
Skarp dropptaggsvamp
Svavelriska</t>
        </is>
      </c>
      <c r="S53">
        <f>HYPERLINK("https://klasma.github.io/Logging_2303/artfynd/A 24732-2025 artfynd.xlsx", "A 24732-2025")</f>
        <v/>
      </c>
      <c r="T53">
        <f>HYPERLINK("https://klasma.github.io/Logging_2303/kartor/A 24732-2025 karta.png", "A 24732-2025")</f>
        <v/>
      </c>
      <c r="U53">
        <f>HYPERLINK("https://klasma.github.io/Logging_2303/knärot/A 24732-2025 karta knärot.png", "A 24732-2025")</f>
        <v/>
      </c>
      <c r="V53">
        <f>HYPERLINK("https://klasma.github.io/Logging_2303/klagomål/A 24732-2025 FSC-klagomål.docx", "A 24732-2025")</f>
        <v/>
      </c>
      <c r="W53">
        <f>HYPERLINK("https://klasma.github.io/Logging_2303/klagomålsmail/A 24732-2025 FSC-klagomål mail.docx", "A 24732-2025")</f>
        <v/>
      </c>
      <c r="X53">
        <f>HYPERLINK("https://klasma.github.io/Logging_2303/tillsyn/A 24732-2025 tillsynsbegäran.docx", "A 24732-2025")</f>
        <v/>
      </c>
      <c r="Y53">
        <f>HYPERLINK("https://klasma.github.io/Logging_2303/tillsynsmail/A 24732-2025 tillsynsbegäran mail.docx", "A 24732-2025")</f>
        <v/>
      </c>
    </row>
    <row r="54" ht="15" customHeight="1">
      <c r="A54" t="inlineStr">
        <is>
          <t>A 30335-2025</t>
        </is>
      </c>
      <c r="B54" s="1" t="n">
        <v>45827.5110300926</v>
      </c>
      <c r="C54" s="1" t="n">
        <v>46041</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15665-2022</t>
        </is>
      </c>
      <c r="B55" s="1" t="n">
        <v>44662</v>
      </c>
      <c r="C55" s="1" t="n">
        <v>46041</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46041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24169-2021</t>
        </is>
      </c>
      <c r="B57" s="1" t="n">
        <v>44336</v>
      </c>
      <c r="C57" s="1" t="n">
        <v>46041</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46041</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46041</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41929-2023</t>
        </is>
      </c>
      <c r="B60" s="1" t="n">
        <v>45176</v>
      </c>
      <c r="C60" s="1" t="n">
        <v>46041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46041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61386-2022</t>
        </is>
      </c>
      <c r="B62" s="1" t="n">
        <v>44915</v>
      </c>
      <c r="C62" s="1" t="n">
        <v>46041</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46041</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46041</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33806-2023</t>
        </is>
      </c>
      <c r="B65" s="1" t="n">
        <v>45121</v>
      </c>
      <c r="C65" s="1" t="n">
        <v>46041</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26750-2025</t>
        </is>
      </c>
      <c r="B66" s="1" t="n">
        <v>45810.55061342593</v>
      </c>
      <c r="C66" s="1" t="n">
        <v>46041</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19399-2025</t>
        </is>
      </c>
      <c r="B67" s="1" t="n">
        <v>45769.67740740741</v>
      </c>
      <c r="C67" s="1" t="n">
        <v>46041</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36276-2025</t>
        </is>
      </c>
      <c r="B68" s="1" t="n">
        <v>45867.63619212963</v>
      </c>
      <c r="C68" s="1" t="n">
        <v>46041</v>
      </c>
      <c r="D68" t="inlineStr">
        <is>
          <t>JÄMTLANDS LÄN</t>
        </is>
      </c>
      <c r="E68" t="inlineStr">
        <is>
          <t>RAGUNDA</t>
        </is>
      </c>
      <c r="F68" t="inlineStr">
        <is>
          <t>SCA</t>
        </is>
      </c>
      <c r="G68" t="n">
        <v>3.2</v>
      </c>
      <c r="H68" t="n">
        <v>1</v>
      </c>
      <c r="I68" t="n">
        <v>2</v>
      </c>
      <c r="J68" t="n">
        <v>3</v>
      </c>
      <c r="K68" t="n">
        <v>1</v>
      </c>
      <c r="L68" t="n">
        <v>0</v>
      </c>
      <c r="M68" t="n">
        <v>0</v>
      </c>
      <c r="N68" t="n">
        <v>0</v>
      </c>
      <c r="O68" t="n">
        <v>4</v>
      </c>
      <c r="P68" t="n">
        <v>1</v>
      </c>
      <c r="Q68" t="n">
        <v>6</v>
      </c>
      <c r="R68" s="2" t="inlineStr">
        <is>
          <t>Knärot
Garnlav
Lunglav
Ullticka
Grovticka
Stuplav</t>
        </is>
      </c>
      <c r="S68">
        <f>HYPERLINK("https://klasma.github.io/Logging_2303/artfynd/A 36276-2025 artfynd.xlsx", "A 36276-2025")</f>
        <v/>
      </c>
      <c r="T68">
        <f>HYPERLINK("https://klasma.github.io/Logging_2303/kartor/A 36276-2025 karta.png", "A 36276-2025")</f>
        <v/>
      </c>
      <c r="U68">
        <f>HYPERLINK("https://klasma.github.io/Logging_2303/knärot/A 36276-2025 karta knärot.png", "A 36276-2025")</f>
        <v/>
      </c>
      <c r="V68">
        <f>HYPERLINK("https://klasma.github.io/Logging_2303/klagomål/A 36276-2025 FSC-klagomål.docx", "A 36276-2025")</f>
        <v/>
      </c>
      <c r="W68">
        <f>HYPERLINK("https://klasma.github.io/Logging_2303/klagomålsmail/A 36276-2025 FSC-klagomål mail.docx", "A 36276-2025")</f>
        <v/>
      </c>
      <c r="X68">
        <f>HYPERLINK("https://klasma.github.io/Logging_2303/tillsyn/A 36276-2025 tillsynsbegäran.docx", "A 36276-2025")</f>
        <v/>
      </c>
      <c r="Y68">
        <f>HYPERLINK("https://klasma.github.io/Logging_2303/tillsynsmail/A 36276-2025 tillsynsbegäran mail.docx", "A 36276-2025")</f>
        <v/>
      </c>
    </row>
    <row r="69" ht="15" customHeight="1">
      <c r="A69" t="inlineStr">
        <is>
          <t>A 39973-2025</t>
        </is>
      </c>
      <c r="B69" s="1" t="n">
        <v>45893.38584490741</v>
      </c>
      <c r="C69" s="1" t="n">
        <v>46041</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47115-2025</t>
        </is>
      </c>
      <c r="B70" s="1" t="n">
        <v>45929</v>
      </c>
      <c r="C70" s="1" t="n">
        <v>46041</v>
      </c>
      <c r="D70" t="inlineStr">
        <is>
          <t>JÄMTLANDS LÄN</t>
        </is>
      </c>
      <c r="E70" t="inlineStr">
        <is>
          <t>RAGUNDA</t>
        </is>
      </c>
      <c r="G70" t="n">
        <v>6.4</v>
      </c>
      <c r="H70" t="n">
        <v>4</v>
      </c>
      <c r="I70" t="n">
        <v>0</v>
      </c>
      <c r="J70" t="n">
        <v>3</v>
      </c>
      <c r="K70" t="n">
        <v>2</v>
      </c>
      <c r="L70" t="n">
        <v>0</v>
      </c>
      <c r="M70" t="n">
        <v>0</v>
      </c>
      <c r="N70" t="n">
        <v>0</v>
      </c>
      <c r="O70" t="n">
        <v>5</v>
      </c>
      <c r="P70" t="n">
        <v>2</v>
      </c>
      <c r="Q70" t="n">
        <v>6</v>
      </c>
      <c r="R70" s="2" t="inlineStr">
        <is>
          <t>Doftticka
Knärot
Garnlav
Lunglav
Tretåig hackspett
Lavskrika</t>
        </is>
      </c>
      <c r="S70">
        <f>HYPERLINK("https://klasma.github.io/Logging_2303/artfynd/A 47115-2025 artfynd.xlsx", "A 47115-2025")</f>
        <v/>
      </c>
      <c r="T70">
        <f>HYPERLINK("https://klasma.github.io/Logging_2303/kartor/A 47115-2025 karta.png", "A 47115-2025")</f>
        <v/>
      </c>
      <c r="U70">
        <f>HYPERLINK("https://klasma.github.io/Logging_2303/knärot/A 47115-2025 karta knärot.png", "A 47115-2025")</f>
        <v/>
      </c>
      <c r="V70">
        <f>HYPERLINK("https://klasma.github.io/Logging_2303/klagomål/A 47115-2025 FSC-klagomål.docx", "A 47115-2025")</f>
        <v/>
      </c>
      <c r="W70">
        <f>HYPERLINK("https://klasma.github.io/Logging_2303/klagomålsmail/A 47115-2025 FSC-klagomål mail.docx", "A 47115-2025")</f>
        <v/>
      </c>
      <c r="X70">
        <f>HYPERLINK("https://klasma.github.io/Logging_2303/tillsyn/A 47115-2025 tillsynsbegäran.docx", "A 47115-2025")</f>
        <v/>
      </c>
      <c r="Y70">
        <f>HYPERLINK("https://klasma.github.io/Logging_2303/tillsynsmail/A 47115-2025 tillsynsbegäran mail.docx", "A 47115-2025")</f>
        <v/>
      </c>
      <c r="Z70">
        <f>HYPERLINK("https://klasma.github.io/Logging_2303/fåglar/A 47115-2025 prioriterade fågelarter.docx", "A 47115-2025")</f>
        <v/>
      </c>
    </row>
    <row r="71" ht="15" customHeight="1">
      <c r="A71" t="inlineStr">
        <is>
          <t>A 2193-2026</t>
        </is>
      </c>
      <c r="B71" s="1" t="n">
        <v>46036.46946759259</v>
      </c>
      <c r="C71" s="1" t="n">
        <v>46041</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34317-2025</t>
        </is>
      </c>
      <c r="B72" s="1" t="n">
        <v>45846.41361111111</v>
      </c>
      <c r="C72" s="1" t="n">
        <v>46041</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55646-2023</t>
        </is>
      </c>
      <c r="B73" s="1" t="n">
        <v>45238</v>
      </c>
      <c r="C73" s="1" t="n">
        <v>46041</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30637-2024</t>
        </is>
      </c>
      <c r="B74" s="1" t="n">
        <v>45495.56244212963</v>
      </c>
      <c r="C74" s="1" t="n">
        <v>46041</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27322-2024</t>
        </is>
      </c>
      <c r="B75" s="1" t="n">
        <v>45471.94783564815</v>
      </c>
      <c r="C75" s="1" t="n">
        <v>46041</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49291-2025</t>
        </is>
      </c>
      <c r="B76" s="1" t="n">
        <v>45938.53188657408</v>
      </c>
      <c r="C76" s="1" t="n">
        <v>46041</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53021-2022</t>
        </is>
      </c>
      <c r="B77" s="1" t="n">
        <v>44875</v>
      </c>
      <c r="C77" s="1" t="n">
        <v>46041</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933-2023</t>
        </is>
      </c>
      <c r="B78" s="1" t="n">
        <v>44932</v>
      </c>
      <c r="C78" s="1" t="n">
        <v>46041</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46041</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46041</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46041</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30884-2025</t>
        </is>
      </c>
      <c r="B82" s="1" t="n">
        <v>45832.34564814815</v>
      </c>
      <c r="C82" s="1" t="n">
        <v>46041</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19402-2025</t>
        </is>
      </c>
      <c r="B83" s="1" t="n">
        <v>45769.67778935185</v>
      </c>
      <c r="C83" s="1" t="n">
        <v>46041</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21037-2021</t>
        </is>
      </c>
      <c r="B84" s="1" t="n">
        <v>44319</v>
      </c>
      <c r="C84" s="1" t="n">
        <v>46041</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46041</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60683-2022</t>
        </is>
      </c>
      <c r="B86" s="1" t="n">
        <v>44911</v>
      </c>
      <c r="C86" s="1" t="n">
        <v>46041</v>
      </c>
      <c r="D86" t="inlineStr">
        <is>
          <t>JÄMTLANDS LÄN</t>
        </is>
      </c>
      <c r="E86" t="inlineStr">
        <is>
          <t>RAGUNDA</t>
        </is>
      </c>
      <c r="F86" t="inlineStr">
        <is>
          <t>SCA</t>
        </is>
      </c>
      <c r="G86" t="n">
        <v>2.4</v>
      </c>
      <c r="H86" t="n">
        <v>2</v>
      </c>
      <c r="I86" t="n">
        <v>2</v>
      </c>
      <c r="J86" t="n">
        <v>1</v>
      </c>
      <c r="K86" t="n">
        <v>0</v>
      </c>
      <c r="L86" t="n">
        <v>0</v>
      </c>
      <c r="M86" t="n">
        <v>0</v>
      </c>
      <c r="N86" t="n">
        <v>0</v>
      </c>
      <c r="O86" t="n">
        <v>1</v>
      </c>
      <c r="P86" t="n">
        <v>0</v>
      </c>
      <c r="Q86" t="n">
        <v>5</v>
      </c>
      <c r="R86" s="2" t="inlineStr">
        <is>
          <t>Granticka
Blodticka
Diskvaxskivling
Fläcknycklar
Blåsippa</t>
        </is>
      </c>
      <c r="S86">
        <f>HYPERLINK("https://klasma.github.io/Logging_2303/artfynd/A 60683-2022 artfynd.xlsx", "A 60683-2022")</f>
        <v/>
      </c>
      <c r="T86">
        <f>HYPERLINK("https://klasma.github.io/Logging_2303/kartor/A 60683-2022 karta.png", "A 60683-2022")</f>
        <v/>
      </c>
      <c r="V86">
        <f>HYPERLINK("https://klasma.github.io/Logging_2303/klagomål/A 60683-2022 FSC-klagomål.docx", "A 60683-2022")</f>
        <v/>
      </c>
      <c r="W86">
        <f>HYPERLINK("https://klasma.github.io/Logging_2303/klagomålsmail/A 60683-2022 FSC-klagomål mail.docx", "A 60683-2022")</f>
        <v/>
      </c>
      <c r="X86">
        <f>HYPERLINK("https://klasma.github.io/Logging_2303/tillsyn/A 60683-2022 tillsynsbegäran.docx", "A 60683-2022")</f>
        <v/>
      </c>
      <c r="Y86">
        <f>HYPERLINK("https://klasma.github.io/Logging_2303/tillsynsmail/A 60683-2022 tillsynsbegäran mail.docx", "A 60683-2022")</f>
        <v/>
      </c>
    </row>
    <row r="87" ht="15" customHeight="1">
      <c r="A87" t="inlineStr">
        <is>
          <t>A 39974-2025</t>
        </is>
      </c>
      <c r="B87" s="1" t="n">
        <v>45893.38599537037</v>
      </c>
      <c r="C87" s="1" t="n">
        <v>46041</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15379-2024</t>
        </is>
      </c>
      <c r="B88" s="1" t="n">
        <v>45400.94002314815</v>
      </c>
      <c r="C88" s="1" t="n">
        <v>46041</v>
      </c>
      <c r="D88" t="inlineStr">
        <is>
          <t>JÄMTLANDS LÄN</t>
        </is>
      </c>
      <c r="E88" t="inlineStr">
        <is>
          <t>RAGUNDA</t>
        </is>
      </c>
      <c r="F88" t="inlineStr">
        <is>
          <t>SCA</t>
        </is>
      </c>
      <c r="G88" t="n">
        <v>4.2</v>
      </c>
      <c r="H88" t="n">
        <v>3</v>
      </c>
      <c r="I88" t="n">
        <v>3</v>
      </c>
      <c r="J88" t="n">
        <v>0</v>
      </c>
      <c r="K88" t="n">
        <v>1</v>
      </c>
      <c r="L88" t="n">
        <v>0</v>
      </c>
      <c r="M88" t="n">
        <v>0</v>
      </c>
      <c r="N88" t="n">
        <v>0</v>
      </c>
      <c r="O88" t="n">
        <v>1</v>
      </c>
      <c r="P88" t="n">
        <v>1</v>
      </c>
      <c r="Q88" t="n">
        <v>5</v>
      </c>
      <c r="R88" s="2" t="inlineStr">
        <is>
          <t>Knärot
Finbräken
Guckusko
Svavelriska
Blåsippa</t>
        </is>
      </c>
      <c r="S88">
        <f>HYPERLINK("https://klasma.github.io/Logging_2303/artfynd/A 15379-2024 artfynd.xlsx", "A 15379-2024")</f>
        <v/>
      </c>
      <c r="T88">
        <f>HYPERLINK("https://klasma.github.io/Logging_2303/kartor/A 15379-2024 karta.png", "A 15379-2024")</f>
        <v/>
      </c>
      <c r="U88">
        <f>HYPERLINK("https://klasma.github.io/Logging_2303/knärot/A 15379-2024 karta knärot.png", "A 15379-2024")</f>
        <v/>
      </c>
      <c r="V88">
        <f>HYPERLINK("https://klasma.github.io/Logging_2303/klagomål/A 15379-2024 FSC-klagomål.docx", "A 15379-2024")</f>
        <v/>
      </c>
      <c r="W88">
        <f>HYPERLINK("https://klasma.github.io/Logging_2303/klagomålsmail/A 15379-2024 FSC-klagomål mail.docx", "A 15379-2024")</f>
        <v/>
      </c>
      <c r="X88">
        <f>HYPERLINK("https://klasma.github.io/Logging_2303/tillsyn/A 15379-2024 tillsynsbegäran.docx", "A 15379-2024")</f>
        <v/>
      </c>
      <c r="Y88">
        <f>HYPERLINK("https://klasma.github.io/Logging_2303/tillsynsmail/A 15379-2024 tillsynsbegäran mail.docx", "A 15379-2024")</f>
        <v/>
      </c>
    </row>
    <row r="89" ht="15" customHeight="1">
      <c r="A89" t="inlineStr">
        <is>
          <t>A 13266-2023</t>
        </is>
      </c>
      <c r="B89" s="1" t="n">
        <v>45002.94356481481</v>
      </c>
      <c r="C89" s="1" t="n">
        <v>46041</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57073-2023</t>
        </is>
      </c>
      <c r="B90" s="1" t="n">
        <v>45244</v>
      </c>
      <c r="C90" s="1" t="n">
        <v>46041</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Aspgelélav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22469-2024</t>
        </is>
      </c>
      <c r="B91" s="1" t="n">
        <v>45446.95087962963</v>
      </c>
      <c r="C91" s="1" t="n">
        <v>46041</v>
      </c>
      <c r="D91" t="inlineStr">
        <is>
          <t>JÄMTLANDS LÄN</t>
        </is>
      </c>
      <c r="E91" t="inlineStr">
        <is>
          <t>RAGUNDA</t>
        </is>
      </c>
      <c r="F91" t="inlineStr">
        <is>
          <t>SCA</t>
        </is>
      </c>
      <c r="G91" t="n">
        <v>5.2</v>
      </c>
      <c r="H91" t="n">
        <v>1</v>
      </c>
      <c r="I91" t="n">
        <v>2</v>
      </c>
      <c r="J91" t="n">
        <v>3</v>
      </c>
      <c r="K91" t="n">
        <v>0</v>
      </c>
      <c r="L91" t="n">
        <v>0</v>
      </c>
      <c r="M91" t="n">
        <v>0</v>
      </c>
      <c r="N91" t="n">
        <v>0</v>
      </c>
      <c r="O91" t="n">
        <v>3</v>
      </c>
      <c r="P91" t="n">
        <v>0</v>
      </c>
      <c r="Q91" t="n">
        <v>5</v>
      </c>
      <c r="R91" s="2" t="inlineStr">
        <is>
          <t>Gammelgransskål
Garnlav
Lunglav
Gytterlav
Tvåblad</t>
        </is>
      </c>
      <c r="S91">
        <f>HYPERLINK("https://klasma.github.io/Logging_2303/artfynd/A 22469-2024 artfynd.xlsx", "A 22469-2024")</f>
        <v/>
      </c>
      <c r="T91">
        <f>HYPERLINK("https://klasma.github.io/Logging_2303/kartor/A 22469-2024 karta.png", "A 22469-2024")</f>
        <v/>
      </c>
      <c r="V91">
        <f>HYPERLINK("https://klasma.github.io/Logging_2303/klagomål/A 22469-2024 FSC-klagomål.docx", "A 22469-2024")</f>
        <v/>
      </c>
      <c r="W91">
        <f>HYPERLINK("https://klasma.github.io/Logging_2303/klagomålsmail/A 22469-2024 FSC-klagomål mail.docx", "A 22469-2024")</f>
        <v/>
      </c>
      <c r="X91">
        <f>HYPERLINK("https://klasma.github.io/Logging_2303/tillsyn/A 22469-2024 tillsynsbegäran.docx", "A 22469-2024")</f>
        <v/>
      </c>
      <c r="Y91">
        <f>HYPERLINK("https://klasma.github.io/Logging_2303/tillsynsmail/A 22469-2024 tillsynsbegäran mail.docx", "A 22469-2024")</f>
        <v/>
      </c>
    </row>
    <row r="92" ht="15" customHeight="1">
      <c r="A92" t="inlineStr">
        <is>
          <t>A 45969-2023</t>
        </is>
      </c>
      <c r="B92" s="1" t="n">
        <v>45195</v>
      </c>
      <c r="C92" s="1" t="n">
        <v>46041</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39365-2024</t>
        </is>
      </c>
      <c r="B93" s="1" t="n">
        <v>45551.46912037037</v>
      </c>
      <c r="C93" s="1" t="n">
        <v>46041</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12024-2022</t>
        </is>
      </c>
      <c r="B94" s="1" t="n">
        <v>44635</v>
      </c>
      <c r="C94" s="1" t="n">
        <v>46041</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18629-2024</t>
        </is>
      </c>
      <c r="B95" s="1" t="n">
        <v>45425.96472222222</v>
      </c>
      <c r="C95" s="1" t="n">
        <v>46041</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46041</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27313-2024</t>
        </is>
      </c>
      <c r="B97" s="1" t="n">
        <v>45471.94623842592</v>
      </c>
      <c r="C97" s="1" t="n">
        <v>46041</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38169-2024</t>
        </is>
      </c>
      <c r="B98" s="1" t="n">
        <v>45545.45748842593</v>
      </c>
      <c r="C98" s="1" t="n">
        <v>46041</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15244-2025</t>
        </is>
      </c>
      <c r="B99" s="1" t="n">
        <v>45744.61550925926</v>
      </c>
      <c r="C99" s="1" t="n">
        <v>46041</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30886-2025</t>
        </is>
      </c>
      <c r="B100" s="1" t="n">
        <v>45832.34578703704</v>
      </c>
      <c r="C100" s="1" t="n">
        <v>46041</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35344-2025</t>
        </is>
      </c>
      <c r="B101" s="1" t="n">
        <v>45854.61494212963</v>
      </c>
      <c r="C101" s="1" t="n">
        <v>46041</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46041</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8636-2021</t>
        </is>
      </c>
      <c r="B103" s="1" t="n">
        <v>44245</v>
      </c>
      <c r="C103" s="1" t="n">
        <v>46041</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46041</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46041</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23682-2021</t>
        </is>
      </c>
      <c r="B106" s="1" t="n">
        <v>44334</v>
      </c>
      <c r="C106" s="1" t="n">
        <v>46041</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46041</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40653-2025</t>
        </is>
      </c>
      <c r="B108" s="1" t="n">
        <v>45896.63618055556</v>
      </c>
      <c r="C108" s="1" t="n">
        <v>46041</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60670-2022</t>
        </is>
      </c>
      <c r="B109" s="1" t="n">
        <v>44911</v>
      </c>
      <c r="C109" s="1" t="n">
        <v>46041</v>
      </c>
      <c r="D109" t="inlineStr">
        <is>
          <t>JÄMTLANDS LÄN</t>
        </is>
      </c>
      <c r="E109" t="inlineStr">
        <is>
          <t>RAGUNDA</t>
        </is>
      </c>
      <c r="F109" t="inlineStr">
        <is>
          <t>SCA</t>
        </is>
      </c>
      <c r="G109" t="n">
        <v>5.1</v>
      </c>
      <c r="H109" t="n">
        <v>0</v>
      </c>
      <c r="I109" t="n">
        <v>0</v>
      </c>
      <c r="J109" t="n">
        <v>4</v>
      </c>
      <c r="K109" t="n">
        <v>0</v>
      </c>
      <c r="L109" t="n">
        <v>0</v>
      </c>
      <c r="M109" t="n">
        <v>0</v>
      </c>
      <c r="N109" t="n">
        <v>0</v>
      </c>
      <c r="O109" t="n">
        <v>4</v>
      </c>
      <c r="P109" t="n">
        <v>0</v>
      </c>
      <c r="Q109" t="n">
        <v>4</v>
      </c>
      <c r="R109" s="2" t="inlineStr">
        <is>
          <t>Doftskinn
Gammelgransskål
Lunglav
Ullticka</t>
        </is>
      </c>
      <c r="S109">
        <f>HYPERLINK("https://klasma.github.io/Logging_2303/artfynd/A 60670-2022 artfynd.xlsx", "A 60670-2022")</f>
        <v/>
      </c>
      <c r="T109">
        <f>HYPERLINK("https://klasma.github.io/Logging_2303/kartor/A 60670-2022 karta.png", "A 60670-2022")</f>
        <v/>
      </c>
      <c r="V109">
        <f>HYPERLINK("https://klasma.github.io/Logging_2303/klagomål/A 60670-2022 FSC-klagomål.docx", "A 60670-2022")</f>
        <v/>
      </c>
      <c r="W109">
        <f>HYPERLINK("https://klasma.github.io/Logging_2303/klagomålsmail/A 60670-2022 FSC-klagomål mail.docx", "A 60670-2022")</f>
        <v/>
      </c>
      <c r="X109">
        <f>HYPERLINK("https://klasma.github.io/Logging_2303/tillsyn/A 60670-2022 tillsynsbegäran.docx", "A 60670-2022")</f>
        <v/>
      </c>
      <c r="Y109">
        <f>HYPERLINK("https://klasma.github.io/Logging_2303/tillsynsmail/A 60670-2022 tillsynsbegäran mail.docx", "A 60670-2022")</f>
        <v/>
      </c>
    </row>
    <row r="110" ht="15" customHeight="1">
      <c r="A110" t="inlineStr">
        <is>
          <t>A 32903-2024</t>
        </is>
      </c>
      <c r="B110" s="1" t="n">
        <v>45516.94723379629</v>
      </c>
      <c r="C110" s="1" t="n">
        <v>46041</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50342-2025</t>
        </is>
      </c>
      <c r="B111" s="1" t="n">
        <v>45944.53186342592</v>
      </c>
      <c r="C111" s="1" t="n">
        <v>46041</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46041</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23931-2024</t>
        </is>
      </c>
      <c r="B113" s="1" t="n">
        <v>45455.96195601852</v>
      </c>
      <c r="C113" s="1" t="n">
        <v>46041</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52168-2025</t>
        </is>
      </c>
      <c r="B114" s="1" t="n">
        <v>45953.365625</v>
      </c>
      <c r="C114" s="1" t="n">
        <v>46041</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17092-2022</t>
        </is>
      </c>
      <c r="B115" s="1" t="n">
        <v>44677</v>
      </c>
      <c r="C115" s="1" t="n">
        <v>46041</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32067-2024</t>
        </is>
      </c>
      <c r="B116" s="1" t="n">
        <v>45510</v>
      </c>
      <c r="C116" s="1" t="n">
        <v>46041</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30483-2024</t>
        </is>
      </c>
      <c r="B117" s="1" t="n">
        <v>45491</v>
      </c>
      <c r="C117" s="1" t="n">
        <v>46041</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15836-2024</t>
        </is>
      </c>
      <c r="B118" s="1" t="n">
        <v>45404</v>
      </c>
      <c r="C118" s="1" t="n">
        <v>46041</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43960-2023</t>
        </is>
      </c>
      <c r="B119" s="1" t="n">
        <v>45187</v>
      </c>
      <c r="C119" s="1" t="n">
        <v>46041</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46041</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46041</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46041</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46041</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46041</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30465-2024</t>
        </is>
      </c>
      <c r="B125" s="1" t="n">
        <v>45491</v>
      </c>
      <c r="C125" s="1" t="n">
        <v>46041</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48052-2022</t>
        </is>
      </c>
      <c r="B126" s="1" t="n">
        <v>44855</v>
      </c>
      <c r="C126" s="1" t="n">
        <v>46041</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46041</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46041</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46041</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57667-2025</t>
        </is>
      </c>
      <c r="B130" s="1" t="n">
        <v>45981.42767361111</v>
      </c>
      <c r="C130" s="1" t="n">
        <v>46041</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14814-2024</t>
        </is>
      </c>
      <c r="B131" s="1" t="n">
        <v>45397.95748842593</v>
      </c>
      <c r="C131" s="1" t="n">
        <v>46041</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16305-2025</t>
        </is>
      </c>
      <c r="B132" s="1" t="n">
        <v>45751.34650462963</v>
      </c>
      <c r="C132" s="1" t="n">
        <v>46041</v>
      </c>
      <c r="D132" t="inlineStr">
        <is>
          <t>JÄMTLANDS LÄN</t>
        </is>
      </c>
      <c r="E132" t="inlineStr">
        <is>
          <t>RAGUNDA</t>
        </is>
      </c>
      <c r="F132" t="inlineStr">
        <is>
          <t>SCA</t>
        </is>
      </c>
      <c r="G132" t="n">
        <v>2.5</v>
      </c>
      <c r="H132" t="n">
        <v>0</v>
      </c>
      <c r="I132" t="n">
        <v>2</v>
      </c>
      <c r="J132" t="n">
        <v>1</v>
      </c>
      <c r="K132" t="n">
        <v>0</v>
      </c>
      <c r="L132" t="n">
        <v>0</v>
      </c>
      <c r="M132" t="n">
        <v>0</v>
      </c>
      <c r="N132" t="n">
        <v>0</v>
      </c>
      <c r="O132" t="n">
        <v>1</v>
      </c>
      <c r="P132" t="n">
        <v>0</v>
      </c>
      <c r="Q132" t="n">
        <v>3</v>
      </c>
      <c r="R132" s="2" t="inlineStr">
        <is>
          <t>Lunglav
Bollvitmossa
Källmossa</t>
        </is>
      </c>
      <c r="S132">
        <f>HYPERLINK("https://klasma.github.io/Logging_2303/artfynd/A 16305-2025 artfynd.xlsx", "A 16305-2025")</f>
        <v/>
      </c>
      <c r="T132">
        <f>HYPERLINK("https://klasma.github.io/Logging_2303/kartor/A 16305-2025 karta.png", "A 16305-2025")</f>
        <v/>
      </c>
      <c r="V132">
        <f>HYPERLINK("https://klasma.github.io/Logging_2303/klagomål/A 16305-2025 FSC-klagomål.docx", "A 16305-2025")</f>
        <v/>
      </c>
      <c r="W132">
        <f>HYPERLINK("https://klasma.github.io/Logging_2303/klagomålsmail/A 16305-2025 FSC-klagomål mail.docx", "A 16305-2025")</f>
        <v/>
      </c>
      <c r="X132">
        <f>HYPERLINK("https://klasma.github.io/Logging_2303/tillsyn/A 16305-2025 tillsynsbegäran.docx", "A 16305-2025")</f>
        <v/>
      </c>
      <c r="Y132">
        <f>HYPERLINK("https://klasma.github.io/Logging_2303/tillsynsmail/A 16305-2025 tillsynsbegäran mail.docx", "A 16305-2025")</f>
        <v/>
      </c>
    </row>
    <row r="133" ht="15" customHeight="1">
      <c r="A133" t="inlineStr">
        <is>
          <t>A 59179-2025</t>
        </is>
      </c>
      <c r="B133" s="1" t="n">
        <v>45988.57350694444</v>
      </c>
      <c r="C133" s="1" t="n">
        <v>46041</v>
      </c>
      <c r="D133" t="inlineStr">
        <is>
          <t>JÄMTLANDS LÄN</t>
        </is>
      </c>
      <c r="E133" t="inlineStr">
        <is>
          <t>RAGUNDA</t>
        </is>
      </c>
      <c r="F133" t="inlineStr">
        <is>
          <t>SCA</t>
        </is>
      </c>
      <c r="G133" t="n">
        <v>2.3</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HYPERLINK("https://klasma.github.io/Logging_2303/artfynd/A 59179-2025 artfynd.xlsx", "A 59179-2025")</f>
        <v/>
      </c>
      <c r="T133">
        <f>HYPERLINK("https://klasma.github.io/Logging_2303/kartor/A 59179-2025 karta.png", "A 59179-2025")</f>
        <v/>
      </c>
      <c r="V133">
        <f>HYPERLINK("https://klasma.github.io/Logging_2303/klagomål/A 59179-2025 FSC-klagomål.docx", "A 59179-2025")</f>
        <v/>
      </c>
      <c r="W133">
        <f>HYPERLINK("https://klasma.github.io/Logging_2303/klagomålsmail/A 59179-2025 FSC-klagomål mail.docx", "A 59179-2025")</f>
        <v/>
      </c>
      <c r="X133">
        <f>HYPERLINK("https://klasma.github.io/Logging_2303/tillsyn/A 59179-2025 tillsynsbegäran.docx", "A 59179-2025")</f>
        <v/>
      </c>
      <c r="Y133">
        <f>HYPERLINK("https://klasma.github.io/Logging_2303/tillsynsmail/A 59179-2025 tillsynsbegäran mail.docx", "A 59179-2025")</f>
        <v/>
      </c>
    </row>
    <row r="134" ht="15" customHeight="1">
      <c r="A134" t="inlineStr">
        <is>
          <t>A 48054-2022</t>
        </is>
      </c>
      <c r="B134" s="1" t="n">
        <v>44855</v>
      </c>
      <c r="C134" s="1" t="n">
        <v>46041</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46041</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28178-2023</t>
        </is>
      </c>
      <c r="B136" s="1" t="n">
        <v>45093</v>
      </c>
      <c r="C136" s="1" t="n">
        <v>46041</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52345-2024</t>
        </is>
      </c>
      <c r="B137" s="1" t="n">
        <v>45609.34412037037</v>
      </c>
      <c r="C137" s="1" t="n">
        <v>46041</v>
      </c>
      <c r="D137" t="inlineStr">
        <is>
          <t>JÄMTLANDS LÄN</t>
        </is>
      </c>
      <c r="E137" t="inlineStr">
        <is>
          <t>RAGUNDA</t>
        </is>
      </c>
      <c r="F137" t="inlineStr">
        <is>
          <t>SCA</t>
        </is>
      </c>
      <c r="G137" t="n">
        <v>10.3</v>
      </c>
      <c r="H137" t="n">
        <v>1</v>
      </c>
      <c r="I137" t="n">
        <v>0</v>
      </c>
      <c r="J137" t="n">
        <v>2</v>
      </c>
      <c r="K137" t="n">
        <v>0</v>
      </c>
      <c r="L137" t="n">
        <v>0</v>
      </c>
      <c r="M137" t="n">
        <v>0</v>
      </c>
      <c r="N137" t="n">
        <v>0</v>
      </c>
      <c r="O137" t="n">
        <v>2</v>
      </c>
      <c r="P137" t="n">
        <v>0</v>
      </c>
      <c r="Q137" t="n">
        <v>3</v>
      </c>
      <c r="R137" s="2" t="inlineStr">
        <is>
          <t>Doftskinn
Koralltaggsvamp
Blåsippa</t>
        </is>
      </c>
      <c r="S137">
        <f>HYPERLINK("https://klasma.github.io/Logging_2303/artfynd/A 52345-2024 artfynd.xlsx", "A 52345-2024")</f>
        <v/>
      </c>
      <c r="T137">
        <f>HYPERLINK("https://klasma.github.io/Logging_2303/kartor/A 52345-2024 karta.png", "A 52345-2024")</f>
        <v/>
      </c>
      <c r="V137">
        <f>HYPERLINK("https://klasma.github.io/Logging_2303/klagomål/A 52345-2024 FSC-klagomål.docx", "A 52345-2024")</f>
        <v/>
      </c>
      <c r="W137">
        <f>HYPERLINK("https://klasma.github.io/Logging_2303/klagomålsmail/A 52345-2024 FSC-klagomål mail.docx", "A 52345-2024")</f>
        <v/>
      </c>
      <c r="X137">
        <f>HYPERLINK("https://klasma.github.io/Logging_2303/tillsyn/A 52345-2024 tillsynsbegäran.docx", "A 52345-2024")</f>
        <v/>
      </c>
      <c r="Y137">
        <f>HYPERLINK("https://klasma.github.io/Logging_2303/tillsynsmail/A 52345-2024 tillsynsbegäran mail.docx", "A 52345-2024")</f>
        <v/>
      </c>
    </row>
    <row r="138" ht="15" customHeight="1">
      <c r="A138" t="inlineStr">
        <is>
          <t>A 58737-2022</t>
        </is>
      </c>
      <c r="B138" s="1" t="n">
        <v>44902</v>
      </c>
      <c r="C138" s="1" t="n">
        <v>46041</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49047-2023</t>
        </is>
      </c>
      <c r="B139" s="1" t="n">
        <v>45209</v>
      </c>
      <c r="C139" s="1" t="n">
        <v>46041</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36504-2023</t>
        </is>
      </c>
      <c r="B140" s="1" t="n">
        <v>45152</v>
      </c>
      <c r="C140" s="1" t="n">
        <v>46041</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57941-2024</t>
        </is>
      </c>
      <c r="B141" s="1" t="n">
        <v>45631</v>
      </c>
      <c r="C141" s="1" t="n">
        <v>46041</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46041</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61954-2025</t>
        </is>
      </c>
      <c r="B143" s="1" t="n">
        <v>46003.57381944444</v>
      </c>
      <c r="C143" s="1" t="n">
        <v>46041</v>
      </c>
      <c r="D143" t="inlineStr">
        <is>
          <t>JÄMTLANDS LÄN</t>
        </is>
      </c>
      <c r="E143" t="inlineStr">
        <is>
          <t>RAGUNDA</t>
        </is>
      </c>
      <c r="F143" t="inlineStr">
        <is>
          <t>SCA</t>
        </is>
      </c>
      <c r="G143" t="n">
        <v>6.5</v>
      </c>
      <c r="H143" t="n">
        <v>0</v>
      </c>
      <c r="I143" t="n">
        <v>1</v>
      </c>
      <c r="J143" t="n">
        <v>2</v>
      </c>
      <c r="K143" t="n">
        <v>0</v>
      </c>
      <c r="L143" t="n">
        <v>0</v>
      </c>
      <c r="M143" t="n">
        <v>0</v>
      </c>
      <c r="N143" t="n">
        <v>0</v>
      </c>
      <c r="O143" t="n">
        <v>2</v>
      </c>
      <c r="P143" t="n">
        <v>0</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33278-2022</t>
        </is>
      </c>
      <c r="B144" s="1" t="n">
        <v>44788</v>
      </c>
      <c r="C144" s="1" t="n">
        <v>46041</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30470-2024</t>
        </is>
      </c>
      <c r="B145" s="1" t="n">
        <v>45491.94715277778</v>
      </c>
      <c r="C145" s="1" t="n">
        <v>46041</v>
      </c>
      <c r="D145" t="inlineStr">
        <is>
          <t>JÄMTLANDS LÄN</t>
        </is>
      </c>
      <c r="E145" t="inlineStr">
        <is>
          <t>RAGUNDA</t>
        </is>
      </c>
      <c r="F145" t="inlineStr">
        <is>
          <t>SCA</t>
        </is>
      </c>
      <c r="G145" t="n">
        <v>1.4</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HYPERLINK("https://klasma.github.io/Logging_2303/artfynd/A 30470-2024 artfynd.xlsx", "A 30470-2024")</f>
        <v/>
      </c>
      <c r="T145">
        <f>HYPERLINK("https://klasma.github.io/Logging_2303/kartor/A 30470-2024 karta.png", "A 30470-2024")</f>
        <v/>
      </c>
      <c r="U145">
        <f>HYPERLINK("https://klasma.github.io/Logging_2303/knärot/A 30470-2024 karta knärot.png", "A 30470-2024")</f>
        <v/>
      </c>
      <c r="V145">
        <f>HYPERLINK("https://klasma.github.io/Logging_2303/klagomål/A 30470-2024 FSC-klagomål.docx", "A 30470-2024")</f>
        <v/>
      </c>
      <c r="W145">
        <f>HYPERLINK("https://klasma.github.io/Logging_2303/klagomålsmail/A 30470-2024 FSC-klagomål mail.docx", "A 30470-2024")</f>
        <v/>
      </c>
      <c r="X145">
        <f>HYPERLINK("https://klasma.github.io/Logging_2303/tillsyn/A 30470-2024 tillsynsbegäran.docx", "A 30470-2024")</f>
        <v/>
      </c>
      <c r="Y145">
        <f>HYPERLINK("https://klasma.github.io/Logging_2303/tillsynsmail/A 30470-2024 tillsynsbegäran mail.docx", "A 30470-2024")</f>
        <v/>
      </c>
      <c r="Z145">
        <f>HYPERLINK("https://klasma.github.io/Logging_2303/fåglar/A 30470-2024 prioriterade fågelarter.docx", "A 30470-2024")</f>
        <v/>
      </c>
    </row>
    <row r="146" ht="15" customHeight="1">
      <c r="A146" t="inlineStr">
        <is>
          <t>A 53022-2022</t>
        </is>
      </c>
      <c r="B146" s="1" t="n">
        <v>44875</v>
      </c>
      <c r="C146" s="1" t="n">
        <v>46041</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46041</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7519-2023</t>
        </is>
      </c>
      <c r="B148" s="1" t="n">
        <v>44971</v>
      </c>
      <c r="C148" s="1" t="n">
        <v>46041</v>
      </c>
      <c r="D148" t="inlineStr">
        <is>
          <t>JÄMTLANDS LÄN</t>
        </is>
      </c>
      <c r="E148" t="inlineStr">
        <is>
          <t>RAGUNDA</t>
        </is>
      </c>
      <c r="F148" t="inlineStr">
        <is>
          <t>SCA</t>
        </is>
      </c>
      <c r="G148" t="n">
        <v>3.2</v>
      </c>
      <c r="H148" t="n">
        <v>0</v>
      </c>
      <c r="I148" t="n">
        <v>1</v>
      </c>
      <c r="J148" t="n">
        <v>2</v>
      </c>
      <c r="K148" t="n">
        <v>0</v>
      </c>
      <c r="L148" t="n">
        <v>0</v>
      </c>
      <c r="M148" t="n">
        <v>0</v>
      </c>
      <c r="N148" t="n">
        <v>0</v>
      </c>
      <c r="O148" t="n">
        <v>2</v>
      </c>
      <c r="P148" t="n">
        <v>0</v>
      </c>
      <c r="Q148" t="n">
        <v>3</v>
      </c>
      <c r="R148" s="2" t="inlineStr">
        <is>
          <t>Granticka
Lunglav
Stor aspticka</t>
        </is>
      </c>
      <c r="S148">
        <f>HYPERLINK("https://klasma.github.io/Logging_2303/artfynd/A 7519-2023 artfynd.xlsx", "A 7519-2023")</f>
        <v/>
      </c>
      <c r="T148">
        <f>HYPERLINK("https://klasma.github.io/Logging_2303/kartor/A 7519-2023 karta.png", "A 7519-2023")</f>
        <v/>
      </c>
      <c r="V148">
        <f>HYPERLINK("https://klasma.github.io/Logging_2303/klagomål/A 7519-2023 FSC-klagomål.docx", "A 7519-2023")</f>
        <v/>
      </c>
      <c r="W148">
        <f>HYPERLINK("https://klasma.github.io/Logging_2303/klagomålsmail/A 7519-2023 FSC-klagomål mail.docx", "A 7519-2023")</f>
        <v/>
      </c>
      <c r="X148">
        <f>HYPERLINK("https://klasma.github.io/Logging_2303/tillsyn/A 7519-2023 tillsynsbegäran.docx", "A 7519-2023")</f>
        <v/>
      </c>
      <c r="Y148">
        <f>HYPERLINK("https://klasma.github.io/Logging_2303/tillsynsmail/A 7519-2023 tillsynsbegäran mail.docx", "A 7519-2023")</f>
        <v/>
      </c>
    </row>
    <row r="149" ht="15" customHeight="1">
      <c r="A149" t="inlineStr">
        <is>
          <t>A 58368-2024</t>
        </is>
      </c>
      <c r="B149" s="1" t="n">
        <v>45632.69822916666</v>
      </c>
      <c r="C149" s="1" t="n">
        <v>46041</v>
      </c>
      <c r="D149" t="inlineStr">
        <is>
          <t>JÄMTLANDS LÄN</t>
        </is>
      </c>
      <c r="E149" t="inlineStr">
        <is>
          <t>RAGUNDA</t>
        </is>
      </c>
      <c r="F149" t="inlineStr">
        <is>
          <t>SCA</t>
        </is>
      </c>
      <c r="G149" t="n">
        <v>4.1</v>
      </c>
      <c r="H149" t="n">
        <v>2</v>
      </c>
      <c r="I149" t="n">
        <v>0</v>
      </c>
      <c r="J149" t="n">
        <v>3</v>
      </c>
      <c r="K149" t="n">
        <v>0</v>
      </c>
      <c r="L149" t="n">
        <v>0</v>
      </c>
      <c r="M149" t="n">
        <v>0</v>
      </c>
      <c r="N149" t="n">
        <v>0</v>
      </c>
      <c r="O149" t="n">
        <v>3</v>
      </c>
      <c r="P149" t="n">
        <v>0</v>
      </c>
      <c r="Q149" t="n">
        <v>3</v>
      </c>
      <c r="R149" s="2" t="inlineStr">
        <is>
          <t>Järpe
Lunglav
Tretåig hackspett</t>
        </is>
      </c>
      <c r="S149">
        <f>HYPERLINK("https://klasma.github.io/Logging_2303/artfynd/A 58368-2024 artfynd.xlsx", "A 58368-2024")</f>
        <v/>
      </c>
      <c r="T149">
        <f>HYPERLINK("https://klasma.github.io/Logging_2303/kartor/A 58368-2024 karta.png", "A 58368-2024")</f>
        <v/>
      </c>
      <c r="V149">
        <f>HYPERLINK("https://klasma.github.io/Logging_2303/klagomål/A 58368-2024 FSC-klagomål.docx", "A 58368-2024")</f>
        <v/>
      </c>
      <c r="W149">
        <f>HYPERLINK("https://klasma.github.io/Logging_2303/klagomålsmail/A 58368-2024 FSC-klagomål mail.docx", "A 58368-2024")</f>
        <v/>
      </c>
      <c r="X149">
        <f>HYPERLINK("https://klasma.github.io/Logging_2303/tillsyn/A 58368-2024 tillsynsbegäran.docx", "A 58368-2024")</f>
        <v/>
      </c>
      <c r="Y149">
        <f>HYPERLINK("https://klasma.github.io/Logging_2303/tillsynsmail/A 58368-2024 tillsynsbegäran mail.docx", "A 58368-2024")</f>
        <v/>
      </c>
      <c r="Z149">
        <f>HYPERLINK("https://klasma.github.io/Logging_2303/fåglar/A 58368-2024 prioriterade fågelarter.docx", "A 58368-2024")</f>
        <v/>
      </c>
    </row>
    <row r="150" ht="15" customHeight="1">
      <c r="A150" t="inlineStr">
        <is>
          <t>A 33432-2023</t>
        </is>
      </c>
      <c r="B150" s="1" t="n">
        <v>45128</v>
      </c>
      <c r="C150" s="1" t="n">
        <v>46041</v>
      </c>
      <c r="D150" t="inlineStr">
        <is>
          <t>JÄMTLANDS LÄN</t>
        </is>
      </c>
      <c r="E150" t="inlineStr">
        <is>
          <t>RAGUNDA</t>
        </is>
      </c>
      <c r="F150" t="inlineStr">
        <is>
          <t>SCA</t>
        </is>
      </c>
      <c r="G150" t="n">
        <v>10</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33432-2023 artfynd.xlsx", "A 33432-2023")</f>
        <v/>
      </c>
      <c r="T150">
        <f>HYPERLINK("https://klasma.github.io/Logging_2303/kartor/A 33432-2023 karta.png", "A 33432-2023")</f>
        <v/>
      </c>
      <c r="V150">
        <f>HYPERLINK("https://klasma.github.io/Logging_2303/klagomål/A 33432-2023 FSC-klagomål.docx", "A 33432-2023")</f>
        <v/>
      </c>
      <c r="W150">
        <f>HYPERLINK("https://klasma.github.io/Logging_2303/klagomålsmail/A 33432-2023 FSC-klagomål mail.docx", "A 33432-2023")</f>
        <v/>
      </c>
      <c r="X150">
        <f>HYPERLINK("https://klasma.github.io/Logging_2303/tillsyn/A 33432-2023 tillsynsbegäran.docx", "A 33432-2023")</f>
        <v/>
      </c>
      <c r="Y150">
        <f>HYPERLINK("https://klasma.github.io/Logging_2303/tillsynsmail/A 33432-2023 tillsynsbegäran mail.docx", "A 33432-2023")</f>
        <v/>
      </c>
      <c r="Z150">
        <f>HYPERLINK("https://klasma.github.io/Logging_2303/fåglar/A 33432-2023 prioriterade fågelarter.docx", "A 33432-2023")</f>
        <v/>
      </c>
    </row>
    <row r="151" ht="15" customHeight="1">
      <c r="A151" t="inlineStr">
        <is>
          <t>A 5048-2025</t>
        </is>
      </c>
      <c r="B151" s="1" t="n">
        <v>45691.44769675926</v>
      </c>
      <c r="C151" s="1" t="n">
        <v>46041</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21248-2025</t>
        </is>
      </c>
      <c r="B152" s="1" t="n">
        <v>45779.57392361111</v>
      </c>
      <c r="C152" s="1" t="n">
        <v>46041</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46041</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22571-2025</t>
        </is>
      </c>
      <c r="B154" s="1" t="n">
        <v>45789.36503472222</v>
      </c>
      <c r="C154" s="1" t="n">
        <v>46041</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46041</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32416-2025</t>
        </is>
      </c>
      <c r="B156" s="1" t="n">
        <v>45838</v>
      </c>
      <c r="C156" s="1" t="n">
        <v>46041</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46041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46041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46041</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55647-2023</t>
        </is>
      </c>
      <c r="B160" s="1" t="n">
        <v>45238</v>
      </c>
      <c r="C160" s="1" t="n">
        <v>46041</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3838-2024</t>
        </is>
      </c>
      <c r="B161" s="1" t="n">
        <v>45321</v>
      </c>
      <c r="C161" s="1" t="n">
        <v>46041</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12271-2024</t>
        </is>
      </c>
      <c r="B162" s="1" t="n">
        <v>45378</v>
      </c>
      <c r="C162" s="1" t="n">
        <v>46041</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50089-2022</t>
        </is>
      </c>
      <c r="B163" s="1" t="n">
        <v>44865</v>
      </c>
      <c r="C163" s="1" t="n">
        <v>46041</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32736-2023</t>
        </is>
      </c>
      <c r="B164" s="1" t="n">
        <v>45121</v>
      </c>
      <c r="C164" s="1" t="n">
        <v>46041</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Vedtrappmossa
Stor aspticka</t>
        </is>
      </c>
      <c r="S164">
        <f>HYPERLINK("https://klasma.github.io/Logging_2303/artfynd/A 32736-2023 artfynd.xlsx", "A 32736-2023")</f>
        <v/>
      </c>
      <c r="T164">
        <f>HYPERLINK("https://klasma.github.io/Logging_2303/kartor/A 32736-2023 karta.png", "A 32736-2023")</f>
        <v/>
      </c>
      <c r="V164">
        <f>HYPERLINK("https://klasma.github.io/Logging_2303/klagomål/A 32736-2023 FSC-klagomål.docx", "A 32736-2023")</f>
        <v/>
      </c>
      <c r="W164">
        <f>HYPERLINK("https://klasma.github.io/Logging_2303/klagomålsmail/A 32736-2023 FSC-klagomål mail.docx", "A 32736-2023")</f>
        <v/>
      </c>
      <c r="X164">
        <f>HYPERLINK("https://klasma.github.io/Logging_2303/tillsyn/A 32736-2023 tillsynsbegäran.docx", "A 32736-2023")</f>
        <v/>
      </c>
      <c r="Y164">
        <f>HYPERLINK("https://klasma.github.io/Logging_2303/tillsynsmail/A 32736-2023 tillsynsbegäran mail.docx", "A 32736-2023")</f>
        <v/>
      </c>
    </row>
    <row r="165" ht="15" customHeight="1">
      <c r="A165" t="inlineStr">
        <is>
          <t>A 45021-2023</t>
        </is>
      </c>
      <c r="B165" s="1" t="n">
        <v>45190</v>
      </c>
      <c r="C165" s="1" t="n">
        <v>46041</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47850-2025</t>
        </is>
      </c>
      <c r="B166" s="1" t="n">
        <v>45932.38626157407</v>
      </c>
      <c r="C166" s="1" t="n">
        <v>46041</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39495-2024</t>
        </is>
      </c>
      <c r="B167" s="1" t="n">
        <v>45551.65726851852</v>
      </c>
      <c r="C167" s="1" t="n">
        <v>46041</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44409-2023</t>
        </is>
      </c>
      <c r="B168" s="1" t="n">
        <v>45188</v>
      </c>
      <c r="C168" s="1" t="n">
        <v>46041</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47267-2022</t>
        </is>
      </c>
      <c r="B169" s="1" t="n">
        <v>44852</v>
      </c>
      <c r="C169" s="1" t="n">
        <v>46041</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17733-2022</t>
        </is>
      </c>
      <c r="B170" s="1" t="n">
        <v>44680</v>
      </c>
      <c r="C170" s="1" t="n">
        <v>46041</v>
      </c>
      <c r="D170" t="inlineStr">
        <is>
          <t>JÄMTLANDS LÄN</t>
        </is>
      </c>
      <c r="E170" t="inlineStr">
        <is>
          <t>RAGUNDA</t>
        </is>
      </c>
      <c r="G170" t="n">
        <v>2.2</v>
      </c>
      <c r="H170" t="n">
        <v>0</v>
      </c>
      <c r="I170" t="n">
        <v>0</v>
      </c>
      <c r="J170" t="n">
        <v>2</v>
      </c>
      <c r="K170" t="n">
        <v>0</v>
      </c>
      <c r="L170" t="n">
        <v>0</v>
      </c>
      <c r="M170" t="n">
        <v>0</v>
      </c>
      <c r="N170" t="n">
        <v>0</v>
      </c>
      <c r="O170" t="n">
        <v>2</v>
      </c>
      <c r="P170" t="n">
        <v>0</v>
      </c>
      <c r="Q170" t="n">
        <v>2</v>
      </c>
      <c r="R170" s="2" t="inlineStr">
        <is>
          <t>Lunglav
Skrovellav</t>
        </is>
      </c>
      <c r="S170">
        <f>HYPERLINK("https://klasma.github.io/Logging_2303/artfynd/A 17733-2022 artfynd.xlsx", "A 17733-2022")</f>
        <v/>
      </c>
      <c r="T170">
        <f>HYPERLINK("https://klasma.github.io/Logging_2303/kartor/A 17733-2022 karta.png", "A 17733-2022")</f>
        <v/>
      </c>
      <c r="V170">
        <f>HYPERLINK("https://klasma.github.io/Logging_2303/klagomål/A 17733-2022 FSC-klagomål.docx", "A 17733-2022")</f>
        <v/>
      </c>
      <c r="W170">
        <f>HYPERLINK("https://klasma.github.io/Logging_2303/klagomålsmail/A 17733-2022 FSC-klagomål mail.docx", "A 17733-2022")</f>
        <v/>
      </c>
      <c r="X170">
        <f>HYPERLINK("https://klasma.github.io/Logging_2303/tillsyn/A 17733-2022 tillsynsbegäran.docx", "A 17733-2022")</f>
        <v/>
      </c>
      <c r="Y170">
        <f>HYPERLINK("https://klasma.github.io/Logging_2303/tillsynsmail/A 17733-2022 tillsynsbegäran mail.docx", "A 17733-2022")</f>
        <v/>
      </c>
    </row>
    <row r="171" ht="15" customHeight="1">
      <c r="A171" t="inlineStr">
        <is>
          <t>A 40826-2023</t>
        </is>
      </c>
      <c r="B171" s="1" t="n">
        <v>45171</v>
      </c>
      <c r="C171" s="1" t="n">
        <v>46041</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57940-2024</t>
        </is>
      </c>
      <c r="B172" s="1" t="n">
        <v>45631</v>
      </c>
      <c r="C172" s="1" t="n">
        <v>46041</v>
      </c>
      <c r="D172" t="inlineStr">
        <is>
          <t>JÄMTLANDS LÄN</t>
        </is>
      </c>
      <c r="E172" t="inlineStr">
        <is>
          <t>RAGUNDA</t>
        </is>
      </c>
      <c r="F172" t="inlineStr">
        <is>
          <t>SCA</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HYPERLINK("https://klasma.github.io/Logging_2303/artfynd/A 57940-2024 artfynd.xlsx", "A 57940-2024")</f>
        <v/>
      </c>
      <c r="T172">
        <f>HYPERLINK("https://klasma.github.io/Logging_2303/kartor/A 57940-2024 karta.png", "A 57940-2024")</f>
        <v/>
      </c>
      <c r="V172">
        <f>HYPERLINK("https://klasma.github.io/Logging_2303/klagomål/A 57940-2024 FSC-klagomål.docx", "A 57940-2024")</f>
        <v/>
      </c>
      <c r="W172">
        <f>HYPERLINK("https://klasma.github.io/Logging_2303/klagomålsmail/A 57940-2024 FSC-klagomål mail.docx", "A 57940-2024")</f>
        <v/>
      </c>
      <c r="X172">
        <f>HYPERLINK("https://klasma.github.io/Logging_2303/tillsyn/A 57940-2024 tillsynsbegäran.docx", "A 57940-2024")</f>
        <v/>
      </c>
      <c r="Y172">
        <f>HYPERLINK("https://klasma.github.io/Logging_2303/tillsynsmail/A 57940-2024 tillsynsbegäran mail.docx", "A 57940-2024")</f>
        <v/>
      </c>
      <c r="Z172">
        <f>HYPERLINK("https://klasma.github.io/Logging_2303/fåglar/A 57940-2024 prioriterade fågelarter.docx", "A 57940-2024")</f>
        <v/>
      </c>
    </row>
    <row r="173" ht="15" customHeight="1">
      <c r="A173" t="inlineStr">
        <is>
          <t>A 45035-2023</t>
        </is>
      </c>
      <c r="B173" s="1" t="n">
        <v>45191</v>
      </c>
      <c r="C173" s="1" t="n">
        <v>46041</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56285-2023</t>
        </is>
      </c>
      <c r="B174" s="1" t="n">
        <v>45241</v>
      </c>
      <c r="C174" s="1" t="n">
        <v>46041</v>
      </c>
      <c r="D174" t="inlineStr">
        <is>
          <t>JÄMTLANDS LÄN</t>
        </is>
      </c>
      <c r="E174" t="inlineStr">
        <is>
          <t>RAGUNDA</t>
        </is>
      </c>
      <c r="F174" t="inlineStr">
        <is>
          <t>SCA</t>
        </is>
      </c>
      <c r="G174" t="n">
        <v>5.5</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56285-2023 artfynd.xlsx", "A 56285-2023")</f>
        <v/>
      </c>
      <c r="T174">
        <f>HYPERLINK("https://klasma.github.io/Logging_2303/kartor/A 56285-2023 karta.png", "A 56285-2023")</f>
        <v/>
      </c>
      <c r="V174">
        <f>HYPERLINK("https://klasma.github.io/Logging_2303/klagomål/A 56285-2023 FSC-klagomål.docx", "A 56285-2023")</f>
        <v/>
      </c>
      <c r="W174">
        <f>HYPERLINK("https://klasma.github.io/Logging_2303/klagomålsmail/A 56285-2023 FSC-klagomål mail.docx", "A 56285-2023")</f>
        <v/>
      </c>
      <c r="X174">
        <f>HYPERLINK("https://klasma.github.io/Logging_2303/tillsyn/A 56285-2023 tillsynsbegäran.docx", "A 56285-2023")</f>
        <v/>
      </c>
      <c r="Y174">
        <f>HYPERLINK("https://klasma.github.io/Logging_2303/tillsynsmail/A 56285-2023 tillsynsbegäran mail.docx", "A 56285-2023")</f>
        <v/>
      </c>
    </row>
    <row r="175" ht="15" customHeight="1">
      <c r="A175" t="inlineStr">
        <is>
          <t>A 19728-2025</t>
        </is>
      </c>
      <c r="B175" s="1" t="n">
        <v>45771.36548611111</v>
      </c>
      <c r="C175" s="1" t="n">
        <v>46041</v>
      </c>
      <c r="D175" t="inlineStr">
        <is>
          <t>JÄMTLANDS LÄN</t>
        </is>
      </c>
      <c r="E175" t="inlineStr">
        <is>
          <t>RAGUNDA</t>
        </is>
      </c>
      <c r="F175" t="inlineStr">
        <is>
          <t>SCA</t>
        </is>
      </c>
      <c r="G175" t="n">
        <v>6.2</v>
      </c>
      <c r="H175" t="n">
        <v>1</v>
      </c>
      <c r="I175" t="n">
        <v>0</v>
      </c>
      <c r="J175" t="n">
        <v>2</v>
      </c>
      <c r="K175" t="n">
        <v>0</v>
      </c>
      <c r="L175" t="n">
        <v>0</v>
      </c>
      <c r="M175" t="n">
        <v>0</v>
      </c>
      <c r="N175" t="n">
        <v>0</v>
      </c>
      <c r="O175" t="n">
        <v>2</v>
      </c>
      <c r="P175" t="n">
        <v>0</v>
      </c>
      <c r="Q175" t="n">
        <v>2</v>
      </c>
      <c r="R175" s="2" t="inlineStr">
        <is>
          <t>Stjärntagging
Tretåig hackspett</t>
        </is>
      </c>
      <c r="S175">
        <f>HYPERLINK("https://klasma.github.io/Logging_2303/artfynd/A 19728-2025 artfynd.xlsx", "A 19728-2025")</f>
        <v/>
      </c>
      <c r="T175">
        <f>HYPERLINK("https://klasma.github.io/Logging_2303/kartor/A 19728-2025 karta.png", "A 19728-2025")</f>
        <v/>
      </c>
      <c r="V175">
        <f>HYPERLINK("https://klasma.github.io/Logging_2303/klagomål/A 19728-2025 FSC-klagomål.docx", "A 19728-2025")</f>
        <v/>
      </c>
      <c r="W175">
        <f>HYPERLINK("https://klasma.github.io/Logging_2303/klagomålsmail/A 19728-2025 FSC-klagomål mail.docx", "A 19728-2025")</f>
        <v/>
      </c>
      <c r="X175">
        <f>HYPERLINK("https://klasma.github.io/Logging_2303/tillsyn/A 19728-2025 tillsynsbegäran.docx", "A 19728-2025")</f>
        <v/>
      </c>
      <c r="Y175">
        <f>HYPERLINK("https://klasma.github.io/Logging_2303/tillsynsmail/A 19728-2025 tillsynsbegäran mail.docx", "A 19728-2025")</f>
        <v/>
      </c>
      <c r="Z175">
        <f>HYPERLINK("https://klasma.github.io/Logging_2303/fåglar/A 19728-2025 prioriterade fågelarter.docx", "A 19728-2025")</f>
        <v/>
      </c>
    </row>
    <row r="176" ht="15" customHeight="1">
      <c r="A176" t="inlineStr">
        <is>
          <t>A 30053-2024</t>
        </is>
      </c>
      <c r="B176" s="1" t="n">
        <v>45488.94747685185</v>
      </c>
      <c r="C176" s="1" t="n">
        <v>46041</v>
      </c>
      <c r="D176" t="inlineStr">
        <is>
          <t>JÄMTLANDS LÄN</t>
        </is>
      </c>
      <c r="E176" t="inlineStr">
        <is>
          <t>RAGUNDA</t>
        </is>
      </c>
      <c r="F176" t="inlineStr">
        <is>
          <t>SCA</t>
        </is>
      </c>
      <c r="G176" t="n">
        <v>9.6</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30053-2024 artfynd.xlsx", "A 30053-2024")</f>
        <v/>
      </c>
      <c r="T176">
        <f>HYPERLINK("https://klasma.github.io/Logging_2303/kartor/A 30053-2024 karta.png", "A 30053-2024")</f>
        <v/>
      </c>
      <c r="V176">
        <f>HYPERLINK("https://klasma.github.io/Logging_2303/klagomål/A 30053-2024 FSC-klagomål.docx", "A 30053-2024")</f>
        <v/>
      </c>
      <c r="W176">
        <f>HYPERLINK("https://klasma.github.io/Logging_2303/klagomålsmail/A 30053-2024 FSC-klagomål mail.docx", "A 30053-2024")</f>
        <v/>
      </c>
      <c r="X176">
        <f>HYPERLINK("https://klasma.github.io/Logging_2303/tillsyn/A 30053-2024 tillsynsbegäran.docx", "A 30053-2024")</f>
        <v/>
      </c>
      <c r="Y176">
        <f>HYPERLINK("https://klasma.github.io/Logging_2303/tillsynsmail/A 30053-2024 tillsynsbegäran mail.docx", "A 30053-2024")</f>
        <v/>
      </c>
    </row>
    <row r="177" ht="15" customHeight="1">
      <c r="A177" t="inlineStr">
        <is>
          <t>A 62636-2025</t>
        </is>
      </c>
      <c r="B177" s="1" t="n">
        <v>46008.3653587963</v>
      </c>
      <c r="C177" s="1" t="n">
        <v>46041</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11544-2024</t>
        </is>
      </c>
      <c r="B178" s="1" t="n">
        <v>45372.95680555556</v>
      </c>
      <c r="C178" s="1" t="n">
        <v>46041</v>
      </c>
      <c r="D178" t="inlineStr">
        <is>
          <t>JÄMTLANDS LÄN</t>
        </is>
      </c>
      <c r="E178" t="inlineStr">
        <is>
          <t>RAGUNDA</t>
        </is>
      </c>
      <c r="F178" t="inlineStr">
        <is>
          <t>SCA</t>
        </is>
      </c>
      <c r="G178" t="n">
        <v>15.5</v>
      </c>
      <c r="H178" t="n">
        <v>0</v>
      </c>
      <c r="I178" t="n">
        <v>0</v>
      </c>
      <c r="J178" t="n">
        <v>2</v>
      </c>
      <c r="K178" t="n">
        <v>0</v>
      </c>
      <c r="L178" t="n">
        <v>0</v>
      </c>
      <c r="M178" t="n">
        <v>0</v>
      </c>
      <c r="N178" t="n">
        <v>0</v>
      </c>
      <c r="O178" t="n">
        <v>2</v>
      </c>
      <c r="P178" t="n">
        <v>0</v>
      </c>
      <c r="Q178" t="n">
        <v>2</v>
      </c>
      <c r="R178" s="2" t="inlineStr">
        <is>
          <t>Granticka
Mörk kolflarnlav</t>
        </is>
      </c>
      <c r="S178">
        <f>HYPERLINK("https://klasma.github.io/Logging_2303/artfynd/A 11544-2024 artfynd.xlsx", "A 11544-2024")</f>
        <v/>
      </c>
      <c r="T178">
        <f>HYPERLINK("https://klasma.github.io/Logging_2303/kartor/A 11544-2024 karta.png", "A 11544-2024")</f>
        <v/>
      </c>
      <c r="V178">
        <f>HYPERLINK("https://klasma.github.io/Logging_2303/klagomål/A 11544-2024 FSC-klagomål.docx", "A 11544-2024")</f>
        <v/>
      </c>
      <c r="W178">
        <f>HYPERLINK("https://klasma.github.io/Logging_2303/klagomålsmail/A 11544-2024 FSC-klagomål mail.docx", "A 11544-2024")</f>
        <v/>
      </c>
      <c r="X178">
        <f>HYPERLINK("https://klasma.github.io/Logging_2303/tillsyn/A 11544-2024 tillsynsbegäran.docx", "A 11544-2024")</f>
        <v/>
      </c>
      <c r="Y178">
        <f>HYPERLINK("https://klasma.github.io/Logging_2303/tillsynsmail/A 11544-2024 tillsynsbegäran mail.docx", "A 11544-2024")</f>
        <v/>
      </c>
    </row>
    <row r="179" ht="15" customHeight="1">
      <c r="A179" t="inlineStr">
        <is>
          <t>A 34715-2024</t>
        </is>
      </c>
      <c r="B179" s="1" t="n">
        <v>45526.56393518519</v>
      </c>
      <c r="C179" s="1" t="n">
        <v>46041</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56634-2025</t>
        </is>
      </c>
      <c r="B180" s="1" t="n">
        <v>45975.61619212963</v>
      </c>
      <c r="C180" s="1" t="n">
        <v>46041</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26324-2024</t>
        </is>
      </c>
      <c r="B181" s="1" t="n">
        <v>45468.97495370371</v>
      </c>
      <c r="C181" s="1" t="n">
        <v>46041</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46041</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14502-2024</t>
        </is>
      </c>
      <c r="B183" s="1" t="n">
        <v>45394</v>
      </c>
      <c r="C183" s="1" t="n">
        <v>46041</v>
      </c>
      <c r="D183" t="inlineStr">
        <is>
          <t>JÄMTLANDS LÄN</t>
        </is>
      </c>
      <c r="E183" t="inlineStr">
        <is>
          <t>RAGUNDA</t>
        </is>
      </c>
      <c r="G183" t="n">
        <v>11.6</v>
      </c>
      <c r="H183" t="n">
        <v>0</v>
      </c>
      <c r="I183" t="n">
        <v>0</v>
      </c>
      <c r="J183" t="n">
        <v>2</v>
      </c>
      <c r="K183" t="n">
        <v>0</v>
      </c>
      <c r="L183" t="n">
        <v>0</v>
      </c>
      <c r="M183" t="n">
        <v>0</v>
      </c>
      <c r="N183" t="n">
        <v>0</v>
      </c>
      <c r="O183" t="n">
        <v>2</v>
      </c>
      <c r="P183" t="n">
        <v>0</v>
      </c>
      <c r="Q183" t="n">
        <v>2</v>
      </c>
      <c r="R183" s="2" t="inlineStr">
        <is>
          <t>Garnlav
Stjärntagging</t>
        </is>
      </c>
      <c r="S183">
        <f>HYPERLINK("https://klasma.github.io/Logging_2303/artfynd/A 14502-2024 artfynd.xlsx", "A 14502-2024")</f>
        <v/>
      </c>
      <c r="T183">
        <f>HYPERLINK("https://klasma.github.io/Logging_2303/kartor/A 14502-2024 karta.png", "A 14502-2024")</f>
        <v/>
      </c>
      <c r="V183">
        <f>HYPERLINK("https://klasma.github.io/Logging_2303/klagomål/A 14502-2024 FSC-klagomål.docx", "A 14502-2024")</f>
        <v/>
      </c>
      <c r="W183">
        <f>HYPERLINK("https://klasma.github.io/Logging_2303/klagomålsmail/A 14502-2024 FSC-klagomål mail.docx", "A 14502-2024")</f>
        <v/>
      </c>
      <c r="X183">
        <f>HYPERLINK("https://klasma.github.io/Logging_2303/tillsyn/A 14502-2024 tillsynsbegäran.docx", "A 14502-2024")</f>
        <v/>
      </c>
      <c r="Y183">
        <f>HYPERLINK("https://klasma.github.io/Logging_2303/tillsynsmail/A 14502-2024 tillsynsbegäran mail.docx", "A 14502-2024")</f>
        <v/>
      </c>
    </row>
    <row r="184" ht="15" customHeight="1">
      <c r="A184" t="inlineStr">
        <is>
          <t>A 26482-2023</t>
        </is>
      </c>
      <c r="B184" s="1" t="n">
        <v>45089</v>
      </c>
      <c r="C184" s="1" t="n">
        <v>46041</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46771-2024</t>
        </is>
      </c>
      <c r="B185" s="1" t="n">
        <v>45583.49642361111</v>
      </c>
      <c r="C185" s="1" t="n">
        <v>46041</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36756-2023</t>
        </is>
      </c>
      <c r="B186" s="1" t="n">
        <v>45153</v>
      </c>
      <c r="C186" s="1" t="n">
        <v>46041</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10866-2025</t>
        </is>
      </c>
      <c r="B187" s="1" t="n">
        <v>45722.61543981481</v>
      </c>
      <c r="C187" s="1" t="n">
        <v>46041</v>
      </c>
      <c r="D187" t="inlineStr">
        <is>
          <t>JÄMTLANDS LÄN</t>
        </is>
      </c>
      <c r="E187" t="inlineStr">
        <is>
          <t>RAGUNDA</t>
        </is>
      </c>
      <c r="F187" t="inlineStr">
        <is>
          <t>SCA</t>
        </is>
      </c>
      <c r="G187" t="n">
        <v>15.9</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10866-2025 artfynd.xlsx", "A 10866-2025")</f>
        <v/>
      </c>
      <c r="T187">
        <f>HYPERLINK("https://klasma.github.io/Logging_2303/kartor/A 10866-2025 karta.png", "A 10866-2025")</f>
        <v/>
      </c>
      <c r="V187">
        <f>HYPERLINK("https://klasma.github.io/Logging_2303/klagomål/A 10866-2025 FSC-klagomål.docx", "A 10866-2025")</f>
        <v/>
      </c>
      <c r="W187">
        <f>HYPERLINK("https://klasma.github.io/Logging_2303/klagomålsmail/A 10866-2025 FSC-klagomål mail.docx", "A 10866-2025")</f>
        <v/>
      </c>
      <c r="X187">
        <f>HYPERLINK("https://klasma.github.io/Logging_2303/tillsyn/A 10866-2025 tillsynsbegäran.docx", "A 10866-2025")</f>
        <v/>
      </c>
      <c r="Y187">
        <f>HYPERLINK("https://klasma.github.io/Logging_2303/tillsynsmail/A 10866-2025 tillsynsbegäran mail.docx", "A 10866-2025")</f>
        <v/>
      </c>
    </row>
    <row r="188" ht="15" customHeight="1">
      <c r="A188" t="inlineStr">
        <is>
          <t>A 10884-2025</t>
        </is>
      </c>
      <c r="B188" s="1" t="n">
        <v>45722.65670138889</v>
      </c>
      <c r="C188" s="1" t="n">
        <v>46041</v>
      </c>
      <c r="D188" t="inlineStr">
        <is>
          <t>JÄMTLANDS LÄN</t>
        </is>
      </c>
      <c r="E188" t="inlineStr">
        <is>
          <t>RAGUNDA</t>
        </is>
      </c>
      <c r="F188" t="inlineStr">
        <is>
          <t>SCA</t>
        </is>
      </c>
      <c r="G188" t="n">
        <v>5.4</v>
      </c>
      <c r="H188" t="n">
        <v>0</v>
      </c>
      <c r="I188" t="n">
        <v>1</v>
      </c>
      <c r="J188" t="n">
        <v>1</v>
      </c>
      <c r="K188" t="n">
        <v>0</v>
      </c>
      <c r="L188" t="n">
        <v>0</v>
      </c>
      <c r="M188" t="n">
        <v>0</v>
      </c>
      <c r="N188" t="n">
        <v>0</v>
      </c>
      <c r="O188" t="n">
        <v>1</v>
      </c>
      <c r="P188" t="n">
        <v>0</v>
      </c>
      <c r="Q188" t="n">
        <v>2</v>
      </c>
      <c r="R188" s="2" t="inlineStr">
        <is>
          <t>Vitgrynig nållav
Dropptaggsvamp</t>
        </is>
      </c>
      <c r="S188">
        <f>HYPERLINK("https://klasma.github.io/Logging_2303/artfynd/A 10884-2025 artfynd.xlsx", "A 10884-2025")</f>
        <v/>
      </c>
      <c r="T188">
        <f>HYPERLINK("https://klasma.github.io/Logging_2303/kartor/A 10884-2025 karta.png", "A 10884-2025")</f>
        <v/>
      </c>
      <c r="V188">
        <f>HYPERLINK("https://klasma.github.io/Logging_2303/klagomål/A 10884-2025 FSC-klagomål.docx", "A 10884-2025")</f>
        <v/>
      </c>
      <c r="W188">
        <f>HYPERLINK("https://klasma.github.io/Logging_2303/klagomålsmail/A 10884-2025 FSC-klagomål mail.docx", "A 10884-2025")</f>
        <v/>
      </c>
      <c r="X188">
        <f>HYPERLINK("https://klasma.github.io/Logging_2303/tillsyn/A 10884-2025 tillsynsbegäran.docx", "A 10884-2025")</f>
        <v/>
      </c>
      <c r="Y188">
        <f>HYPERLINK("https://klasma.github.io/Logging_2303/tillsynsmail/A 10884-2025 tillsynsbegäran mail.docx", "A 10884-2025")</f>
        <v/>
      </c>
    </row>
    <row r="189" ht="15" customHeight="1">
      <c r="A189" t="inlineStr">
        <is>
          <t>A 48084-2022</t>
        </is>
      </c>
      <c r="B189" s="1" t="n">
        <v>44855</v>
      </c>
      <c r="C189" s="1" t="n">
        <v>46041</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11086-2025</t>
        </is>
      </c>
      <c r="B190" s="1" t="n">
        <v>45723.57329861111</v>
      </c>
      <c r="C190" s="1" t="n">
        <v>46041</v>
      </c>
      <c r="D190" t="inlineStr">
        <is>
          <t>JÄMTLANDS LÄN</t>
        </is>
      </c>
      <c r="E190" t="inlineStr">
        <is>
          <t>RAGUNDA</t>
        </is>
      </c>
      <c r="F190" t="inlineStr">
        <is>
          <t>SCA</t>
        </is>
      </c>
      <c r="G190" t="n">
        <v>10.8</v>
      </c>
      <c r="H190" t="n">
        <v>0</v>
      </c>
      <c r="I190" t="n">
        <v>0</v>
      </c>
      <c r="J190" t="n">
        <v>1</v>
      </c>
      <c r="K190" t="n">
        <v>1</v>
      </c>
      <c r="L190" t="n">
        <v>0</v>
      </c>
      <c r="M190" t="n">
        <v>0</v>
      </c>
      <c r="N190" t="n">
        <v>0</v>
      </c>
      <c r="O190" t="n">
        <v>2</v>
      </c>
      <c r="P190" t="n">
        <v>1</v>
      </c>
      <c r="Q190" t="n">
        <v>2</v>
      </c>
      <c r="R190" s="2" t="inlineStr">
        <is>
          <t>Gräddporing
Dvärgbägarlav</t>
        </is>
      </c>
      <c r="S190">
        <f>HYPERLINK("https://klasma.github.io/Logging_2303/artfynd/A 11086-2025 artfynd.xlsx", "A 11086-2025")</f>
        <v/>
      </c>
      <c r="T190">
        <f>HYPERLINK("https://klasma.github.io/Logging_2303/kartor/A 11086-2025 karta.png", "A 11086-2025")</f>
        <v/>
      </c>
      <c r="V190">
        <f>HYPERLINK("https://klasma.github.io/Logging_2303/klagomål/A 11086-2025 FSC-klagomål.docx", "A 11086-2025")</f>
        <v/>
      </c>
      <c r="W190">
        <f>HYPERLINK("https://klasma.github.io/Logging_2303/klagomålsmail/A 11086-2025 FSC-klagomål mail.docx", "A 11086-2025")</f>
        <v/>
      </c>
      <c r="X190">
        <f>HYPERLINK("https://klasma.github.io/Logging_2303/tillsyn/A 11086-2025 tillsynsbegäran.docx", "A 11086-2025")</f>
        <v/>
      </c>
      <c r="Y190">
        <f>HYPERLINK("https://klasma.github.io/Logging_2303/tillsynsmail/A 11086-2025 tillsynsbegäran mail.docx", "A 11086-2025")</f>
        <v/>
      </c>
    </row>
    <row r="191" ht="15" customHeight="1">
      <c r="A191" t="inlineStr">
        <is>
          <t>A 41490-2022</t>
        </is>
      </c>
      <c r="B191" s="1" t="n">
        <v>44826.94976851852</v>
      </c>
      <c r="C191" s="1" t="n">
        <v>46041</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21245-2025</t>
        </is>
      </c>
      <c r="B192" s="1" t="n">
        <v>45779.57350694444</v>
      </c>
      <c r="C192" s="1" t="n">
        <v>46041</v>
      </c>
      <c r="D192" t="inlineStr">
        <is>
          <t>JÄMTLANDS LÄN</t>
        </is>
      </c>
      <c r="E192" t="inlineStr">
        <is>
          <t>RAGUNDA</t>
        </is>
      </c>
      <c r="F192" t="inlineStr">
        <is>
          <t>SCA</t>
        </is>
      </c>
      <c r="G192" t="n">
        <v>3.7</v>
      </c>
      <c r="H192" t="n">
        <v>1</v>
      </c>
      <c r="I192" t="n">
        <v>0</v>
      </c>
      <c r="J192" t="n">
        <v>1</v>
      </c>
      <c r="K192" t="n">
        <v>0</v>
      </c>
      <c r="L192" t="n">
        <v>0</v>
      </c>
      <c r="M192" t="n">
        <v>0</v>
      </c>
      <c r="N192" t="n">
        <v>0</v>
      </c>
      <c r="O192" t="n">
        <v>1</v>
      </c>
      <c r="P192" t="n">
        <v>0</v>
      </c>
      <c r="Q192" t="n">
        <v>2</v>
      </c>
      <c r="R192" s="2" t="inlineStr">
        <is>
          <t>Garnlav
Tjäder</t>
        </is>
      </c>
      <c r="S192">
        <f>HYPERLINK("https://klasma.github.io/Logging_2303/artfynd/A 21245-2025 artfynd.xlsx", "A 21245-2025")</f>
        <v/>
      </c>
      <c r="T192">
        <f>HYPERLINK("https://klasma.github.io/Logging_2303/kartor/A 21245-2025 karta.png", "A 21245-2025")</f>
        <v/>
      </c>
      <c r="V192">
        <f>HYPERLINK("https://klasma.github.io/Logging_2303/klagomål/A 21245-2025 FSC-klagomål.docx", "A 21245-2025")</f>
        <v/>
      </c>
      <c r="W192">
        <f>HYPERLINK("https://klasma.github.io/Logging_2303/klagomålsmail/A 21245-2025 FSC-klagomål mail.docx", "A 21245-2025")</f>
        <v/>
      </c>
      <c r="X192">
        <f>HYPERLINK("https://klasma.github.io/Logging_2303/tillsyn/A 21245-2025 tillsynsbegäran.docx", "A 21245-2025")</f>
        <v/>
      </c>
      <c r="Y192">
        <f>HYPERLINK("https://klasma.github.io/Logging_2303/tillsynsmail/A 21245-2025 tillsynsbegäran mail.docx", "A 21245-2025")</f>
        <v/>
      </c>
      <c r="Z192">
        <f>HYPERLINK("https://klasma.github.io/Logging_2303/fåglar/A 21245-2025 prioriterade fågelarter.docx", "A 21245-2025")</f>
        <v/>
      </c>
    </row>
    <row r="193" ht="15" customHeight="1">
      <c r="A193" t="inlineStr">
        <is>
          <t>A 25155-2025</t>
        </is>
      </c>
      <c r="B193" s="1" t="n">
        <v>45800.42782407408</v>
      </c>
      <c r="C193" s="1" t="n">
        <v>46041</v>
      </c>
      <c r="D193" t="inlineStr">
        <is>
          <t>JÄMTLANDS LÄN</t>
        </is>
      </c>
      <c r="E193" t="inlineStr">
        <is>
          <t>RAGUNDA</t>
        </is>
      </c>
      <c r="F193" t="inlineStr">
        <is>
          <t>SCA</t>
        </is>
      </c>
      <c r="G193" t="n">
        <v>1.7</v>
      </c>
      <c r="H193" t="n">
        <v>1</v>
      </c>
      <c r="I193" t="n">
        <v>0</v>
      </c>
      <c r="J193" t="n">
        <v>1</v>
      </c>
      <c r="K193" t="n">
        <v>0</v>
      </c>
      <c r="L193" t="n">
        <v>0</v>
      </c>
      <c r="M193" t="n">
        <v>0</v>
      </c>
      <c r="N193" t="n">
        <v>0</v>
      </c>
      <c r="O193" t="n">
        <v>1</v>
      </c>
      <c r="P193" t="n">
        <v>0</v>
      </c>
      <c r="Q193" t="n">
        <v>2</v>
      </c>
      <c r="R193" s="2" t="inlineStr">
        <is>
          <t>Leptoporus mollis
Fläcknycklar</t>
        </is>
      </c>
      <c r="S193">
        <f>HYPERLINK("https://klasma.github.io/Logging_2303/artfynd/A 25155-2025 artfynd.xlsx", "A 25155-2025")</f>
        <v/>
      </c>
      <c r="T193">
        <f>HYPERLINK("https://klasma.github.io/Logging_2303/kartor/A 25155-2025 karta.png", "A 25155-2025")</f>
        <v/>
      </c>
      <c r="V193">
        <f>HYPERLINK("https://klasma.github.io/Logging_2303/klagomål/A 25155-2025 FSC-klagomål.docx", "A 25155-2025")</f>
        <v/>
      </c>
      <c r="W193">
        <f>HYPERLINK("https://klasma.github.io/Logging_2303/klagomålsmail/A 25155-2025 FSC-klagomål mail.docx", "A 25155-2025")</f>
        <v/>
      </c>
      <c r="X193">
        <f>HYPERLINK("https://klasma.github.io/Logging_2303/tillsyn/A 25155-2025 tillsynsbegäran.docx", "A 25155-2025")</f>
        <v/>
      </c>
      <c r="Y193">
        <f>HYPERLINK("https://klasma.github.io/Logging_2303/tillsynsmail/A 25155-2025 tillsynsbegäran mail.docx", "A 25155-2025")</f>
        <v/>
      </c>
    </row>
    <row r="194" ht="15" customHeight="1">
      <c r="A194" t="inlineStr">
        <is>
          <t>A 48427-2023</t>
        </is>
      </c>
      <c r="B194" s="1" t="n">
        <v>45205</v>
      </c>
      <c r="C194" s="1" t="n">
        <v>46041</v>
      </c>
      <c r="D194" t="inlineStr">
        <is>
          <t>JÄMTLANDS LÄN</t>
        </is>
      </c>
      <c r="E194" t="inlineStr">
        <is>
          <t>RAGUNDA</t>
        </is>
      </c>
      <c r="F194" t="inlineStr">
        <is>
          <t>SCA</t>
        </is>
      </c>
      <c r="G194" t="n">
        <v>10.1</v>
      </c>
      <c r="H194" t="n">
        <v>0</v>
      </c>
      <c r="I194" t="n">
        <v>1</v>
      </c>
      <c r="J194" t="n">
        <v>1</v>
      </c>
      <c r="K194" t="n">
        <v>0</v>
      </c>
      <c r="L194" t="n">
        <v>0</v>
      </c>
      <c r="M194" t="n">
        <v>0</v>
      </c>
      <c r="N194" t="n">
        <v>0</v>
      </c>
      <c r="O194" t="n">
        <v>1</v>
      </c>
      <c r="P194" t="n">
        <v>0</v>
      </c>
      <c r="Q194" t="n">
        <v>2</v>
      </c>
      <c r="R194" s="2" t="inlineStr">
        <is>
          <t>Lunglav
Luddlav</t>
        </is>
      </c>
      <c r="S194">
        <f>HYPERLINK("https://klasma.github.io/Logging_2303/artfynd/A 48427-2023 artfynd.xlsx", "A 48427-2023")</f>
        <v/>
      </c>
      <c r="T194">
        <f>HYPERLINK("https://klasma.github.io/Logging_2303/kartor/A 48427-2023 karta.png", "A 48427-2023")</f>
        <v/>
      </c>
      <c r="V194">
        <f>HYPERLINK("https://klasma.github.io/Logging_2303/klagomål/A 48427-2023 FSC-klagomål.docx", "A 48427-2023")</f>
        <v/>
      </c>
      <c r="W194">
        <f>HYPERLINK("https://klasma.github.io/Logging_2303/klagomålsmail/A 48427-2023 FSC-klagomål mail.docx", "A 48427-2023")</f>
        <v/>
      </c>
      <c r="X194">
        <f>HYPERLINK("https://klasma.github.io/Logging_2303/tillsyn/A 48427-2023 tillsynsbegäran.docx", "A 48427-2023")</f>
        <v/>
      </c>
      <c r="Y194">
        <f>HYPERLINK("https://klasma.github.io/Logging_2303/tillsynsmail/A 48427-2023 tillsynsbegäran mail.docx", "A 48427-2023")</f>
        <v/>
      </c>
    </row>
    <row r="195" ht="15" customHeight="1">
      <c r="A195" t="inlineStr">
        <is>
          <t>A 31960-2025</t>
        </is>
      </c>
      <c r="B195" s="1" t="n">
        <v>45835.344375</v>
      </c>
      <c r="C195" s="1" t="n">
        <v>46041</v>
      </c>
      <c r="D195" t="inlineStr">
        <is>
          <t>JÄMTLANDS LÄN</t>
        </is>
      </c>
      <c r="E195" t="inlineStr">
        <is>
          <t>RAGUNDA</t>
        </is>
      </c>
      <c r="F195" t="inlineStr">
        <is>
          <t>SCA</t>
        </is>
      </c>
      <c r="G195" t="n">
        <v>1.6</v>
      </c>
      <c r="H195" t="n">
        <v>0</v>
      </c>
      <c r="I195" t="n">
        <v>0</v>
      </c>
      <c r="J195" t="n">
        <v>2</v>
      </c>
      <c r="K195" t="n">
        <v>0</v>
      </c>
      <c r="L195" t="n">
        <v>0</v>
      </c>
      <c r="M195" t="n">
        <v>0</v>
      </c>
      <c r="N195" t="n">
        <v>0</v>
      </c>
      <c r="O195" t="n">
        <v>2</v>
      </c>
      <c r="P195" t="n">
        <v>0</v>
      </c>
      <c r="Q195" t="n">
        <v>2</v>
      </c>
      <c r="R195" s="2" t="inlineStr">
        <is>
          <t>Gammelgransskål
Garnlav</t>
        </is>
      </c>
      <c r="S195">
        <f>HYPERLINK("https://klasma.github.io/Logging_2303/artfynd/A 31960-2025 artfynd.xlsx", "A 31960-2025")</f>
        <v/>
      </c>
      <c r="T195">
        <f>HYPERLINK("https://klasma.github.io/Logging_2303/kartor/A 31960-2025 karta.png", "A 31960-2025")</f>
        <v/>
      </c>
      <c r="V195">
        <f>HYPERLINK("https://klasma.github.io/Logging_2303/klagomål/A 31960-2025 FSC-klagomål.docx", "A 31960-2025")</f>
        <v/>
      </c>
      <c r="W195">
        <f>HYPERLINK("https://klasma.github.io/Logging_2303/klagomålsmail/A 31960-2025 FSC-klagomål mail.docx", "A 31960-2025")</f>
        <v/>
      </c>
      <c r="X195">
        <f>HYPERLINK("https://klasma.github.io/Logging_2303/tillsyn/A 31960-2025 tillsynsbegäran.docx", "A 31960-2025")</f>
        <v/>
      </c>
      <c r="Y195">
        <f>HYPERLINK("https://klasma.github.io/Logging_2303/tillsynsmail/A 31960-2025 tillsynsbegäran mail.docx", "A 31960-2025")</f>
        <v/>
      </c>
    </row>
    <row r="196" ht="15" customHeight="1">
      <c r="A196" t="inlineStr">
        <is>
          <t>A 35131-2025</t>
        </is>
      </c>
      <c r="B196" s="1" t="n">
        <v>45852.63597222222</v>
      </c>
      <c r="C196" s="1" t="n">
        <v>46041</v>
      </c>
      <c r="D196" t="inlineStr">
        <is>
          <t>JÄMTLANDS LÄN</t>
        </is>
      </c>
      <c r="E196" t="inlineStr">
        <is>
          <t>RAGUNDA</t>
        </is>
      </c>
      <c r="F196" t="inlineStr">
        <is>
          <t>SCA</t>
        </is>
      </c>
      <c r="G196" t="n">
        <v>6.9</v>
      </c>
      <c r="H196" t="n">
        <v>1</v>
      </c>
      <c r="I196" t="n">
        <v>1</v>
      </c>
      <c r="J196" t="n">
        <v>0</v>
      </c>
      <c r="K196" t="n">
        <v>0</v>
      </c>
      <c r="L196" t="n">
        <v>0</v>
      </c>
      <c r="M196" t="n">
        <v>0</v>
      </c>
      <c r="N196" t="n">
        <v>0</v>
      </c>
      <c r="O196" t="n">
        <v>0</v>
      </c>
      <c r="P196" t="n">
        <v>0</v>
      </c>
      <c r="Q196" t="n">
        <v>2</v>
      </c>
      <c r="R196" s="2" t="inlineStr">
        <is>
          <t>Ögonpyrola
Nattviol</t>
        </is>
      </c>
      <c r="S196">
        <f>HYPERLINK("https://klasma.github.io/Logging_2303/artfynd/A 35131-2025 artfynd.xlsx", "A 35131-2025")</f>
        <v/>
      </c>
      <c r="T196">
        <f>HYPERLINK("https://klasma.github.io/Logging_2303/kartor/A 35131-2025 karta.png", "A 35131-2025")</f>
        <v/>
      </c>
      <c r="V196">
        <f>HYPERLINK("https://klasma.github.io/Logging_2303/klagomål/A 35131-2025 FSC-klagomål.docx", "A 35131-2025")</f>
        <v/>
      </c>
      <c r="W196">
        <f>HYPERLINK("https://klasma.github.io/Logging_2303/klagomålsmail/A 35131-2025 FSC-klagomål mail.docx", "A 35131-2025")</f>
        <v/>
      </c>
      <c r="X196">
        <f>HYPERLINK("https://klasma.github.io/Logging_2303/tillsyn/A 35131-2025 tillsynsbegäran.docx", "A 35131-2025")</f>
        <v/>
      </c>
      <c r="Y196">
        <f>HYPERLINK("https://klasma.github.io/Logging_2303/tillsynsmail/A 35131-2025 tillsynsbegäran mail.docx", "A 35131-2025")</f>
        <v/>
      </c>
    </row>
    <row r="197" ht="15" customHeight="1">
      <c r="A197" t="inlineStr">
        <is>
          <t>A 51916-2021</t>
        </is>
      </c>
      <c r="B197" s="1" t="n">
        <v>44462</v>
      </c>
      <c r="C197" s="1" t="n">
        <v>46041</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46041</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46041</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46041</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46041</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46041</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2929-2024</t>
        </is>
      </c>
      <c r="B203" s="1" t="n">
        <v>45315</v>
      </c>
      <c r="C203" s="1" t="n">
        <v>46041</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46041</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56599-2025</t>
        </is>
      </c>
      <c r="B205" s="1" t="n">
        <v>45975.5734837963</v>
      </c>
      <c r="C205" s="1" t="n">
        <v>46041</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Lunglav</t>
        </is>
      </c>
      <c r="S205">
        <f>HYPERLINK("https://klasma.github.io/Logging_2303/artfynd/A 56599-2025 artfynd.xlsx", "A 56599-2025")</f>
        <v/>
      </c>
      <c r="T205">
        <f>HYPERLINK("https://klasma.github.io/Logging_2303/kartor/A 56599-2025 karta.png", "A 56599-2025")</f>
        <v/>
      </c>
      <c r="V205">
        <f>HYPERLINK("https://klasma.github.io/Logging_2303/klagomål/A 56599-2025 FSC-klagomål.docx", "A 56599-2025")</f>
        <v/>
      </c>
      <c r="W205">
        <f>HYPERLINK("https://klasma.github.io/Logging_2303/klagomålsmail/A 56599-2025 FSC-klagomål mail.docx", "A 56599-2025")</f>
        <v/>
      </c>
      <c r="X205">
        <f>HYPERLINK("https://klasma.github.io/Logging_2303/tillsyn/A 56599-2025 tillsynsbegäran.docx", "A 56599-2025")</f>
        <v/>
      </c>
      <c r="Y205">
        <f>HYPERLINK("https://klasma.github.io/Logging_2303/tillsynsmail/A 56599-2025 tillsynsbegäran mail.docx", "A 56599-2025")</f>
        <v/>
      </c>
    </row>
    <row r="206" ht="15" customHeight="1">
      <c r="A206" t="inlineStr">
        <is>
          <t>A 40841-2025</t>
        </is>
      </c>
      <c r="B206" s="1" t="n">
        <v>45897.531875</v>
      </c>
      <c r="C206" s="1" t="n">
        <v>46041</v>
      </c>
      <c r="D206" t="inlineStr">
        <is>
          <t>JÄMTLANDS LÄN</t>
        </is>
      </c>
      <c r="E206" t="inlineStr">
        <is>
          <t>RAGUNDA</t>
        </is>
      </c>
      <c r="F206" t="inlineStr">
        <is>
          <t>SCA</t>
        </is>
      </c>
      <c r="G206" t="n">
        <v>1.1</v>
      </c>
      <c r="H206" t="n">
        <v>0</v>
      </c>
      <c r="I206" t="n">
        <v>0</v>
      </c>
      <c r="J206" t="n">
        <v>1</v>
      </c>
      <c r="K206" t="n">
        <v>0</v>
      </c>
      <c r="L206" t="n">
        <v>0</v>
      </c>
      <c r="M206" t="n">
        <v>0</v>
      </c>
      <c r="N206" t="n">
        <v>0</v>
      </c>
      <c r="O206" t="n">
        <v>1</v>
      </c>
      <c r="P206" t="n">
        <v>0</v>
      </c>
      <c r="Q206" t="n">
        <v>1</v>
      </c>
      <c r="R206" s="2" t="inlineStr">
        <is>
          <t>Garnlav</t>
        </is>
      </c>
      <c r="S206">
        <f>HYPERLINK("https://klasma.github.io/Logging_2303/artfynd/A 40841-2025 artfynd.xlsx", "A 40841-2025")</f>
        <v/>
      </c>
      <c r="T206">
        <f>HYPERLINK("https://klasma.github.io/Logging_2303/kartor/A 40841-2025 karta.png", "A 40841-2025")</f>
        <v/>
      </c>
      <c r="V206">
        <f>HYPERLINK("https://klasma.github.io/Logging_2303/klagomål/A 40841-2025 FSC-klagomål.docx", "A 40841-2025")</f>
        <v/>
      </c>
      <c r="W206">
        <f>HYPERLINK("https://klasma.github.io/Logging_2303/klagomålsmail/A 40841-2025 FSC-klagomål mail.docx", "A 40841-2025")</f>
        <v/>
      </c>
      <c r="X206">
        <f>HYPERLINK("https://klasma.github.io/Logging_2303/tillsyn/A 40841-2025 tillsynsbegäran.docx", "A 40841-2025")</f>
        <v/>
      </c>
      <c r="Y206">
        <f>HYPERLINK("https://klasma.github.io/Logging_2303/tillsynsmail/A 40841-2025 tillsynsbegäran mail.docx", "A 40841-2025")</f>
        <v/>
      </c>
    </row>
    <row r="207" ht="15" customHeight="1">
      <c r="A207" t="inlineStr">
        <is>
          <t>A 57478-2025</t>
        </is>
      </c>
      <c r="B207" s="1" t="n">
        <v>45980.57349537037</v>
      </c>
      <c r="C207" s="1" t="n">
        <v>46041</v>
      </c>
      <c r="D207" t="inlineStr">
        <is>
          <t>JÄMTLANDS LÄN</t>
        </is>
      </c>
      <c r="E207" t="inlineStr">
        <is>
          <t>RAGUNDA</t>
        </is>
      </c>
      <c r="F207" t="inlineStr">
        <is>
          <t>SCA</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HYPERLINK("https://klasma.github.io/Logging_2303/artfynd/A 57478-2025 artfynd.xlsx", "A 57478-2025")</f>
        <v/>
      </c>
      <c r="T207">
        <f>HYPERLINK("https://klasma.github.io/Logging_2303/kartor/A 57478-2025 karta.png", "A 57478-2025")</f>
        <v/>
      </c>
      <c r="V207">
        <f>HYPERLINK("https://klasma.github.io/Logging_2303/klagomål/A 57478-2025 FSC-klagomål.docx", "A 57478-2025")</f>
        <v/>
      </c>
      <c r="W207">
        <f>HYPERLINK("https://klasma.github.io/Logging_2303/klagomålsmail/A 57478-2025 FSC-klagomål mail.docx", "A 57478-2025")</f>
        <v/>
      </c>
      <c r="X207">
        <f>HYPERLINK("https://klasma.github.io/Logging_2303/tillsyn/A 57478-2025 tillsynsbegäran.docx", "A 57478-2025")</f>
        <v/>
      </c>
      <c r="Y207">
        <f>HYPERLINK("https://klasma.github.io/Logging_2303/tillsynsmail/A 57478-2025 tillsynsbegäran mail.docx", "A 57478-2025")</f>
        <v/>
      </c>
    </row>
    <row r="208" ht="15" customHeight="1">
      <c r="A208" t="inlineStr">
        <is>
          <t>A 57253-2025</t>
        </is>
      </c>
      <c r="B208" s="1" t="n">
        <v>45979.64381944444</v>
      </c>
      <c r="C208" s="1" t="n">
        <v>46041</v>
      </c>
      <c r="D208" t="inlineStr">
        <is>
          <t>JÄMTLANDS LÄN</t>
        </is>
      </c>
      <c r="E208" t="inlineStr">
        <is>
          <t>RAGUNDA</t>
        </is>
      </c>
      <c r="G208" t="n">
        <v>1.2</v>
      </c>
      <c r="H208" t="n">
        <v>0</v>
      </c>
      <c r="I208" t="n">
        <v>1</v>
      </c>
      <c r="J208" t="n">
        <v>0</v>
      </c>
      <c r="K208" t="n">
        <v>0</v>
      </c>
      <c r="L208" t="n">
        <v>0</v>
      </c>
      <c r="M208" t="n">
        <v>0</v>
      </c>
      <c r="N208" t="n">
        <v>0</v>
      </c>
      <c r="O208" t="n">
        <v>0</v>
      </c>
      <c r="P208" t="n">
        <v>0</v>
      </c>
      <c r="Q208" t="n">
        <v>1</v>
      </c>
      <c r="R208" s="2" t="inlineStr">
        <is>
          <t>Skinnlav</t>
        </is>
      </c>
      <c r="S208">
        <f>HYPERLINK("https://klasma.github.io/Logging_2303/artfynd/A 57253-2025 artfynd.xlsx", "A 57253-2025")</f>
        <v/>
      </c>
      <c r="T208">
        <f>HYPERLINK("https://klasma.github.io/Logging_2303/kartor/A 57253-2025 karta.png", "A 57253-2025")</f>
        <v/>
      </c>
      <c r="V208">
        <f>HYPERLINK("https://klasma.github.io/Logging_2303/klagomål/A 57253-2025 FSC-klagomål.docx", "A 57253-2025")</f>
        <v/>
      </c>
      <c r="W208">
        <f>HYPERLINK("https://klasma.github.io/Logging_2303/klagomålsmail/A 57253-2025 FSC-klagomål mail.docx", "A 57253-2025")</f>
        <v/>
      </c>
      <c r="X208">
        <f>HYPERLINK("https://klasma.github.io/Logging_2303/tillsyn/A 57253-2025 tillsynsbegäran.docx", "A 57253-2025")</f>
        <v/>
      </c>
      <c r="Y208">
        <f>HYPERLINK("https://klasma.github.io/Logging_2303/tillsynsmail/A 57253-2025 tillsynsbegäran mail.docx", "A 57253-2025")</f>
        <v/>
      </c>
    </row>
    <row r="209" ht="15" customHeight="1">
      <c r="A209" t="inlineStr">
        <is>
          <t>A 57479-2025</t>
        </is>
      </c>
      <c r="B209" s="1" t="n">
        <v>45980.5737037037</v>
      </c>
      <c r="C209" s="1" t="n">
        <v>46041</v>
      </c>
      <c r="D209" t="inlineStr">
        <is>
          <t>JÄMTLANDS LÄN</t>
        </is>
      </c>
      <c r="E209" t="inlineStr">
        <is>
          <t>RAGUNDA</t>
        </is>
      </c>
      <c r="F209" t="inlineStr">
        <is>
          <t>SCA</t>
        </is>
      </c>
      <c r="G209" t="n">
        <v>12</v>
      </c>
      <c r="H209" t="n">
        <v>0</v>
      </c>
      <c r="I209" t="n">
        <v>0</v>
      </c>
      <c r="J209" t="n">
        <v>1</v>
      </c>
      <c r="K209" t="n">
        <v>0</v>
      </c>
      <c r="L209" t="n">
        <v>0</v>
      </c>
      <c r="M209" t="n">
        <v>0</v>
      </c>
      <c r="N209" t="n">
        <v>0</v>
      </c>
      <c r="O209" t="n">
        <v>1</v>
      </c>
      <c r="P209" t="n">
        <v>0</v>
      </c>
      <c r="Q209" t="n">
        <v>1</v>
      </c>
      <c r="R209" s="2" t="inlineStr">
        <is>
          <t>Kolflarnlav</t>
        </is>
      </c>
      <c r="S209">
        <f>HYPERLINK("https://klasma.github.io/Logging_2303/artfynd/A 57479-2025 artfynd.xlsx", "A 57479-2025")</f>
        <v/>
      </c>
      <c r="T209">
        <f>HYPERLINK("https://klasma.github.io/Logging_2303/kartor/A 57479-2025 karta.png", "A 57479-2025")</f>
        <v/>
      </c>
      <c r="V209">
        <f>HYPERLINK("https://klasma.github.io/Logging_2303/klagomål/A 57479-2025 FSC-klagomål.docx", "A 57479-2025")</f>
        <v/>
      </c>
      <c r="W209">
        <f>HYPERLINK("https://klasma.github.io/Logging_2303/klagomålsmail/A 57479-2025 FSC-klagomål mail.docx", "A 57479-2025")</f>
        <v/>
      </c>
      <c r="X209">
        <f>HYPERLINK("https://klasma.github.io/Logging_2303/tillsyn/A 57479-2025 tillsynsbegäran.docx", "A 57479-2025")</f>
        <v/>
      </c>
      <c r="Y209">
        <f>HYPERLINK("https://klasma.github.io/Logging_2303/tillsynsmail/A 57479-2025 tillsynsbegäran mail.docx", "A 57479-2025")</f>
        <v/>
      </c>
    </row>
    <row r="210" ht="15" customHeight="1">
      <c r="A210" t="inlineStr">
        <is>
          <t>A 19751-2025</t>
        </is>
      </c>
      <c r="B210" s="1" t="n">
        <v>45771.3859837963</v>
      </c>
      <c r="C210" s="1" t="n">
        <v>46041</v>
      </c>
      <c r="D210" t="inlineStr">
        <is>
          <t>JÄMTLANDS LÄN</t>
        </is>
      </c>
      <c r="E210" t="inlineStr">
        <is>
          <t>RAGUNDA</t>
        </is>
      </c>
      <c r="F210" t="inlineStr">
        <is>
          <t>SCA</t>
        </is>
      </c>
      <c r="G210" t="n">
        <v>1.1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19751-2025 artfynd.xlsx", "A 19751-2025")</f>
        <v/>
      </c>
      <c r="T210">
        <f>HYPERLINK("https://klasma.github.io/Logging_2303/kartor/A 19751-2025 karta.png", "A 19751-2025")</f>
        <v/>
      </c>
      <c r="V210">
        <f>HYPERLINK("https://klasma.github.io/Logging_2303/klagomål/A 19751-2025 FSC-klagomål.docx", "A 19751-2025")</f>
        <v/>
      </c>
      <c r="W210">
        <f>HYPERLINK("https://klasma.github.io/Logging_2303/klagomålsmail/A 19751-2025 FSC-klagomål mail.docx", "A 19751-2025")</f>
        <v/>
      </c>
      <c r="X210">
        <f>HYPERLINK("https://klasma.github.io/Logging_2303/tillsyn/A 19751-2025 tillsynsbegäran.docx", "A 19751-2025")</f>
        <v/>
      </c>
      <c r="Y210">
        <f>HYPERLINK("https://klasma.github.io/Logging_2303/tillsynsmail/A 19751-2025 tillsynsbegäran mail.docx", "A 19751-2025")</f>
        <v/>
      </c>
      <c r="Z210">
        <f>HYPERLINK("https://klasma.github.io/Logging_2303/fåglar/A 19751-2025 prioriterade fågelarter.docx", "A 19751-2025")</f>
        <v/>
      </c>
    </row>
    <row r="211" ht="15" customHeight="1">
      <c r="A211" t="inlineStr">
        <is>
          <t>A 16316-2025</t>
        </is>
      </c>
      <c r="B211" s="1" t="n">
        <v>45751.34795138889</v>
      </c>
      <c r="C211" s="1" t="n">
        <v>46041</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1057-2024</t>
        </is>
      </c>
      <c r="B212" s="1" t="n">
        <v>45301</v>
      </c>
      <c r="C212" s="1" t="n">
        <v>46041</v>
      </c>
      <c r="D212" t="inlineStr">
        <is>
          <t>JÄMTLANDS LÄN</t>
        </is>
      </c>
      <c r="E212" t="inlineStr">
        <is>
          <t>RAGUNDA</t>
        </is>
      </c>
      <c r="F212" t="inlineStr">
        <is>
          <t>SCA</t>
        </is>
      </c>
      <c r="G212" t="n">
        <v>6.8</v>
      </c>
      <c r="H212" t="n">
        <v>0</v>
      </c>
      <c r="I212" t="n">
        <v>1</v>
      </c>
      <c r="J212" t="n">
        <v>0</v>
      </c>
      <c r="K212" t="n">
        <v>0</v>
      </c>
      <c r="L212" t="n">
        <v>0</v>
      </c>
      <c r="M212" t="n">
        <v>0</v>
      </c>
      <c r="N212" t="n">
        <v>0</v>
      </c>
      <c r="O212" t="n">
        <v>0</v>
      </c>
      <c r="P212" t="n">
        <v>0</v>
      </c>
      <c r="Q212" t="n">
        <v>1</v>
      </c>
      <c r="R212" s="2" t="inlineStr">
        <is>
          <t>Stor aspticka</t>
        </is>
      </c>
      <c r="S212">
        <f>HYPERLINK("https://klasma.github.io/Logging_2303/artfynd/A 1057-2024 artfynd.xlsx", "A 1057-2024")</f>
        <v/>
      </c>
      <c r="T212">
        <f>HYPERLINK("https://klasma.github.io/Logging_2303/kartor/A 1057-2024 karta.png", "A 1057-2024")</f>
        <v/>
      </c>
      <c r="V212">
        <f>HYPERLINK("https://klasma.github.io/Logging_2303/klagomål/A 1057-2024 FSC-klagomål.docx", "A 1057-2024")</f>
        <v/>
      </c>
      <c r="W212">
        <f>HYPERLINK("https://klasma.github.io/Logging_2303/klagomålsmail/A 1057-2024 FSC-klagomål mail.docx", "A 1057-2024")</f>
        <v/>
      </c>
      <c r="X212">
        <f>HYPERLINK("https://klasma.github.io/Logging_2303/tillsyn/A 1057-2024 tillsynsbegäran.docx", "A 1057-2024")</f>
        <v/>
      </c>
      <c r="Y212">
        <f>HYPERLINK("https://klasma.github.io/Logging_2303/tillsynsmail/A 1057-2024 tillsynsbegäran mail.docx", "A 1057-2024")</f>
        <v/>
      </c>
    </row>
    <row r="213" ht="15" customHeight="1">
      <c r="A213" t="inlineStr">
        <is>
          <t>A 58990-2025</t>
        </is>
      </c>
      <c r="B213" s="1" t="n">
        <v>45987</v>
      </c>
      <c r="C213" s="1" t="n">
        <v>46041</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978-2024</t>
        </is>
      </c>
      <c r="B214" s="1" t="n">
        <v>45301</v>
      </c>
      <c r="C214" s="1" t="n">
        <v>46041</v>
      </c>
      <c r="D214" t="inlineStr">
        <is>
          <t>JÄMTLANDS LÄN</t>
        </is>
      </c>
      <c r="E214" t="inlineStr">
        <is>
          <t>RAGUNDA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978-2024 artfynd.xlsx", "A 978-2024")</f>
        <v/>
      </c>
      <c r="T214">
        <f>HYPERLINK("https://klasma.github.io/Logging_2303/kartor/A 978-2024 karta.png", "A 978-2024")</f>
        <v/>
      </c>
      <c r="V214">
        <f>HYPERLINK("https://klasma.github.io/Logging_2303/klagomål/A 978-2024 FSC-klagomål.docx", "A 978-2024")</f>
        <v/>
      </c>
      <c r="W214">
        <f>HYPERLINK("https://klasma.github.io/Logging_2303/klagomålsmail/A 978-2024 FSC-klagomål mail.docx", "A 978-2024")</f>
        <v/>
      </c>
      <c r="X214">
        <f>HYPERLINK("https://klasma.github.io/Logging_2303/tillsyn/A 978-2024 tillsynsbegäran.docx", "A 978-2024")</f>
        <v/>
      </c>
      <c r="Y214">
        <f>HYPERLINK("https://klasma.github.io/Logging_2303/tillsynsmail/A 978-2024 tillsynsbegäran mail.docx", "A 978-2024")</f>
        <v/>
      </c>
      <c r="Z214">
        <f>HYPERLINK("https://klasma.github.io/Logging_2303/fåglar/A 978-2024 prioriterade fågelarter.docx", "A 978-2024")</f>
        <v/>
      </c>
    </row>
    <row r="215" ht="15" customHeight="1">
      <c r="A215" t="inlineStr">
        <is>
          <t>A 59104-2023</t>
        </is>
      </c>
      <c r="B215" s="1" t="n">
        <v>45252</v>
      </c>
      <c r="C215" s="1" t="n">
        <v>46041</v>
      </c>
      <c r="D215" t="inlineStr">
        <is>
          <t>JÄMTLANDS LÄN</t>
        </is>
      </c>
      <c r="E215" t="inlineStr">
        <is>
          <t>RAGUNDA</t>
        </is>
      </c>
      <c r="F215" t="inlineStr">
        <is>
          <t>SCA</t>
        </is>
      </c>
      <c r="G215" t="n">
        <v>4.2</v>
      </c>
      <c r="H215" t="n">
        <v>0</v>
      </c>
      <c r="I215" t="n">
        <v>0</v>
      </c>
      <c r="J215" t="n">
        <v>1</v>
      </c>
      <c r="K215" t="n">
        <v>0</v>
      </c>
      <c r="L215" t="n">
        <v>0</v>
      </c>
      <c r="M215" t="n">
        <v>0</v>
      </c>
      <c r="N215" t="n">
        <v>0</v>
      </c>
      <c r="O215" t="n">
        <v>1</v>
      </c>
      <c r="P215" t="n">
        <v>0</v>
      </c>
      <c r="Q215" t="n">
        <v>1</v>
      </c>
      <c r="R215" s="2" t="inlineStr">
        <is>
          <t>Ullticka</t>
        </is>
      </c>
      <c r="S215">
        <f>HYPERLINK("https://klasma.github.io/Logging_2303/artfynd/A 59104-2023 artfynd.xlsx", "A 59104-2023")</f>
        <v/>
      </c>
      <c r="T215">
        <f>HYPERLINK("https://klasma.github.io/Logging_2303/kartor/A 59104-2023 karta.png", "A 59104-2023")</f>
        <v/>
      </c>
      <c r="V215">
        <f>HYPERLINK("https://klasma.github.io/Logging_2303/klagomål/A 59104-2023 FSC-klagomål.docx", "A 59104-2023")</f>
        <v/>
      </c>
      <c r="W215">
        <f>HYPERLINK("https://klasma.github.io/Logging_2303/klagomålsmail/A 59104-2023 FSC-klagomål mail.docx", "A 59104-2023")</f>
        <v/>
      </c>
      <c r="X215">
        <f>HYPERLINK("https://klasma.github.io/Logging_2303/tillsyn/A 59104-2023 tillsynsbegäran.docx", "A 59104-2023")</f>
        <v/>
      </c>
      <c r="Y215">
        <f>HYPERLINK("https://klasma.github.io/Logging_2303/tillsynsmail/A 59104-2023 tillsynsbegäran mail.docx", "A 59104-2023")</f>
        <v/>
      </c>
    </row>
    <row r="216" ht="15" customHeight="1">
      <c r="A216" t="inlineStr">
        <is>
          <t>A 36224-2023</t>
        </is>
      </c>
      <c r="B216" s="1" t="n">
        <v>45149</v>
      </c>
      <c r="C216" s="1" t="n">
        <v>46041</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43526-2025</t>
        </is>
      </c>
      <c r="B217" s="1" t="n">
        <v>45911</v>
      </c>
      <c r="C217" s="1" t="n">
        <v>46041</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17340-2023</t>
        </is>
      </c>
      <c r="B218" s="1" t="n">
        <v>45033</v>
      </c>
      <c r="C218" s="1" t="n">
        <v>46041</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30485-2024</t>
        </is>
      </c>
      <c r="B219" s="1" t="n">
        <v>45491.95008101852</v>
      </c>
      <c r="C219" s="1" t="n">
        <v>46041</v>
      </c>
      <c r="D219" t="inlineStr">
        <is>
          <t>JÄMTLANDS LÄN</t>
        </is>
      </c>
      <c r="E219" t="inlineStr">
        <is>
          <t>RAGUNDA</t>
        </is>
      </c>
      <c r="F219" t="inlineStr">
        <is>
          <t>SCA</t>
        </is>
      </c>
      <c r="G219" t="n">
        <v>2</v>
      </c>
      <c r="H219" t="n">
        <v>0</v>
      </c>
      <c r="I219" t="n">
        <v>0</v>
      </c>
      <c r="J219" t="n">
        <v>1</v>
      </c>
      <c r="K219" t="n">
        <v>0</v>
      </c>
      <c r="L219" t="n">
        <v>0</v>
      </c>
      <c r="M219" t="n">
        <v>0</v>
      </c>
      <c r="N219" t="n">
        <v>0</v>
      </c>
      <c r="O219" t="n">
        <v>1</v>
      </c>
      <c r="P219" t="n">
        <v>0</v>
      </c>
      <c r="Q219" t="n">
        <v>1</v>
      </c>
      <c r="R219" s="2" t="inlineStr">
        <is>
          <t>Garnlav</t>
        </is>
      </c>
      <c r="S219">
        <f>HYPERLINK("https://klasma.github.io/Logging_2303/artfynd/A 30485-2024 artfynd.xlsx", "A 30485-2024")</f>
        <v/>
      </c>
      <c r="T219">
        <f>HYPERLINK("https://klasma.github.io/Logging_2303/kartor/A 30485-2024 karta.png", "A 30485-2024")</f>
        <v/>
      </c>
      <c r="V219">
        <f>HYPERLINK("https://klasma.github.io/Logging_2303/klagomål/A 30485-2024 FSC-klagomål.docx", "A 30485-2024")</f>
        <v/>
      </c>
      <c r="W219">
        <f>HYPERLINK("https://klasma.github.io/Logging_2303/klagomålsmail/A 30485-2024 FSC-klagomål mail.docx", "A 30485-2024")</f>
        <v/>
      </c>
      <c r="X219">
        <f>HYPERLINK("https://klasma.github.io/Logging_2303/tillsyn/A 30485-2024 tillsynsbegäran.docx", "A 30485-2024")</f>
        <v/>
      </c>
      <c r="Y219">
        <f>HYPERLINK("https://klasma.github.io/Logging_2303/tillsynsmail/A 30485-2024 tillsynsbegäran mail.docx", "A 30485-2024")</f>
        <v/>
      </c>
    </row>
    <row r="220" ht="15" customHeight="1">
      <c r="A220" t="inlineStr">
        <is>
          <t>A 29921-2024</t>
        </is>
      </c>
      <c r="B220" s="1" t="n">
        <v>45487.92863425926</v>
      </c>
      <c r="C220" s="1" t="n">
        <v>46041</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2097-2026</t>
        </is>
      </c>
      <c r="B221" s="1" t="n">
        <v>46036.36556712963</v>
      </c>
      <c r="C221" s="1" t="n">
        <v>46041</v>
      </c>
      <c r="D221" t="inlineStr">
        <is>
          <t>JÄMTLANDS LÄN</t>
        </is>
      </c>
      <c r="E221" t="inlineStr">
        <is>
          <t>RAGUNDA</t>
        </is>
      </c>
      <c r="F221" t="inlineStr">
        <is>
          <t>SCA</t>
        </is>
      </c>
      <c r="G221" t="n">
        <v>0.9</v>
      </c>
      <c r="H221" t="n">
        <v>0</v>
      </c>
      <c r="I221" t="n">
        <v>0</v>
      </c>
      <c r="J221" t="n">
        <v>0</v>
      </c>
      <c r="K221" t="n">
        <v>0</v>
      </c>
      <c r="L221" t="n">
        <v>1</v>
      </c>
      <c r="M221" t="n">
        <v>0</v>
      </c>
      <c r="N221" t="n">
        <v>0</v>
      </c>
      <c r="O221" t="n">
        <v>1</v>
      </c>
      <c r="P221" t="n">
        <v>1</v>
      </c>
      <c r="Q221" t="n">
        <v>1</v>
      </c>
      <c r="R221" s="2" t="inlineStr">
        <is>
          <t>Trolldruvemätare</t>
        </is>
      </c>
      <c r="S221">
        <f>HYPERLINK("https://klasma.github.io/Logging_2303/artfynd/A 2097-2026 artfynd.xlsx", "A 2097-2026")</f>
        <v/>
      </c>
      <c r="T221">
        <f>HYPERLINK("https://klasma.github.io/Logging_2303/kartor/A 2097-2026 karta.png", "A 2097-2026")</f>
        <v/>
      </c>
      <c r="V221">
        <f>HYPERLINK("https://klasma.github.io/Logging_2303/klagomål/A 2097-2026 FSC-klagomål.docx", "A 2097-2026")</f>
        <v/>
      </c>
      <c r="W221">
        <f>HYPERLINK("https://klasma.github.io/Logging_2303/klagomålsmail/A 2097-2026 FSC-klagomål mail.docx", "A 2097-2026")</f>
        <v/>
      </c>
      <c r="X221">
        <f>HYPERLINK("https://klasma.github.io/Logging_2303/tillsyn/A 2097-2026 tillsynsbegäran.docx", "A 2097-2026")</f>
        <v/>
      </c>
      <c r="Y221">
        <f>HYPERLINK("https://klasma.github.io/Logging_2303/tillsynsmail/A 2097-2026 tillsynsbegäran mail.docx", "A 2097-2026")</f>
        <v/>
      </c>
    </row>
    <row r="222" ht="15" customHeight="1">
      <c r="A222" t="inlineStr">
        <is>
          <t>A 16724-2025</t>
        </is>
      </c>
      <c r="B222" s="1" t="n">
        <v>45754.51064814815</v>
      </c>
      <c r="C222" s="1" t="n">
        <v>46041</v>
      </c>
      <c r="D222" t="inlineStr">
        <is>
          <t>JÄMTLANDS LÄN</t>
        </is>
      </c>
      <c r="E222" t="inlineStr">
        <is>
          <t>RAGUNDA</t>
        </is>
      </c>
      <c r="G222" t="n">
        <v>3.5</v>
      </c>
      <c r="H222" t="n">
        <v>0</v>
      </c>
      <c r="I222" t="n">
        <v>0</v>
      </c>
      <c r="J222" t="n">
        <v>1</v>
      </c>
      <c r="K222" t="n">
        <v>0</v>
      </c>
      <c r="L222" t="n">
        <v>0</v>
      </c>
      <c r="M222" t="n">
        <v>0</v>
      </c>
      <c r="N222" t="n">
        <v>0</v>
      </c>
      <c r="O222" t="n">
        <v>1</v>
      </c>
      <c r="P222" t="n">
        <v>0</v>
      </c>
      <c r="Q222" t="n">
        <v>1</v>
      </c>
      <c r="R222" s="2" t="inlineStr">
        <is>
          <t>Kolflarnlav</t>
        </is>
      </c>
      <c r="S222">
        <f>HYPERLINK("https://klasma.github.io/Logging_2303/artfynd/A 16724-2025 artfynd.xlsx", "A 16724-2025")</f>
        <v/>
      </c>
      <c r="T222">
        <f>HYPERLINK("https://klasma.github.io/Logging_2303/kartor/A 16724-2025 karta.png", "A 16724-2025")</f>
        <v/>
      </c>
      <c r="V222">
        <f>HYPERLINK("https://klasma.github.io/Logging_2303/klagomål/A 16724-2025 FSC-klagomål.docx", "A 16724-2025")</f>
        <v/>
      </c>
      <c r="W222">
        <f>HYPERLINK("https://klasma.github.io/Logging_2303/klagomålsmail/A 16724-2025 FSC-klagomål mail.docx", "A 16724-2025")</f>
        <v/>
      </c>
      <c r="X222">
        <f>HYPERLINK("https://klasma.github.io/Logging_2303/tillsyn/A 16724-2025 tillsynsbegäran.docx", "A 16724-2025")</f>
        <v/>
      </c>
      <c r="Y222">
        <f>HYPERLINK("https://klasma.github.io/Logging_2303/tillsynsmail/A 16724-2025 tillsynsbegäran mail.docx", "A 16724-2025")</f>
        <v/>
      </c>
    </row>
    <row r="223" ht="15" customHeight="1">
      <c r="A223" t="inlineStr">
        <is>
          <t>A 62072-2023</t>
        </is>
      </c>
      <c r="B223" s="1" t="n">
        <v>45266</v>
      </c>
      <c r="C223" s="1" t="n">
        <v>46041</v>
      </c>
      <c r="D223" t="inlineStr">
        <is>
          <t>JÄMTLANDS LÄN</t>
        </is>
      </c>
      <c r="E223" t="inlineStr">
        <is>
          <t>RAGUNDA</t>
        </is>
      </c>
      <c r="G223" t="n">
        <v>4.5</v>
      </c>
      <c r="H223" t="n">
        <v>1</v>
      </c>
      <c r="I223" t="n">
        <v>0</v>
      </c>
      <c r="J223" t="n">
        <v>0</v>
      </c>
      <c r="K223" t="n">
        <v>1</v>
      </c>
      <c r="L223" t="n">
        <v>0</v>
      </c>
      <c r="M223" t="n">
        <v>0</v>
      </c>
      <c r="N223" t="n">
        <v>0</v>
      </c>
      <c r="O223" t="n">
        <v>1</v>
      </c>
      <c r="P223" t="n">
        <v>1</v>
      </c>
      <c r="Q223" t="n">
        <v>1</v>
      </c>
      <c r="R223" s="2" t="inlineStr">
        <is>
          <t>Lappuggla</t>
        </is>
      </c>
      <c r="S223">
        <f>HYPERLINK("https://klasma.github.io/Logging_2303/artfynd/A 62072-2023 artfynd.xlsx", "A 62072-2023")</f>
        <v/>
      </c>
      <c r="T223">
        <f>HYPERLINK("https://klasma.github.io/Logging_2303/kartor/A 62072-2023 karta.png", "A 62072-2023")</f>
        <v/>
      </c>
      <c r="V223">
        <f>HYPERLINK("https://klasma.github.io/Logging_2303/klagomål/A 62072-2023 FSC-klagomål.docx", "A 62072-2023")</f>
        <v/>
      </c>
      <c r="W223">
        <f>HYPERLINK("https://klasma.github.io/Logging_2303/klagomålsmail/A 62072-2023 FSC-klagomål mail.docx", "A 62072-2023")</f>
        <v/>
      </c>
      <c r="X223">
        <f>HYPERLINK("https://klasma.github.io/Logging_2303/tillsyn/A 62072-2023 tillsynsbegäran.docx", "A 62072-2023")</f>
        <v/>
      </c>
      <c r="Y223">
        <f>HYPERLINK("https://klasma.github.io/Logging_2303/tillsynsmail/A 62072-2023 tillsynsbegäran mail.docx", "A 62072-2023")</f>
        <v/>
      </c>
      <c r="Z223">
        <f>HYPERLINK("https://klasma.github.io/Logging_2303/fåglar/A 62072-2023 prioriterade fågelarter.docx", "A 62072-2023")</f>
        <v/>
      </c>
    </row>
    <row r="224" ht="15" customHeight="1">
      <c r="A224" t="inlineStr">
        <is>
          <t>A 25694-2023</t>
        </is>
      </c>
      <c r="B224" s="1" t="n">
        <v>45089</v>
      </c>
      <c r="C224" s="1" t="n">
        <v>46041</v>
      </c>
      <c r="D224" t="inlineStr">
        <is>
          <t>JÄMTLANDS LÄN</t>
        </is>
      </c>
      <c r="E224" t="inlineStr">
        <is>
          <t>RAGUNDA</t>
        </is>
      </c>
      <c r="F224" t="inlineStr">
        <is>
          <t>SCA</t>
        </is>
      </c>
      <c r="G224" t="n">
        <v>1.5</v>
      </c>
      <c r="H224" t="n">
        <v>0</v>
      </c>
      <c r="I224" t="n">
        <v>0</v>
      </c>
      <c r="J224" t="n">
        <v>1</v>
      </c>
      <c r="K224" t="n">
        <v>0</v>
      </c>
      <c r="L224" t="n">
        <v>0</v>
      </c>
      <c r="M224" t="n">
        <v>0</v>
      </c>
      <c r="N224" t="n">
        <v>0</v>
      </c>
      <c r="O224" t="n">
        <v>1</v>
      </c>
      <c r="P224" t="n">
        <v>0</v>
      </c>
      <c r="Q224" t="n">
        <v>1</v>
      </c>
      <c r="R224" s="2" t="inlineStr">
        <is>
          <t>Ullticka</t>
        </is>
      </c>
      <c r="S224">
        <f>HYPERLINK("https://klasma.github.io/Logging_2303/artfynd/A 25694-2023 artfynd.xlsx", "A 25694-2023")</f>
        <v/>
      </c>
      <c r="T224">
        <f>HYPERLINK("https://klasma.github.io/Logging_2303/kartor/A 25694-2023 karta.png", "A 25694-2023")</f>
        <v/>
      </c>
      <c r="V224">
        <f>HYPERLINK("https://klasma.github.io/Logging_2303/klagomål/A 25694-2023 FSC-klagomål.docx", "A 25694-2023")</f>
        <v/>
      </c>
      <c r="W224">
        <f>HYPERLINK("https://klasma.github.io/Logging_2303/klagomålsmail/A 25694-2023 FSC-klagomål mail.docx", "A 25694-2023")</f>
        <v/>
      </c>
      <c r="X224">
        <f>HYPERLINK("https://klasma.github.io/Logging_2303/tillsyn/A 25694-2023 tillsynsbegäran.docx", "A 25694-2023")</f>
        <v/>
      </c>
      <c r="Y224">
        <f>HYPERLINK("https://klasma.github.io/Logging_2303/tillsynsmail/A 25694-2023 tillsynsbegäran mail.docx", "A 25694-2023")</f>
        <v/>
      </c>
    </row>
    <row r="225" ht="15" customHeight="1">
      <c r="A225" t="inlineStr">
        <is>
          <t>A 49770-2024</t>
        </is>
      </c>
      <c r="B225" s="1" t="n">
        <v>45597.34461805555</v>
      </c>
      <c r="C225" s="1" t="n">
        <v>46041</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49053-2025</t>
        </is>
      </c>
      <c r="B226" s="1" t="n">
        <v>45937.64009259259</v>
      </c>
      <c r="C226" s="1" t="n">
        <v>46041</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36757-2023</t>
        </is>
      </c>
      <c r="B227" s="1" t="n">
        <v>45153</v>
      </c>
      <c r="C227" s="1" t="n">
        <v>46041</v>
      </c>
      <c r="D227" t="inlineStr">
        <is>
          <t>JÄMTLANDS LÄN</t>
        </is>
      </c>
      <c r="E227" t="inlineStr">
        <is>
          <t>RAGUNDA</t>
        </is>
      </c>
      <c r="G227" t="n">
        <v>0.7</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36757-2023 artfynd.xlsx", "A 36757-2023")</f>
        <v/>
      </c>
      <c r="T227">
        <f>HYPERLINK("https://klasma.github.io/Logging_2303/kartor/A 36757-2023 karta.png", "A 36757-2023")</f>
        <v/>
      </c>
      <c r="V227">
        <f>HYPERLINK("https://klasma.github.io/Logging_2303/klagomål/A 36757-2023 FSC-klagomål.docx", "A 36757-2023")</f>
        <v/>
      </c>
      <c r="W227">
        <f>HYPERLINK("https://klasma.github.io/Logging_2303/klagomålsmail/A 36757-2023 FSC-klagomål mail.docx", "A 36757-2023")</f>
        <v/>
      </c>
      <c r="X227">
        <f>HYPERLINK("https://klasma.github.io/Logging_2303/tillsyn/A 36757-2023 tillsynsbegäran.docx", "A 36757-2023")</f>
        <v/>
      </c>
      <c r="Y227">
        <f>HYPERLINK("https://klasma.github.io/Logging_2303/tillsynsmail/A 36757-2023 tillsynsbegäran mail.docx", "A 36757-2023")</f>
        <v/>
      </c>
      <c r="Z227">
        <f>HYPERLINK("https://klasma.github.io/Logging_2303/fåglar/A 36757-2023 prioriterade fågelarter.docx", "A 36757-2023")</f>
        <v/>
      </c>
    </row>
    <row r="228" ht="15" customHeight="1">
      <c r="A228" t="inlineStr">
        <is>
          <t>A 43404-2023</t>
        </is>
      </c>
      <c r="B228" s="1" t="n">
        <v>45183</v>
      </c>
      <c r="C228" s="1" t="n">
        <v>46041</v>
      </c>
      <c r="D228" t="inlineStr">
        <is>
          <t>JÄMTLANDS LÄN</t>
        </is>
      </c>
      <c r="E228" t="inlineStr">
        <is>
          <t>RAGUNDA</t>
        </is>
      </c>
      <c r="F228" t="inlineStr">
        <is>
          <t>SCA</t>
        </is>
      </c>
      <c r="G228" t="n">
        <v>0.9</v>
      </c>
      <c r="H228" t="n">
        <v>0</v>
      </c>
      <c r="I228" t="n">
        <v>1</v>
      </c>
      <c r="J228" t="n">
        <v>0</v>
      </c>
      <c r="K228" t="n">
        <v>0</v>
      </c>
      <c r="L228" t="n">
        <v>0</v>
      </c>
      <c r="M228" t="n">
        <v>0</v>
      </c>
      <c r="N228" t="n">
        <v>0</v>
      </c>
      <c r="O228" t="n">
        <v>0</v>
      </c>
      <c r="P228" t="n">
        <v>0</v>
      </c>
      <c r="Q228" t="n">
        <v>1</v>
      </c>
      <c r="R228" s="2" t="inlineStr">
        <is>
          <t>Kryddspindling</t>
        </is>
      </c>
      <c r="S228">
        <f>HYPERLINK("https://klasma.github.io/Logging_2303/artfynd/A 43404-2023 artfynd.xlsx", "A 43404-2023")</f>
        <v/>
      </c>
      <c r="T228">
        <f>HYPERLINK("https://klasma.github.io/Logging_2303/kartor/A 43404-2023 karta.png", "A 43404-2023")</f>
        <v/>
      </c>
      <c r="V228">
        <f>HYPERLINK("https://klasma.github.io/Logging_2303/klagomål/A 43404-2023 FSC-klagomål.docx", "A 43404-2023")</f>
        <v/>
      </c>
      <c r="W228">
        <f>HYPERLINK("https://klasma.github.io/Logging_2303/klagomålsmail/A 43404-2023 FSC-klagomål mail.docx", "A 43404-2023")</f>
        <v/>
      </c>
      <c r="X228">
        <f>HYPERLINK("https://klasma.github.io/Logging_2303/tillsyn/A 43404-2023 tillsynsbegäran.docx", "A 43404-2023")</f>
        <v/>
      </c>
      <c r="Y228">
        <f>HYPERLINK("https://klasma.github.io/Logging_2303/tillsynsmail/A 43404-2023 tillsynsbegäran mail.docx", "A 43404-2023")</f>
        <v/>
      </c>
    </row>
    <row r="229" ht="15" customHeight="1">
      <c r="A229" t="inlineStr">
        <is>
          <t>A 51912-2025</t>
        </is>
      </c>
      <c r="B229" s="1" t="n">
        <v>45952.46939814815</v>
      </c>
      <c r="C229" s="1" t="n">
        <v>46041</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23930-2024</t>
        </is>
      </c>
      <c r="B230" s="1" t="n">
        <v>45455.96184027778</v>
      </c>
      <c r="C230" s="1" t="n">
        <v>46041</v>
      </c>
      <c r="D230" t="inlineStr">
        <is>
          <t>JÄMTLANDS LÄN</t>
        </is>
      </c>
      <c r="E230" t="inlineStr">
        <is>
          <t>RAGUNDA</t>
        </is>
      </c>
      <c r="F230" t="inlineStr">
        <is>
          <t>SCA</t>
        </is>
      </c>
      <c r="G230" t="n">
        <v>4.2</v>
      </c>
      <c r="H230" t="n">
        <v>1</v>
      </c>
      <c r="I230" t="n">
        <v>1</v>
      </c>
      <c r="J230" t="n">
        <v>0</v>
      </c>
      <c r="K230" t="n">
        <v>0</v>
      </c>
      <c r="L230" t="n">
        <v>0</v>
      </c>
      <c r="M230" t="n">
        <v>0</v>
      </c>
      <c r="N230" t="n">
        <v>0</v>
      </c>
      <c r="O230" t="n">
        <v>0</v>
      </c>
      <c r="P230" t="n">
        <v>0</v>
      </c>
      <c r="Q230" t="n">
        <v>1</v>
      </c>
      <c r="R230" s="2" t="inlineStr">
        <is>
          <t>Guckusko</t>
        </is>
      </c>
      <c r="S230">
        <f>HYPERLINK("https://klasma.github.io/Logging_2303/artfynd/A 23930-2024 artfynd.xlsx", "A 23930-2024")</f>
        <v/>
      </c>
      <c r="T230">
        <f>HYPERLINK("https://klasma.github.io/Logging_2303/kartor/A 23930-2024 karta.png", "A 23930-2024")</f>
        <v/>
      </c>
      <c r="V230">
        <f>HYPERLINK("https://klasma.github.io/Logging_2303/klagomål/A 23930-2024 FSC-klagomål.docx", "A 23930-2024")</f>
        <v/>
      </c>
      <c r="W230">
        <f>HYPERLINK("https://klasma.github.io/Logging_2303/klagomålsmail/A 23930-2024 FSC-klagomål mail.docx", "A 23930-2024")</f>
        <v/>
      </c>
      <c r="X230">
        <f>HYPERLINK("https://klasma.github.io/Logging_2303/tillsyn/A 23930-2024 tillsynsbegäran.docx", "A 23930-2024")</f>
        <v/>
      </c>
      <c r="Y230">
        <f>HYPERLINK("https://klasma.github.io/Logging_2303/tillsynsmail/A 23930-2024 tillsynsbegäran mail.docx", "A 23930-2024")</f>
        <v/>
      </c>
    </row>
    <row r="231" ht="15" customHeight="1">
      <c r="A231" t="inlineStr">
        <is>
          <t>A 61324-2024</t>
        </is>
      </c>
      <c r="B231" s="1" t="n">
        <v>45646.34438657408</v>
      </c>
      <c r="C231" s="1" t="n">
        <v>46041</v>
      </c>
      <c r="D231" t="inlineStr">
        <is>
          <t>JÄMTLANDS LÄN</t>
        </is>
      </c>
      <c r="E231" t="inlineStr">
        <is>
          <t>RAGUNDA</t>
        </is>
      </c>
      <c r="F231" t="inlineStr">
        <is>
          <t>SCA</t>
        </is>
      </c>
      <c r="G231" t="n">
        <v>11.2</v>
      </c>
      <c r="H231" t="n">
        <v>1</v>
      </c>
      <c r="I231" t="n">
        <v>0</v>
      </c>
      <c r="J231" t="n">
        <v>0</v>
      </c>
      <c r="K231" t="n">
        <v>0</v>
      </c>
      <c r="L231" t="n">
        <v>0</v>
      </c>
      <c r="M231" t="n">
        <v>0</v>
      </c>
      <c r="N231" t="n">
        <v>0</v>
      </c>
      <c r="O231" t="n">
        <v>0</v>
      </c>
      <c r="P231" t="n">
        <v>0</v>
      </c>
      <c r="Q231" t="n">
        <v>1</v>
      </c>
      <c r="R231" s="2" t="inlineStr">
        <is>
          <t>Trana</t>
        </is>
      </c>
      <c r="S231">
        <f>HYPERLINK("https://klasma.github.io/Logging_2303/artfynd/A 61324-2024 artfynd.xlsx", "A 61324-2024")</f>
        <v/>
      </c>
      <c r="T231">
        <f>HYPERLINK("https://klasma.github.io/Logging_2303/kartor/A 61324-2024 karta.png", "A 61324-2024")</f>
        <v/>
      </c>
      <c r="V231">
        <f>HYPERLINK("https://klasma.github.io/Logging_2303/klagomål/A 61324-2024 FSC-klagomål.docx", "A 61324-2024")</f>
        <v/>
      </c>
      <c r="W231">
        <f>HYPERLINK("https://klasma.github.io/Logging_2303/klagomålsmail/A 61324-2024 FSC-klagomål mail.docx", "A 61324-2024")</f>
        <v/>
      </c>
      <c r="X231">
        <f>HYPERLINK("https://klasma.github.io/Logging_2303/tillsyn/A 61324-2024 tillsynsbegäran.docx", "A 61324-2024")</f>
        <v/>
      </c>
      <c r="Y231">
        <f>HYPERLINK("https://klasma.github.io/Logging_2303/tillsynsmail/A 61324-2024 tillsynsbegäran mail.docx", "A 61324-2024")</f>
        <v/>
      </c>
      <c r="Z231">
        <f>HYPERLINK("https://klasma.github.io/Logging_2303/fåglar/A 61324-2024 prioriterade fågelarter.docx", "A 61324-2024")</f>
        <v/>
      </c>
    </row>
    <row r="232" ht="15" customHeight="1">
      <c r="A232" t="inlineStr">
        <is>
          <t>A 6703-2024</t>
        </is>
      </c>
      <c r="B232" s="1" t="n">
        <v>45341</v>
      </c>
      <c r="C232" s="1" t="n">
        <v>46041</v>
      </c>
      <c r="D232" t="inlineStr">
        <is>
          <t>JÄMTLANDS LÄN</t>
        </is>
      </c>
      <c r="E232" t="inlineStr">
        <is>
          <t>RAGUNDA</t>
        </is>
      </c>
      <c r="F232" t="inlineStr">
        <is>
          <t>SCA</t>
        </is>
      </c>
      <c r="G232" t="n">
        <v>2.4</v>
      </c>
      <c r="H232" t="n">
        <v>0</v>
      </c>
      <c r="I232" t="n">
        <v>0</v>
      </c>
      <c r="J232" t="n">
        <v>1</v>
      </c>
      <c r="K232" t="n">
        <v>0</v>
      </c>
      <c r="L232" t="n">
        <v>0</v>
      </c>
      <c r="M232" t="n">
        <v>0</v>
      </c>
      <c r="N232" t="n">
        <v>0</v>
      </c>
      <c r="O232" t="n">
        <v>1</v>
      </c>
      <c r="P232" t="n">
        <v>0</v>
      </c>
      <c r="Q232" t="n">
        <v>1</v>
      </c>
      <c r="R232" s="2" t="inlineStr">
        <is>
          <t>Vitgrynig nållav</t>
        </is>
      </c>
      <c r="S232">
        <f>HYPERLINK("https://klasma.github.io/Logging_2303/artfynd/A 6703-2024 artfynd.xlsx", "A 6703-2024")</f>
        <v/>
      </c>
      <c r="T232">
        <f>HYPERLINK("https://klasma.github.io/Logging_2303/kartor/A 6703-2024 karta.png", "A 6703-2024")</f>
        <v/>
      </c>
      <c r="V232">
        <f>HYPERLINK("https://klasma.github.io/Logging_2303/klagomål/A 6703-2024 FSC-klagomål.docx", "A 6703-2024")</f>
        <v/>
      </c>
      <c r="W232">
        <f>HYPERLINK("https://klasma.github.io/Logging_2303/klagomålsmail/A 6703-2024 FSC-klagomål mail.docx", "A 6703-2024")</f>
        <v/>
      </c>
      <c r="X232">
        <f>HYPERLINK("https://klasma.github.io/Logging_2303/tillsyn/A 6703-2024 tillsynsbegäran.docx", "A 6703-2024")</f>
        <v/>
      </c>
      <c r="Y232">
        <f>HYPERLINK("https://klasma.github.io/Logging_2303/tillsynsmail/A 6703-2024 tillsynsbegäran mail.docx", "A 6703-2024")</f>
        <v/>
      </c>
    </row>
    <row r="233" ht="15" customHeight="1">
      <c r="A233" t="inlineStr">
        <is>
          <t>A 19387-2025</t>
        </is>
      </c>
      <c r="B233" s="1" t="n">
        <v>45769.65736111111</v>
      </c>
      <c r="C233" s="1" t="n">
        <v>46041</v>
      </c>
      <c r="D233" t="inlineStr">
        <is>
          <t>JÄMTLANDS LÄN</t>
        </is>
      </c>
      <c r="E233" t="inlineStr">
        <is>
          <t>RAGUNDA</t>
        </is>
      </c>
      <c r="F233" t="inlineStr">
        <is>
          <t>SCA</t>
        </is>
      </c>
      <c r="G233" t="n">
        <v>16.4</v>
      </c>
      <c r="H233" t="n">
        <v>1</v>
      </c>
      <c r="I233" t="n">
        <v>0</v>
      </c>
      <c r="J233" t="n">
        <v>0</v>
      </c>
      <c r="K233" t="n">
        <v>1</v>
      </c>
      <c r="L233" t="n">
        <v>0</v>
      </c>
      <c r="M233" t="n">
        <v>0</v>
      </c>
      <c r="N233" t="n">
        <v>0</v>
      </c>
      <c r="O233" t="n">
        <v>1</v>
      </c>
      <c r="P233" t="n">
        <v>1</v>
      </c>
      <c r="Q233" t="n">
        <v>1</v>
      </c>
      <c r="R233" s="2" t="inlineStr">
        <is>
          <t>Norna</t>
        </is>
      </c>
      <c r="S233">
        <f>HYPERLINK("https://klasma.github.io/Logging_2303/artfynd/A 19387-2025 artfynd.xlsx", "A 19387-2025")</f>
        <v/>
      </c>
      <c r="T233">
        <f>HYPERLINK("https://klasma.github.io/Logging_2303/kartor/A 19387-2025 karta.png", "A 19387-2025")</f>
        <v/>
      </c>
      <c r="V233">
        <f>HYPERLINK("https://klasma.github.io/Logging_2303/klagomål/A 19387-2025 FSC-klagomål.docx", "A 19387-2025")</f>
        <v/>
      </c>
      <c r="W233">
        <f>HYPERLINK("https://klasma.github.io/Logging_2303/klagomålsmail/A 19387-2025 FSC-klagomål mail.docx", "A 19387-2025")</f>
        <v/>
      </c>
      <c r="X233">
        <f>HYPERLINK("https://klasma.github.io/Logging_2303/tillsyn/A 19387-2025 tillsynsbegäran.docx", "A 19387-2025")</f>
        <v/>
      </c>
      <c r="Y233">
        <f>HYPERLINK("https://klasma.github.io/Logging_2303/tillsynsmail/A 19387-2025 tillsynsbegäran mail.docx", "A 19387-2025")</f>
        <v/>
      </c>
    </row>
    <row r="234" ht="15" customHeight="1">
      <c r="A234" t="inlineStr">
        <is>
          <t>A 24443-2024</t>
        </is>
      </c>
      <c r="B234" s="1" t="n">
        <v>45457.9640625</v>
      </c>
      <c r="C234" s="1" t="n">
        <v>46041</v>
      </c>
      <c r="D234" t="inlineStr">
        <is>
          <t>JÄMTLANDS LÄN</t>
        </is>
      </c>
      <c r="E234" t="inlineStr">
        <is>
          <t>RAGUNDA</t>
        </is>
      </c>
      <c r="F234" t="inlineStr">
        <is>
          <t>SCA</t>
        </is>
      </c>
      <c r="G234" t="n">
        <v>2.1</v>
      </c>
      <c r="H234" t="n">
        <v>0</v>
      </c>
      <c r="I234" t="n">
        <v>0</v>
      </c>
      <c r="J234" t="n">
        <v>1</v>
      </c>
      <c r="K234" t="n">
        <v>0</v>
      </c>
      <c r="L234" t="n">
        <v>0</v>
      </c>
      <c r="M234" t="n">
        <v>0</v>
      </c>
      <c r="N234" t="n">
        <v>0</v>
      </c>
      <c r="O234" t="n">
        <v>1</v>
      </c>
      <c r="P234" t="n">
        <v>0</v>
      </c>
      <c r="Q234" t="n">
        <v>1</v>
      </c>
      <c r="R234" s="2" t="inlineStr">
        <is>
          <t>Lunglav</t>
        </is>
      </c>
      <c r="S234">
        <f>HYPERLINK("https://klasma.github.io/Logging_2303/artfynd/A 24443-2024 artfynd.xlsx", "A 24443-2024")</f>
        <v/>
      </c>
      <c r="T234">
        <f>HYPERLINK("https://klasma.github.io/Logging_2303/kartor/A 24443-2024 karta.png", "A 24443-2024")</f>
        <v/>
      </c>
      <c r="U234">
        <f>HYPERLINK("https://klasma.github.io/Logging_2303/knärot/A 24443-2024 karta knärot.png", "A 24443-2024")</f>
        <v/>
      </c>
      <c r="V234">
        <f>HYPERLINK("https://klasma.github.io/Logging_2303/klagomål/A 24443-2024 FSC-klagomål.docx", "A 24443-2024")</f>
        <v/>
      </c>
      <c r="W234">
        <f>HYPERLINK("https://klasma.github.io/Logging_2303/klagomålsmail/A 24443-2024 FSC-klagomål mail.docx", "A 24443-2024")</f>
        <v/>
      </c>
      <c r="X234">
        <f>HYPERLINK("https://klasma.github.io/Logging_2303/tillsyn/A 24443-2024 tillsynsbegäran.docx", "A 24443-2024")</f>
        <v/>
      </c>
      <c r="Y234">
        <f>HYPERLINK("https://klasma.github.io/Logging_2303/tillsynsmail/A 24443-2024 tillsynsbegäran mail.docx", "A 24443-2024")</f>
        <v/>
      </c>
    </row>
    <row r="235" ht="15" customHeight="1">
      <c r="A235" t="inlineStr">
        <is>
          <t>A 20575-2025</t>
        </is>
      </c>
      <c r="B235" s="1" t="n">
        <v>45775.67769675926</v>
      </c>
      <c r="C235" s="1" t="n">
        <v>46041</v>
      </c>
      <c r="D235" t="inlineStr">
        <is>
          <t>JÄMTLANDS LÄN</t>
        </is>
      </c>
      <c r="E235" t="inlineStr">
        <is>
          <t>RAGUNDA</t>
        </is>
      </c>
      <c r="F235" t="inlineStr">
        <is>
          <t>SCA</t>
        </is>
      </c>
      <c r="G235" t="n">
        <v>8.1</v>
      </c>
      <c r="H235" t="n">
        <v>1</v>
      </c>
      <c r="I235" t="n">
        <v>0</v>
      </c>
      <c r="J235" t="n">
        <v>1</v>
      </c>
      <c r="K235" t="n">
        <v>0</v>
      </c>
      <c r="L235" t="n">
        <v>0</v>
      </c>
      <c r="M235" t="n">
        <v>0</v>
      </c>
      <c r="N235" t="n">
        <v>0</v>
      </c>
      <c r="O235" t="n">
        <v>1</v>
      </c>
      <c r="P235" t="n">
        <v>0</v>
      </c>
      <c r="Q235" t="n">
        <v>1</v>
      </c>
      <c r="R235" s="2" t="inlineStr">
        <is>
          <t>Skogsfru</t>
        </is>
      </c>
      <c r="S235">
        <f>HYPERLINK("https://klasma.github.io/Logging_2303/artfynd/A 20575-2025 artfynd.xlsx", "A 20575-2025")</f>
        <v/>
      </c>
      <c r="T235">
        <f>HYPERLINK("https://klasma.github.io/Logging_2303/kartor/A 20575-2025 karta.png", "A 20575-2025")</f>
        <v/>
      </c>
      <c r="V235">
        <f>HYPERLINK("https://klasma.github.io/Logging_2303/klagomål/A 20575-2025 FSC-klagomål.docx", "A 20575-2025")</f>
        <v/>
      </c>
      <c r="W235">
        <f>HYPERLINK("https://klasma.github.io/Logging_2303/klagomålsmail/A 20575-2025 FSC-klagomål mail.docx", "A 20575-2025")</f>
        <v/>
      </c>
      <c r="X235">
        <f>HYPERLINK("https://klasma.github.io/Logging_2303/tillsyn/A 20575-2025 tillsynsbegäran.docx", "A 20575-2025")</f>
        <v/>
      </c>
      <c r="Y235">
        <f>HYPERLINK("https://klasma.github.io/Logging_2303/tillsynsmail/A 20575-2025 tillsynsbegäran mail.docx", "A 20575-2025")</f>
        <v/>
      </c>
    </row>
    <row r="236" ht="15" customHeight="1">
      <c r="A236" t="inlineStr">
        <is>
          <t>A 50164-2023</t>
        </is>
      </c>
      <c r="B236" s="1" t="n">
        <v>45208</v>
      </c>
      <c r="C236" s="1" t="n">
        <v>46041</v>
      </c>
      <c r="D236" t="inlineStr">
        <is>
          <t>JÄMTLANDS LÄN</t>
        </is>
      </c>
      <c r="E236" t="inlineStr">
        <is>
          <t>RAGUNDA</t>
        </is>
      </c>
      <c r="G236" t="n">
        <v>2.9</v>
      </c>
      <c r="H236" t="n">
        <v>0</v>
      </c>
      <c r="I236" t="n">
        <v>0</v>
      </c>
      <c r="J236" t="n">
        <v>0</v>
      </c>
      <c r="K236" t="n">
        <v>1</v>
      </c>
      <c r="L236" t="n">
        <v>0</v>
      </c>
      <c r="M236" t="n">
        <v>0</v>
      </c>
      <c r="N236" t="n">
        <v>0</v>
      </c>
      <c r="O236" t="n">
        <v>1</v>
      </c>
      <c r="P236" t="n">
        <v>1</v>
      </c>
      <c r="Q236" t="n">
        <v>1</v>
      </c>
      <c r="R236" s="2" t="inlineStr">
        <is>
          <t>Mindre barkplattbagge</t>
        </is>
      </c>
      <c r="S236">
        <f>HYPERLINK("https://klasma.github.io/Logging_2303/artfynd/A 50164-2023 artfynd.xlsx", "A 50164-2023")</f>
        <v/>
      </c>
      <c r="T236">
        <f>HYPERLINK("https://klasma.github.io/Logging_2303/kartor/A 50164-2023 karta.png", "A 50164-2023")</f>
        <v/>
      </c>
      <c r="V236">
        <f>HYPERLINK("https://klasma.github.io/Logging_2303/klagomål/A 50164-2023 FSC-klagomål.docx", "A 50164-2023")</f>
        <v/>
      </c>
      <c r="W236">
        <f>HYPERLINK("https://klasma.github.io/Logging_2303/klagomålsmail/A 50164-2023 FSC-klagomål mail.docx", "A 50164-2023")</f>
        <v/>
      </c>
      <c r="X236">
        <f>HYPERLINK("https://klasma.github.io/Logging_2303/tillsyn/A 50164-2023 tillsynsbegäran.docx", "A 50164-2023")</f>
        <v/>
      </c>
      <c r="Y236">
        <f>HYPERLINK("https://klasma.github.io/Logging_2303/tillsynsmail/A 50164-2023 tillsynsbegäran mail.docx", "A 50164-2023")</f>
        <v/>
      </c>
    </row>
    <row r="237" ht="15" customHeight="1">
      <c r="A237" t="inlineStr">
        <is>
          <t>A 20774-2024</t>
        </is>
      </c>
      <c r="B237" s="1" t="n">
        <v>45436.94644675926</v>
      </c>
      <c r="C237" s="1" t="n">
        <v>46041</v>
      </c>
      <c r="D237" t="inlineStr">
        <is>
          <t>JÄMTLANDS LÄN</t>
        </is>
      </c>
      <c r="E237" t="inlineStr">
        <is>
          <t>RAGUNDA</t>
        </is>
      </c>
      <c r="F237" t="inlineStr">
        <is>
          <t>SCA</t>
        </is>
      </c>
      <c r="G237" t="n">
        <v>2.3</v>
      </c>
      <c r="H237" t="n">
        <v>0</v>
      </c>
      <c r="I237" t="n">
        <v>1</v>
      </c>
      <c r="J237" t="n">
        <v>0</v>
      </c>
      <c r="K237" t="n">
        <v>0</v>
      </c>
      <c r="L237" t="n">
        <v>0</v>
      </c>
      <c r="M237" t="n">
        <v>0</v>
      </c>
      <c r="N237" t="n">
        <v>0</v>
      </c>
      <c r="O237" t="n">
        <v>0</v>
      </c>
      <c r="P237" t="n">
        <v>0</v>
      </c>
      <c r="Q237" t="n">
        <v>1</v>
      </c>
      <c r="R237" s="2" t="inlineStr">
        <is>
          <t>Fjällig taggsvamp s.str.</t>
        </is>
      </c>
      <c r="S237">
        <f>HYPERLINK("https://klasma.github.io/Logging_2303/artfynd/A 20774-2024 artfynd.xlsx", "A 20774-2024")</f>
        <v/>
      </c>
      <c r="T237">
        <f>HYPERLINK("https://klasma.github.io/Logging_2303/kartor/A 20774-2024 karta.png", "A 20774-2024")</f>
        <v/>
      </c>
      <c r="V237">
        <f>HYPERLINK("https://klasma.github.io/Logging_2303/klagomål/A 20774-2024 FSC-klagomål.docx", "A 20774-2024")</f>
        <v/>
      </c>
      <c r="W237">
        <f>HYPERLINK("https://klasma.github.io/Logging_2303/klagomålsmail/A 20774-2024 FSC-klagomål mail.docx", "A 20774-2024")</f>
        <v/>
      </c>
      <c r="X237">
        <f>HYPERLINK("https://klasma.github.io/Logging_2303/tillsyn/A 20774-2024 tillsynsbegäran.docx", "A 20774-2024")</f>
        <v/>
      </c>
      <c r="Y237">
        <f>HYPERLINK("https://klasma.github.io/Logging_2303/tillsynsmail/A 20774-2024 tillsynsbegäran mail.docx", "A 20774-2024")</f>
        <v/>
      </c>
    </row>
    <row r="238" ht="15" customHeight="1">
      <c r="A238" t="inlineStr">
        <is>
          <t>A 48429-2023</t>
        </is>
      </c>
      <c r="B238" s="1" t="n">
        <v>45205</v>
      </c>
      <c r="C238" s="1" t="n">
        <v>46041</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55756-2025</t>
        </is>
      </c>
      <c r="B239" s="1" t="n">
        <v>45972.59438657408</v>
      </c>
      <c r="C239" s="1" t="n">
        <v>46041</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Garnlav</t>
        </is>
      </c>
      <c r="S239">
        <f>HYPERLINK("https://klasma.github.io/Logging_2303/artfynd/A 55756-2025 artfynd.xlsx", "A 55756-2025")</f>
        <v/>
      </c>
      <c r="T239">
        <f>HYPERLINK("https://klasma.github.io/Logging_2303/kartor/A 55756-2025 karta.png", "A 55756-2025")</f>
        <v/>
      </c>
      <c r="V239">
        <f>HYPERLINK("https://klasma.github.io/Logging_2303/klagomål/A 55756-2025 FSC-klagomål.docx", "A 55756-2025")</f>
        <v/>
      </c>
      <c r="W239">
        <f>HYPERLINK("https://klasma.github.io/Logging_2303/klagomålsmail/A 55756-2025 FSC-klagomål mail.docx", "A 55756-2025")</f>
        <v/>
      </c>
      <c r="X239">
        <f>HYPERLINK("https://klasma.github.io/Logging_2303/tillsyn/A 55756-2025 tillsynsbegäran.docx", "A 55756-2025")</f>
        <v/>
      </c>
      <c r="Y239">
        <f>HYPERLINK("https://klasma.github.io/Logging_2303/tillsynsmail/A 55756-2025 tillsynsbegäran mail.docx", "A 55756-2025")</f>
        <v/>
      </c>
    </row>
    <row r="240" ht="15" customHeight="1">
      <c r="A240" t="inlineStr">
        <is>
          <t>A 26317-2024</t>
        </is>
      </c>
      <c r="B240" s="1" t="n">
        <v>45468</v>
      </c>
      <c r="C240" s="1" t="n">
        <v>46041</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11040-2023</t>
        </is>
      </c>
      <c r="B241" s="1" t="n">
        <v>44991</v>
      </c>
      <c r="C241" s="1" t="n">
        <v>46041</v>
      </c>
      <c r="D241" t="inlineStr">
        <is>
          <t>JÄMTLANDS LÄN</t>
        </is>
      </c>
      <c r="E241" t="inlineStr">
        <is>
          <t>RAGUNDA</t>
        </is>
      </c>
      <c r="F241" t="inlineStr">
        <is>
          <t>SCA</t>
        </is>
      </c>
      <c r="G241" t="n">
        <v>10.2</v>
      </c>
      <c r="H241" t="n">
        <v>0</v>
      </c>
      <c r="I241" t="n">
        <v>0</v>
      </c>
      <c r="J241" t="n">
        <v>1</v>
      </c>
      <c r="K241" t="n">
        <v>0</v>
      </c>
      <c r="L241" t="n">
        <v>0</v>
      </c>
      <c r="M241" t="n">
        <v>0</v>
      </c>
      <c r="N241" t="n">
        <v>0</v>
      </c>
      <c r="O241" t="n">
        <v>1</v>
      </c>
      <c r="P241" t="n">
        <v>0</v>
      </c>
      <c r="Q241" t="n">
        <v>1</v>
      </c>
      <c r="R241" s="2" t="inlineStr">
        <is>
          <t>Lunglav</t>
        </is>
      </c>
      <c r="S241">
        <f>HYPERLINK("https://klasma.github.io/Logging_2303/artfynd/A 11040-2023 artfynd.xlsx", "A 11040-2023")</f>
        <v/>
      </c>
      <c r="T241">
        <f>HYPERLINK("https://klasma.github.io/Logging_2303/kartor/A 11040-2023 karta.png", "A 11040-2023")</f>
        <v/>
      </c>
      <c r="V241">
        <f>HYPERLINK("https://klasma.github.io/Logging_2303/klagomål/A 11040-2023 FSC-klagomål.docx", "A 11040-2023")</f>
        <v/>
      </c>
      <c r="W241">
        <f>HYPERLINK("https://klasma.github.io/Logging_2303/klagomålsmail/A 11040-2023 FSC-klagomål mail.docx", "A 11040-2023")</f>
        <v/>
      </c>
      <c r="X241">
        <f>HYPERLINK("https://klasma.github.io/Logging_2303/tillsyn/A 11040-2023 tillsynsbegäran.docx", "A 11040-2023")</f>
        <v/>
      </c>
      <c r="Y241">
        <f>HYPERLINK("https://klasma.github.io/Logging_2303/tillsynsmail/A 11040-2023 tillsynsbegäran mail.docx", "A 11040-2023")</f>
        <v/>
      </c>
    </row>
    <row r="242" ht="15" customHeight="1">
      <c r="A242" t="inlineStr">
        <is>
          <t>A 49091-2022</t>
        </is>
      </c>
      <c r="B242" s="1" t="n">
        <v>44860</v>
      </c>
      <c r="C242" s="1" t="n">
        <v>46041</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31773-2021</t>
        </is>
      </c>
      <c r="B243" s="1" t="n">
        <v>44369</v>
      </c>
      <c r="C243" s="1" t="n">
        <v>46041</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46041</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18985-2023</t>
        </is>
      </c>
      <c r="B245" s="1" t="n">
        <v>45044</v>
      </c>
      <c r="C245" s="1" t="n">
        <v>46041</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36854-2023</t>
        </is>
      </c>
      <c r="B246" s="1" t="n">
        <v>45153</v>
      </c>
      <c r="C246" s="1" t="n">
        <v>46041</v>
      </c>
      <c r="D246" t="inlineStr">
        <is>
          <t>JÄMTLANDS LÄN</t>
        </is>
      </c>
      <c r="E246" t="inlineStr">
        <is>
          <t>RAGUNDA</t>
        </is>
      </c>
      <c r="G246" t="n">
        <v>4</v>
      </c>
      <c r="H246" t="n">
        <v>1</v>
      </c>
      <c r="I246" t="n">
        <v>0</v>
      </c>
      <c r="J246" t="n">
        <v>1</v>
      </c>
      <c r="K246" t="n">
        <v>0</v>
      </c>
      <c r="L246" t="n">
        <v>0</v>
      </c>
      <c r="M246" t="n">
        <v>0</v>
      </c>
      <c r="N246" t="n">
        <v>0</v>
      </c>
      <c r="O246" t="n">
        <v>1</v>
      </c>
      <c r="P246" t="n">
        <v>0</v>
      </c>
      <c r="Q246" t="n">
        <v>1</v>
      </c>
      <c r="R246" s="2" t="inlineStr">
        <is>
          <t>Talltita</t>
        </is>
      </c>
      <c r="S246">
        <f>HYPERLINK("https://klasma.github.io/Logging_2303/artfynd/A 36854-2023 artfynd.xlsx", "A 36854-2023")</f>
        <v/>
      </c>
      <c r="T246">
        <f>HYPERLINK("https://klasma.github.io/Logging_2303/kartor/A 36854-2023 karta.png", "A 36854-2023")</f>
        <v/>
      </c>
      <c r="V246">
        <f>HYPERLINK("https://klasma.github.io/Logging_2303/klagomål/A 36854-2023 FSC-klagomål.docx", "A 36854-2023")</f>
        <v/>
      </c>
      <c r="W246">
        <f>HYPERLINK("https://klasma.github.io/Logging_2303/klagomålsmail/A 36854-2023 FSC-klagomål mail.docx", "A 36854-2023")</f>
        <v/>
      </c>
      <c r="X246">
        <f>HYPERLINK("https://klasma.github.io/Logging_2303/tillsyn/A 36854-2023 tillsynsbegäran.docx", "A 36854-2023")</f>
        <v/>
      </c>
      <c r="Y246">
        <f>HYPERLINK("https://klasma.github.io/Logging_2303/tillsynsmail/A 36854-2023 tillsynsbegäran mail.docx", "A 36854-2023")</f>
        <v/>
      </c>
      <c r="Z246">
        <f>HYPERLINK("https://klasma.github.io/Logging_2303/fåglar/A 36854-2023 prioriterade fågelarter.docx", "A 36854-2023")</f>
        <v/>
      </c>
    </row>
    <row r="247" ht="15" customHeight="1">
      <c r="A247" t="inlineStr">
        <is>
          <t>A 36975-2023</t>
        </is>
      </c>
      <c r="B247" s="1" t="n">
        <v>45154</v>
      </c>
      <c r="C247" s="1" t="n">
        <v>46041</v>
      </c>
      <c r="D247" t="inlineStr">
        <is>
          <t>JÄMTLANDS LÄN</t>
        </is>
      </c>
      <c r="E247" t="inlineStr">
        <is>
          <t>RAGUNDA</t>
        </is>
      </c>
      <c r="F247" t="inlineStr">
        <is>
          <t>SCA</t>
        </is>
      </c>
      <c r="G247" t="n">
        <v>3.8</v>
      </c>
      <c r="H247" t="n">
        <v>0</v>
      </c>
      <c r="I247" t="n">
        <v>0</v>
      </c>
      <c r="J247" t="n">
        <v>0</v>
      </c>
      <c r="K247" t="n">
        <v>1</v>
      </c>
      <c r="L247" t="n">
        <v>0</v>
      </c>
      <c r="M247" t="n">
        <v>0</v>
      </c>
      <c r="N247" t="n">
        <v>0</v>
      </c>
      <c r="O247" t="n">
        <v>1</v>
      </c>
      <c r="P247" t="n">
        <v>1</v>
      </c>
      <c r="Q247" t="n">
        <v>1</v>
      </c>
      <c r="R247" s="2" t="inlineStr">
        <is>
          <t>Gräddporing</t>
        </is>
      </c>
      <c r="S247">
        <f>HYPERLINK("https://klasma.github.io/Logging_2303/artfynd/A 36975-2023 artfynd.xlsx", "A 36975-2023")</f>
        <v/>
      </c>
      <c r="T247">
        <f>HYPERLINK("https://klasma.github.io/Logging_2303/kartor/A 36975-2023 karta.png", "A 36975-2023")</f>
        <v/>
      </c>
      <c r="V247">
        <f>HYPERLINK("https://klasma.github.io/Logging_2303/klagomål/A 36975-2023 FSC-klagomål.docx", "A 36975-2023")</f>
        <v/>
      </c>
      <c r="W247">
        <f>HYPERLINK("https://klasma.github.io/Logging_2303/klagomålsmail/A 36975-2023 FSC-klagomål mail.docx", "A 36975-2023")</f>
        <v/>
      </c>
      <c r="X247">
        <f>HYPERLINK("https://klasma.github.io/Logging_2303/tillsyn/A 36975-2023 tillsynsbegäran.docx", "A 36975-2023")</f>
        <v/>
      </c>
      <c r="Y247">
        <f>HYPERLINK("https://klasma.github.io/Logging_2303/tillsynsmail/A 36975-2023 tillsynsbegäran mail.docx", "A 36975-2023")</f>
        <v/>
      </c>
    </row>
    <row r="248" ht="15" customHeight="1">
      <c r="A248" t="inlineStr">
        <is>
          <t>A 35750-2023</t>
        </is>
      </c>
      <c r="B248" s="1" t="n">
        <v>45147</v>
      </c>
      <c r="C248" s="1" t="n">
        <v>46041</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32069-2024</t>
        </is>
      </c>
      <c r="B249" s="1" t="n">
        <v>45510</v>
      </c>
      <c r="C249" s="1" t="n">
        <v>46041</v>
      </c>
      <c r="D249" t="inlineStr">
        <is>
          <t>JÄMTLANDS LÄN</t>
        </is>
      </c>
      <c r="E249" t="inlineStr">
        <is>
          <t>RAGUNDA</t>
        </is>
      </c>
      <c r="F249" t="inlineStr">
        <is>
          <t>SCA</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HYPERLINK("https://klasma.github.io/Logging_2303/artfynd/A 32069-2024 artfynd.xlsx", "A 32069-2024")</f>
        <v/>
      </c>
      <c r="T249">
        <f>HYPERLINK("https://klasma.github.io/Logging_2303/kartor/A 32069-2024 karta.png", "A 32069-2024")</f>
        <v/>
      </c>
      <c r="V249">
        <f>HYPERLINK("https://klasma.github.io/Logging_2303/klagomål/A 32069-2024 FSC-klagomål.docx", "A 32069-2024")</f>
        <v/>
      </c>
      <c r="W249">
        <f>HYPERLINK("https://klasma.github.io/Logging_2303/klagomålsmail/A 32069-2024 FSC-klagomål mail.docx", "A 32069-2024")</f>
        <v/>
      </c>
      <c r="X249">
        <f>HYPERLINK("https://klasma.github.io/Logging_2303/tillsyn/A 32069-2024 tillsynsbegäran.docx", "A 32069-2024")</f>
        <v/>
      </c>
      <c r="Y249">
        <f>HYPERLINK("https://klasma.github.io/Logging_2303/tillsynsmail/A 32069-2024 tillsynsbegäran mail.docx", "A 32069-2024")</f>
        <v/>
      </c>
    </row>
    <row r="250" ht="15" customHeight="1">
      <c r="A250" t="inlineStr">
        <is>
          <t>A 58846-2024</t>
        </is>
      </c>
      <c r="B250" s="1" t="n">
        <v>45636.3863425926</v>
      </c>
      <c r="C250" s="1" t="n">
        <v>46041</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26322-2024</t>
        </is>
      </c>
      <c r="B251" s="1" t="n">
        <v>45468.97461805555</v>
      </c>
      <c r="C251" s="1" t="n">
        <v>46041</v>
      </c>
      <c r="D251" t="inlineStr">
        <is>
          <t>JÄMTLANDS LÄN</t>
        </is>
      </c>
      <c r="E251" t="inlineStr">
        <is>
          <t>RAGUNDA</t>
        </is>
      </c>
      <c r="F251" t="inlineStr">
        <is>
          <t>SCA</t>
        </is>
      </c>
      <c r="G251" t="n">
        <v>9.6</v>
      </c>
      <c r="H251" t="n">
        <v>0</v>
      </c>
      <c r="I251" t="n">
        <v>0</v>
      </c>
      <c r="J251" t="n">
        <v>1</v>
      </c>
      <c r="K251" t="n">
        <v>0</v>
      </c>
      <c r="L251" t="n">
        <v>0</v>
      </c>
      <c r="M251" t="n">
        <v>0</v>
      </c>
      <c r="N251" t="n">
        <v>0</v>
      </c>
      <c r="O251" t="n">
        <v>1</v>
      </c>
      <c r="P251" t="n">
        <v>0</v>
      </c>
      <c r="Q251" t="n">
        <v>1</v>
      </c>
      <c r="R251" s="2" t="inlineStr">
        <is>
          <t>Rosenticka</t>
        </is>
      </c>
      <c r="S251">
        <f>HYPERLINK("https://klasma.github.io/Logging_2303/artfynd/A 26322-2024 artfynd.xlsx", "A 26322-2024")</f>
        <v/>
      </c>
      <c r="T251">
        <f>HYPERLINK("https://klasma.github.io/Logging_2303/kartor/A 26322-2024 karta.png", "A 26322-2024")</f>
        <v/>
      </c>
      <c r="U251">
        <f>HYPERLINK("https://klasma.github.io/Logging_2303/knärot/A 26322-2024 karta knärot.png", "A 26322-2024")</f>
        <v/>
      </c>
      <c r="V251">
        <f>HYPERLINK("https://klasma.github.io/Logging_2303/klagomål/A 26322-2024 FSC-klagomål.docx", "A 26322-2024")</f>
        <v/>
      </c>
      <c r="W251">
        <f>HYPERLINK("https://klasma.github.io/Logging_2303/klagomålsmail/A 26322-2024 FSC-klagomål mail.docx", "A 26322-2024")</f>
        <v/>
      </c>
      <c r="X251">
        <f>HYPERLINK("https://klasma.github.io/Logging_2303/tillsyn/A 26322-2024 tillsynsbegäran.docx", "A 26322-2024")</f>
        <v/>
      </c>
      <c r="Y251">
        <f>HYPERLINK("https://klasma.github.io/Logging_2303/tillsynsmail/A 26322-2024 tillsynsbegäran mail.docx", "A 26322-2024")</f>
        <v/>
      </c>
    </row>
    <row r="252" ht="15" customHeight="1">
      <c r="A252" t="inlineStr">
        <is>
          <t>A 21212-2025</t>
        </is>
      </c>
      <c r="B252" s="1" t="n">
        <v>45779.48993055556</v>
      </c>
      <c r="C252" s="1" t="n">
        <v>46041</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44066-2024</t>
        </is>
      </c>
      <c r="B253" s="1" t="n">
        <v>45572.60363425926</v>
      </c>
      <c r="C253" s="1" t="n">
        <v>46041</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27573-2025</t>
        </is>
      </c>
      <c r="B254" s="1" t="n">
        <v>45813.49061342593</v>
      </c>
      <c r="C254" s="1" t="n">
        <v>46041</v>
      </c>
      <c r="D254" t="inlineStr">
        <is>
          <t>JÄMTLANDS LÄN</t>
        </is>
      </c>
      <c r="E254" t="inlineStr">
        <is>
          <t>RAGUNDA</t>
        </is>
      </c>
      <c r="F254" t="inlineStr">
        <is>
          <t>SCA</t>
        </is>
      </c>
      <c r="G254" t="n">
        <v>14.9</v>
      </c>
      <c r="H254" t="n">
        <v>0</v>
      </c>
      <c r="I254" t="n">
        <v>1</v>
      </c>
      <c r="J254" t="n">
        <v>0</v>
      </c>
      <c r="K254" t="n">
        <v>0</v>
      </c>
      <c r="L254" t="n">
        <v>0</v>
      </c>
      <c r="M254" t="n">
        <v>0</v>
      </c>
      <c r="N254" t="n">
        <v>0</v>
      </c>
      <c r="O254" t="n">
        <v>0</v>
      </c>
      <c r="P254" t="n">
        <v>0</v>
      </c>
      <c r="Q254" t="n">
        <v>1</v>
      </c>
      <c r="R254" s="2" t="inlineStr">
        <is>
          <t>Skinnlav</t>
        </is>
      </c>
      <c r="S254">
        <f>HYPERLINK("https://klasma.github.io/Logging_2303/artfynd/A 27573-2025 artfynd.xlsx", "A 27573-2025")</f>
        <v/>
      </c>
      <c r="T254">
        <f>HYPERLINK("https://klasma.github.io/Logging_2303/kartor/A 27573-2025 karta.png", "A 27573-2025")</f>
        <v/>
      </c>
      <c r="U254">
        <f>HYPERLINK("https://klasma.github.io/Logging_2303/knärot/A 27573-2025 karta knärot.png", "A 27573-2025")</f>
        <v/>
      </c>
      <c r="V254">
        <f>HYPERLINK("https://klasma.github.io/Logging_2303/klagomål/A 27573-2025 FSC-klagomål.docx", "A 27573-2025")</f>
        <v/>
      </c>
      <c r="W254">
        <f>HYPERLINK("https://klasma.github.io/Logging_2303/klagomålsmail/A 27573-2025 FSC-klagomål mail.docx", "A 27573-2025")</f>
        <v/>
      </c>
      <c r="X254">
        <f>HYPERLINK("https://klasma.github.io/Logging_2303/tillsyn/A 27573-2025 tillsynsbegäran.docx", "A 27573-2025")</f>
        <v/>
      </c>
      <c r="Y254">
        <f>HYPERLINK("https://klasma.github.io/Logging_2303/tillsynsmail/A 27573-2025 tillsynsbegäran mail.docx", "A 27573-2025")</f>
        <v/>
      </c>
    </row>
    <row r="255" ht="15" customHeight="1">
      <c r="A255" t="inlineStr">
        <is>
          <t>A 30390-2025</t>
        </is>
      </c>
      <c r="B255" s="1" t="n">
        <v>45827.57371527778</v>
      </c>
      <c r="C255" s="1" t="n">
        <v>46041</v>
      </c>
      <c r="D255" t="inlineStr">
        <is>
          <t>JÄMTLANDS LÄN</t>
        </is>
      </c>
      <c r="E255" t="inlineStr">
        <is>
          <t>RAGUNDA</t>
        </is>
      </c>
      <c r="F255" t="inlineStr">
        <is>
          <t>SCA</t>
        </is>
      </c>
      <c r="G255" t="n">
        <v>11.2</v>
      </c>
      <c r="H255" t="n">
        <v>0</v>
      </c>
      <c r="I255" t="n">
        <v>0</v>
      </c>
      <c r="J255" t="n">
        <v>1</v>
      </c>
      <c r="K255" t="n">
        <v>0</v>
      </c>
      <c r="L255" t="n">
        <v>0</v>
      </c>
      <c r="M255" t="n">
        <v>0</v>
      </c>
      <c r="N255" t="n">
        <v>0</v>
      </c>
      <c r="O255" t="n">
        <v>1</v>
      </c>
      <c r="P255" t="n">
        <v>0</v>
      </c>
      <c r="Q255" t="n">
        <v>1</v>
      </c>
      <c r="R255" s="2" t="inlineStr">
        <is>
          <t>Lunglav</t>
        </is>
      </c>
      <c r="S255">
        <f>HYPERLINK("https://klasma.github.io/Logging_2303/artfynd/A 30390-2025 artfynd.xlsx", "A 30390-2025")</f>
        <v/>
      </c>
      <c r="T255">
        <f>HYPERLINK("https://klasma.github.io/Logging_2303/kartor/A 30390-2025 karta.png", "A 30390-2025")</f>
        <v/>
      </c>
      <c r="U255">
        <f>HYPERLINK("https://klasma.github.io/Logging_2303/knärot/A 30390-2025 karta knärot.png", "A 30390-2025")</f>
        <v/>
      </c>
      <c r="V255">
        <f>HYPERLINK("https://klasma.github.io/Logging_2303/klagomål/A 30390-2025 FSC-klagomål.docx", "A 30390-2025")</f>
        <v/>
      </c>
      <c r="W255">
        <f>HYPERLINK("https://klasma.github.io/Logging_2303/klagomålsmail/A 30390-2025 FSC-klagomål mail.docx", "A 30390-2025")</f>
        <v/>
      </c>
      <c r="X255">
        <f>HYPERLINK("https://klasma.github.io/Logging_2303/tillsyn/A 30390-2025 tillsynsbegäran.docx", "A 30390-2025")</f>
        <v/>
      </c>
      <c r="Y255">
        <f>HYPERLINK("https://klasma.github.io/Logging_2303/tillsynsmail/A 30390-2025 tillsynsbegäran mail.docx", "A 30390-2025")</f>
        <v/>
      </c>
    </row>
    <row r="256" ht="15" customHeight="1">
      <c r="A256" t="inlineStr">
        <is>
          <t>A 22054-2025</t>
        </is>
      </c>
      <c r="B256" s="1" t="n">
        <v>45785.36525462963</v>
      </c>
      <c r="C256" s="1" t="n">
        <v>46041</v>
      </c>
      <c r="D256" t="inlineStr">
        <is>
          <t>JÄMTLANDS LÄN</t>
        </is>
      </c>
      <c r="E256" t="inlineStr">
        <is>
          <t>RAGUNDA</t>
        </is>
      </c>
      <c r="F256" t="inlineStr">
        <is>
          <t>SCA</t>
        </is>
      </c>
      <c r="G256" t="n">
        <v>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22054-2025 artfynd.xlsx", "A 22054-2025")</f>
        <v/>
      </c>
      <c r="T256">
        <f>HYPERLINK("https://klasma.github.io/Logging_2303/kartor/A 22054-2025 karta.png", "A 22054-2025")</f>
        <v/>
      </c>
      <c r="V256">
        <f>HYPERLINK("https://klasma.github.io/Logging_2303/klagomål/A 22054-2025 FSC-klagomål.docx", "A 22054-2025")</f>
        <v/>
      </c>
      <c r="W256">
        <f>HYPERLINK("https://klasma.github.io/Logging_2303/klagomålsmail/A 22054-2025 FSC-klagomål mail.docx", "A 22054-2025")</f>
        <v/>
      </c>
      <c r="X256">
        <f>HYPERLINK("https://klasma.github.io/Logging_2303/tillsyn/A 22054-2025 tillsynsbegäran.docx", "A 22054-2025")</f>
        <v/>
      </c>
      <c r="Y256">
        <f>HYPERLINK("https://klasma.github.io/Logging_2303/tillsynsmail/A 22054-2025 tillsynsbegäran mail.docx", "A 22054-2025")</f>
        <v/>
      </c>
      <c r="Z256">
        <f>HYPERLINK("https://klasma.github.io/Logging_2303/fåglar/A 22054-2025 prioriterade fågelarter.docx", "A 22054-2025")</f>
        <v/>
      </c>
    </row>
    <row r="257" ht="15" customHeight="1">
      <c r="A257" t="inlineStr">
        <is>
          <t>A 32445-2025</t>
        </is>
      </c>
      <c r="B257" s="1" t="n">
        <v>45838.38627314815</v>
      </c>
      <c r="C257" s="1" t="n">
        <v>46041</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46041</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2469-2021</t>
        </is>
      </c>
      <c r="B259" s="1" t="n">
        <v>44214</v>
      </c>
      <c r="C259" s="1" t="n">
        <v>46041</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46041</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46041</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46041</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46041</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46041</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46041</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46041</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46041</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46041</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46041</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46041</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46041</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46041</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46041</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46041</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46041</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46041</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46041</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46041</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46041</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46041</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46041</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46041</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46041</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46041</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46041</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46041</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46041</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46041</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46041</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46041</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46041</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46041</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46041</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46041</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46041</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46041</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46041</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46041</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46041</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46041</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46041</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46041</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46041</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46041</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46041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46041</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46041</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46041</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46041</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46041</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46041</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46041</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46041</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46041</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46041</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46041</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46041</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46041</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46041</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46041</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46041</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46041</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46041</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46041</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46041</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46041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46041</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46041</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46041</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46041</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46041</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46041</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46041</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46041</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46041</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46041</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46041</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46041</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46041</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46041</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46041</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46041</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46041</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46041</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46041</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46041</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46041</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46041</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46041</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46041</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46041</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46041</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46041</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46041</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46041</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46041</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46041</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46041</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46041</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46041</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47568-2022</t>
        </is>
      </c>
      <c r="B361" s="1" t="n">
        <v>44853.9499537037</v>
      </c>
      <c r="C361" s="1" t="n">
        <v>46041</v>
      </c>
      <c r="D361" t="inlineStr">
        <is>
          <t>JÄMTLANDS LÄN</t>
        </is>
      </c>
      <c r="E361" t="inlineStr">
        <is>
          <t>RAGUNDA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46041</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46041</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46041</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46041</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46041</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46041</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46041</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46041</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46041</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46041</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46041</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46041</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46041</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46041</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46041</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46041</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46041</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46041</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46041</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46041</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46041</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46041</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46041</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46041</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46041</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46041</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46041</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54092-2024</t>
        </is>
      </c>
      <c r="B389" s="1" t="n">
        <v>45616.5108912037</v>
      </c>
      <c r="C389" s="1" t="n">
        <v>46041</v>
      </c>
      <c r="D389" t="inlineStr">
        <is>
          <t>JÄMTLANDS LÄN</t>
        </is>
      </c>
      <c r="E389" t="inlineStr">
        <is>
          <t>RAGUNDA</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9548-2025</t>
        </is>
      </c>
      <c r="B390" s="1" t="n">
        <v>45715.59405092592</v>
      </c>
      <c r="C390" s="1" t="n">
        <v>46041</v>
      </c>
      <c r="D390" t="inlineStr">
        <is>
          <t>JÄMTLANDS LÄN</t>
        </is>
      </c>
      <c r="E390" t="inlineStr">
        <is>
          <t>RAGUNDA</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16460-2022</t>
        </is>
      </c>
      <c r="B391" s="1" t="n">
        <v>44671</v>
      </c>
      <c r="C391" s="1" t="n">
        <v>46041</v>
      </c>
      <c r="D391" t="inlineStr">
        <is>
          <t>JÄMTLANDS LÄN</t>
        </is>
      </c>
      <c r="E391" t="inlineStr">
        <is>
          <t>RAGUNDA</t>
        </is>
      </c>
      <c r="G391" t="n">
        <v>1.7</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46041</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46041</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57237-2022</t>
        </is>
      </c>
      <c r="B394" s="1" t="n">
        <v>44889</v>
      </c>
      <c r="C394" s="1" t="n">
        <v>46041</v>
      </c>
      <c r="D394" t="inlineStr">
        <is>
          <t>JÄMTLANDS LÄN</t>
        </is>
      </c>
      <c r="E394" t="inlineStr">
        <is>
          <t>RAGUNDA</t>
        </is>
      </c>
      <c r="G394" t="n">
        <v>2.2</v>
      </c>
      <c r="H394" t="n">
        <v>0</v>
      </c>
      <c r="I394" t="n">
        <v>0</v>
      </c>
      <c r="J394" t="n">
        <v>0</v>
      </c>
      <c r="K394" t="n">
        <v>0</v>
      </c>
      <c r="L394" t="n">
        <v>0</v>
      </c>
      <c r="M394" t="n">
        <v>0</v>
      </c>
      <c r="N394" t="n">
        <v>0</v>
      </c>
      <c r="O394" t="n">
        <v>0</v>
      </c>
      <c r="P394" t="n">
        <v>0</v>
      </c>
      <c r="Q394" t="n">
        <v>0</v>
      </c>
      <c r="R394" s="2" t="inlineStr"/>
    </row>
    <row r="395" ht="15" customHeight="1">
      <c r="A395" t="inlineStr">
        <is>
          <t>A 36541-2025</t>
        </is>
      </c>
      <c r="B395" s="1" t="n">
        <v>45869.65666666667</v>
      </c>
      <c r="C395" s="1" t="n">
        <v>46041</v>
      </c>
      <c r="D395" t="inlineStr">
        <is>
          <t>JÄMTLANDS LÄN</t>
        </is>
      </c>
      <c r="E395" t="inlineStr">
        <is>
          <t>RAGUNDA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36544-2025</t>
        </is>
      </c>
      <c r="B396" s="1" t="n">
        <v>45869.67744212963</v>
      </c>
      <c r="C396" s="1" t="n">
        <v>46041</v>
      </c>
      <c r="D396" t="inlineStr">
        <is>
          <t>JÄMTLANDS LÄN</t>
        </is>
      </c>
      <c r="E396" t="inlineStr">
        <is>
          <t>RAGUNDA</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36553-2025</t>
        </is>
      </c>
      <c r="B397" s="1" t="n">
        <v>45870.34439814815</v>
      </c>
      <c r="C397" s="1" t="n">
        <v>46041</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13263-2025</t>
        </is>
      </c>
      <c r="B398" s="1" t="n">
        <v>45735.53177083333</v>
      </c>
      <c r="C398" s="1" t="n">
        <v>46041</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13276-2025</t>
        </is>
      </c>
      <c r="B399" s="1" t="n">
        <v>45735.5517824074</v>
      </c>
      <c r="C399" s="1" t="n">
        <v>46041</v>
      </c>
      <c r="D399" t="inlineStr">
        <is>
          <t>JÄMTLANDS LÄN</t>
        </is>
      </c>
      <c r="E399" t="inlineStr">
        <is>
          <t>RAGUNDA</t>
        </is>
      </c>
      <c r="G399" t="n">
        <v>16.6</v>
      </c>
      <c r="H399" t="n">
        <v>0</v>
      </c>
      <c r="I399" t="n">
        <v>0</v>
      </c>
      <c r="J399" t="n">
        <v>0</v>
      </c>
      <c r="K399" t="n">
        <v>0</v>
      </c>
      <c r="L399" t="n">
        <v>0</v>
      </c>
      <c r="M399" t="n">
        <v>0</v>
      </c>
      <c r="N399" t="n">
        <v>0</v>
      </c>
      <c r="O399" t="n">
        <v>0</v>
      </c>
      <c r="P399" t="n">
        <v>0</v>
      </c>
      <c r="Q399" t="n">
        <v>0</v>
      </c>
      <c r="R399" s="2" t="inlineStr"/>
    </row>
    <row r="400" ht="15" customHeight="1">
      <c r="A400" t="inlineStr">
        <is>
          <t>A 10120-2022</t>
        </is>
      </c>
      <c r="B400" s="1" t="n">
        <v>44621</v>
      </c>
      <c r="C400" s="1" t="n">
        <v>46041</v>
      </c>
      <c r="D400" t="inlineStr">
        <is>
          <t>JÄMTLANDS LÄN</t>
        </is>
      </c>
      <c r="E400" t="inlineStr">
        <is>
          <t>RAGUNDA</t>
        </is>
      </c>
      <c r="G400" t="n">
        <v>0.4</v>
      </c>
      <c r="H400" t="n">
        <v>0</v>
      </c>
      <c r="I400" t="n">
        <v>0</v>
      </c>
      <c r="J400" t="n">
        <v>0</v>
      </c>
      <c r="K400" t="n">
        <v>0</v>
      </c>
      <c r="L400" t="n">
        <v>0</v>
      </c>
      <c r="M400" t="n">
        <v>0</v>
      </c>
      <c r="N400" t="n">
        <v>0</v>
      </c>
      <c r="O400" t="n">
        <v>0</v>
      </c>
      <c r="P400" t="n">
        <v>0</v>
      </c>
      <c r="Q400" t="n">
        <v>0</v>
      </c>
      <c r="R400" s="2" t="inlineStr"/>
    </row>
    <row r="401" ht="15" customHeight="1">
      <c r="A401" t="inlineStr">
        <is>
          <t>A 13964-2022</t>
        </is>
      </c>
      <c r="B401" s="1" t="n">
        <v>44650</v>
      </c>
      <c r="C401" s="1" t="n">
        <v>46041</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12405-2025</t>
        </is>
      </c>
      <c r="B402" s="1" t="n">
        <v>45730.42738425926</v>
      </c>
      <c r="C402" s="1" t="n">
        <v>46041</v>
      </c>
      <c r="D402" t="inlineStr">
        <is>
          <t>JÄMTLANDS LÄN</t>
        </is>
      </c>
      <c r="E402" t="inlineStr">
        <is>
          <t>RAGUNDA</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12808-2025</t>
        </is>
      </c>
      <c r="B403" s="1" t="n">
        <v>45733.61554398148</v>
      </c>
      <c r="C403" s="1" t="n">
        <v>46041</v>
      </c>
      <c r="D403" t="inlineStr">
        <is>
          <t>JÄMTLANDS LÄN</t>
        </is>
      </c>
      <c r="E403" t="inlineStr">
        <is>
          <t>RAGUNDA</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46546-2023</t>
        </is>
      </c>
      <c r="B404" s="1" t="n">
        <v>45197.94152777778</v>
      </c>
      <c r="C404" s="1" t="n">
        <v>46041</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6716-2025</t>
        </is>
      </c>
      <c r="B405" s="1" t="n">
        <v>45700.57324074074</v>
      </c>
      <c r="C405" s="1" t="n">
        <v>46041</v>
      </c>
      <c r="D405" t="inlineStr">
        <is>
          <t>JÄMTLANDS LÄN</t>
        </is>
      </c>
      <c r="E405" t="inlineStr">
        <is>
          <t>RAGUNDA</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30823-2023</t>
        </is>
      </c>
      <c r="B406" s="1" t="n">
        <v>45112</v>
      </c>
      <c r="C406" s="1" t="n">
        <v>46041</v>
      </c>
      <c r="D406" t="inlineStr">
        <is>
          <t>JÄMTLANDS LÄN</t>
        </is>
      </c>
      <c r="E406" t="inlineStr">
        <is>
          <t>RAGUNDA</t>
        </is>
      </c>
      <c r="F406" t="inlineStr">
        <is>
          <t>SCA</t>
        </is>
      </c>
      <c r="G406" t="n">
        <v>9</v>
      </c>
      <c r="H406" t="n">
        <v>0</v>
      </c>
      <c r="I406" t="n">
        <v>0</v>
      </c>
      <c r="J406" t="n">
        <v>0</v>
      </c>
      <c r="K406" t="n">
        <v>0</v>
      </c>
      <c r="L406" t="n">
        <v>0</v>
      </c>
      <c r="M406" t="n">
        <v>0</v>
      </c>
      <c r="N406" t="n">
        <v>0</v>
      </c>
      <c r="O406" t="n">
        <v>0</v>
      </c>
      <c r="P406" t="n">
        <v>0</v>
      </c>
      <c r="Q406" t="n">
        <v>0</v>
      </c>
      <c r="R406" s="2" t="inlineStr"/>
    </row>
    <row r="407" ht="15" customHeight="1">
      <c r="A407" t="inlineStr">
        <is>
          <t>A 9187-2022</t>
        </is>
      </c>
      <c r="B407" s="1" t="n">
        <v>44615</v>
      </c>
      <c r="C407" s="1" t="n">
        <v>46041</v>
      </c>
      <c r="D407" t="inlineStr">
        <is>
          <t>JÄMTLANDS LÄN</t>
        </is>
      </c>
      <c r="E407" t="inlineStr">
        <is>
          <t>RAGUNDA</t>
        </is>
      </c>
      <c r="G407" t="n">
        <v>2</v>
      </c>
      <c r="H407" t="n">
        <v>0</v>
      </c>
      <c r="I407" t="n">
        <v>0</v>
      </c>
      <c r="J407" t="n">
        <v>0</v>
      </c>
      <c r="K407" t="n">
        <v>0</v>
      </c>
      <c r="L407" t="n">
        <v>0</v>
      </c>
      <c r="M407" t="n">
        <v>0</v>
      </c>
      <c r="N407" t="n">
        <v>0</v>
      </c>
      <c r="O407" t="n">
        <v>0</v>
      </c>
      <c r="P407" t="n">
        <v>0</v>
      </c>
      <c r="Q407" t="n">
        <v>0</v>
      </c>
      <c r="R407" s="2" t="inlineStr"/>
    </row>
    <row r="408" ht="15" customHeight="1">
      <c r="A408" t="inlineStr">
        <is>
          <t>A 6177-2022</t>
        </is>
      </c>
      <c r="B408" s="1" t="n">
        <v>44599.98685185185</v>
      </c>
      <c r="C408" s="1" t="n">
        <v>46041</v>
      </c>
      <c r="D408" t="inlineStr">
        <is>
          <t>JÄMTLANDS LÄN</t>
        </is>
      </c>
      <c r="E408" t="inlineStr">
        <is>
          <t>RAGUNDA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30484-2024</t>
        </is>
      </c>
      <c r="B409" s="1" t="n">
        <v>45491</v>
      </c>
      <c r="C409" s="1" t="n">
        <v>46041</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36947-2025</t>
        </is>
      </c>
      <c r="B410" s="1" t="n">
        <v>45874.59496527778</v>
      </c>
      <c r="C410" s="1" t="n">
        <v>46041</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32075-2025</t>
        </is>
      </c>
      <c r="B411" s="1" t="n">
        <v>45835.4506712963</v>
      </c>
      <c r="C411" s="1" t="n">
        <v>46041</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36994-2025</t>
        </is>
      </c>
      <c r="B412" s="1" t="n">
        <v>45874.67746527777</v>
      </c>
      <c r="C412" s="1" t="n">
        <v>46041</v>
      </c>
      <c r="D412" t="inlineStr">
        <is>
          <t>JÄMTLANDS LÄN</t>
        </is>
      </c>
      <c r="E412" t="inlineStr">
        <is>
          <t>RAGUNDA</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11288-2022</t>
        </is>
      </c>
      <c r="B413" s="1" t="n">
        <v>44629</v>
      </c>
      <c r="C413" s="1" t="n">
        <v>46041</v>
      </c>
      <c r="D413" t="inlineStr">
        <is>
          <t>JÄMTLANDS LÄN</t>
        </is>
      </c>
      <c r="E413" t="inlineStr">
        <is>
          <t>RAGUNDA</t>
        </is>
      </c>
      <c r="G413" t="n">
        <v>4.9</v>
      </c>
      <c r="H413" t="n">
        <v>0</v>
      </c>
      <c r="I413" t="n">
        <v>0</v>
      </c>
      <c r="J413" t="n">
        <v>0</v>
      </c>
      <c r="K413" t="n">
        <v>0</v>
      </c>
      <c r="L413" t="n">
        <v>0</v>
      </c>
      <c r="M413" t="n">
        <v>0</v>
      </c>
      <c r="N413" t="n">
        <v>0</v>
      </c>
      <c r="O413" t="n">
        <v>0</v>
      </c>
      <c r="P413" t="n">
        <v>0</v>
      </c>
      <c r="Q413" t="n">
        <v>0</v>
      </c>
      <c r="R413" s="2" t="inlineStr"/>
    </row>
    <row r="414" ht="15" customHeight="1">
      <c r="A414" t="inlineStr">
        <is>
          <t>A 32874-2025</t>
        </is>
      </c>
      <c r="B414" s="1" t="n">
        <v>45839</v>
      </c>
      <c r="C414" s="1" t="n">
        <v>46041</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19865-2023</t>
        </is>
      </c>
      <c r="B415" s="1" t="n">
        <v>45053.94305555556</v>
      </c>
      <c r="C415" s="1" t="n">
        <v>46041</v>
      </c>
      <c r="D415" t="inlineStr">
        <is>
          <t>JÄMTLANDS LÄN</t>
        </is>
      </c>
      <c r="E415" t="inlineStr">
        <is>
          <t>RAGUNDA</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1554-2024</t>
        </is>
      </c>
      <c r="B416" s="1" t="n">
        <v>45306</v>
      </c>
      <c r="C416" s="1" t="n">
        <v>46041</v>
      </c>
      <c r="D416" t="inlineStr">
        <is>
          <t>JÄMTLANDS LÄN</t>
        </is>
      </c>
      <c r="E416" t="inlineStr">
        <is>
          <t>RAGUNDA</t>
        </is>
      </c>
      <c r="G416" t="n">
        <v>4.3</v>
      </c>
      <c r="H416" t="n">
        <v>0</v>
      </c>
      <c r="I416" t="n">
        <v>0</v>
      </c>
      <c r="J416" t="n">
        <v>0</v>
      </c>
      <c r="K416" t="n">
        <v>0</v>
      </c>
      <c r="L416" t="n">
        <v>0</v>
      </c>
      <c r="M416" t="n">
        <v>0</v>
      </c>
      <c r="N416" t="n">
        <v>0</v>
      </c>
      <c r="O416" t="n">
        <v>0</v>
      </c>
      <c r="P416" t="n">
        <v>0</v>
      </c>
      <c r="Q416" t="n">
        <v>0</v>
      </c>
      <c r="R416" s="2" t="inlineStr"/>
    </row>
    <row r="417" ht="15" customHeight="1">
      <c r="A417" t="inlineStr">
        <is>
          <t>A 22655-2021</t>
        </is>
      </c>
      <c r="B417" s="1" t="n">
        <v>44322</v>
      </c>
      <c r="C417" s="1" t="n">
        <v>46041</v>
      </c>
      <c r="D417" t="inlineStr">
        <is>
          <t>JÄMTLANDS LÄN</t>
        </is>
      </c>
      <c r="E417" t="inlineStr">
        <is>
          <t>RAGUNDA</t>
        </is>
      </c>
      <c r="G417" t="n">
        <v>5.8</v>
      </c>
      <c r="H417" t="n">
        <v>0</v>
      </c>
      <c r="I417" t="n">
        <v>0</v>
      </c>
      <c r="J417" t="n">
        <v>0</v>
      </c>
      <c r="K417" t="n">
        <v>0</v>
      </c>
      <c r="L417" t="n">
        <v>0</v>
      </c>
      <c r="M417" t="n">
        <v>0</v>
      </c>
      <c r="N417" t="n">
        <v>0</v>
      </c>
      <c r="O417" t="n">
        <v>0</v>
      </c>
      <c r="P417" t="n">
        <v>0</v>
      </c>
      <c r="Q417" t="n">
        <v>0</v>
      </c>
      <c r="R417" s="2" t="inlineStr"/>
    </row>
    <row r="418" ht="15" customHeight="1">
      <c r="A418" t="inlineStr">
        <is>
          <t>A 22011-2023</t>
        </is>
      </c>
      <c r="B418" s="1" t="n">
        <v>45068</v>
      </c>
      <c r="C418" s="1" t="n">
        <v>46041</v>
      </c>
      <c r="D418" t="inlineStr">
        <is>
          <t>JÄMTLANDS LÄN</t>
        </is>
      </c>
      <c r="E418" t="inlineStr">
        <is>
          <t>RAGUNDA</t>
        </is>
      </c>
      <c r="F418" t="inlineStr">
        <is>
          <t>SCA</t>
        </is>
      </c>
      <c r="G418" t="n">
        <v>12.2</v>
      </c>
      <c r="H418" t="n">
        <v>0</v>
      </c>
      <c r="I418" t="n">
        <v>0</v>
      </c>
      <c r="J418" t="n">
        <v>0</v>
      </c>
      <c r="K418" t="n">
        <v>0</v>
      </c>
      <c r="L418" t="n">
        <v>0</v>
      </c>
      <c r="M418" t="n">
        <v>0</v>
      </c>
      <c r="N418" t="n">
        <v>0</v>
      </c>
      <c r="O418" t="n">
        <v>0</v>
      </c>
      <c r="P418" t="n">
        <v>0</v>
      </c>
      <c r="Q418" t="n">
        <v>0</v>
      </c>
      <c r="R418" s="2" t="inlineStr"/>
    </row>
    <row r="419" ht="15" customHeight="1">
      <c r="A419" t="inlineStr">
        <is>
          <t>A 37008-2025</t>
        </is>
      </c>
      <c r="B419" s="1" t="n">
        <v>45874.69844907407</v>
      </c>
      <c r="C419" s="1" t="n">
        <v>46041</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13389-2025</t>
        </is>
      </c>
      <c r="B420" s="1" t="n">
        <v>45735.69842592593</v>
      </c>
      <c r="C420" s="1" t="n">
        <v>46041</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21194-2022</t>
        </is>
      </c>
      <c r="B421" s="1" t="n">
        <v>44704.9422337963</v>
      </c>
      <c r="C421" s="1" t="n">
        <v>46041</v>
      </c>
      <c r="D421" t="inlineStr">
        <is>
          <t>JÄMTLANDS LÄN</t>
        </is>
      </c>
      <c r="E421" t="inlineStr">
        <is>
          <t>RAGUNDA</t>
        </is>
      </c>
      <c r="F421" t="inlineStr">
        <is>
          <t>SCA</t>
        </is>
      </c>
      <c r="G421" t="n">
        <v>10.6</v>
      </c>
      <c r="H421" t="n">
        <v>0</v>
      </c>
      <c r="I421" t="n">
        <v>0</v>
      </c>
      <c r="J421" t="n">
        <v>0</v>
      </c>
      <c r="K421" t="n">
        <v>0</v>
      </c>
      <c r="L421" t="n">
        <v>0</v>
      </c>
      <c r="M421" t="n">
        <v>0</v>
      </c>
      <c r="N421" t="n">
        <v>0</v>
      </c>
      <c r="O421" t="n">
        <v>0</v>
      </c>
      <c r="P421" t="n">
        <v>0</v>
      </c>
      <c r="Q421" t="n">
        <v>0</v>
      </c>
      <c r="R421" s="2" t="inlineStr"/>
    </row>
    <row r="422" ht="15" customHeight="1">
      <c r="A422" t="inlineStr">
        <is>
          <t>A 2831-2024</t>
        </is>
      </c>
      <c r="B422" s="1" t="n">
        <v>45314.92758101852</v>
      </c>
      <c r="C422" s="1" t="n">
        <v>46041</v>
      </c>
      <c r="D422" t="inlineStr">
        <is>
          <t>JÄMTLANDS LÄN</t>
        </is>
      </c>
      <c r="E422" t="inlineStr">
        <is>
          <t>RAGUNDA</t>
        </is>
      </c>
      <c r="G422" t="n">
        <v>0.6</v>
      </c>
      <c r="H422" t="n">
        <v>0</v>
      </c>
      <c r="I422" t="n">
        <v>0</v>
      </c>
      <c r="J422" t="n">
        <v>0</v>
      </c>
      <c r="K422" t="n">
        <v>0</v>
      </c>
      <c r="L422" t="n">
        <v>0</v>
      </c>
      <c r="M422" t="n">
        <v>0</v>
      </c>
      <c r="N422" t="n">
        <v>0</v>
      </c>
      <c r="O422" t="n">
        <v>0</v>
      </c>
      <c r="P422" t="n">
        <v>0</v>
      </c>
      <c r="Q422" t="n">
        <v>0</v>
      </c>
      <c r="R422" s="2" t="inlineStr"/>
    </row>
    <row r="423" ht="15" customHeight="1">
      <c r="A423" t="inlineStr">
        <is>
          <t>A 39192-2025</t>
        </is>
      </c>
      <c r="B423" s="1" t="n">
        <v>45888.6775</v>
      </c>
      <c r="C423" s="1" t="n">
        <v>46041</v>
      </c>
      <c r="D423" t="inlineStr">
        <is>
          <t>JÄMTLANDS LÄN</t>
        </is>
      </c>
      <c r="E423" t="inlineStr">
        <is>
          <t>RAGUNDA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60313-2021</t>
        </is>
      </c>
      <c r="B424" s="1" t="n">
        <v>44495</v>
      </c>
      <c r="C424" s="1" t="n">
        <v>46041</v>
      </c>
      <c r="D424" t="inlineStr">
        <is>
          <t>JÄMTLANDS LÄN</t>
        </is>
      </c>
      <c r="E424" t="inlineStr">
        <is>
          <t>RAGUNDA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37292-2025</t>
        </is>
      </c>
      <c r="B425" s="1" t="n">
        <v>45876.53188657408</v>
      </c>
      <c r="C425" s="1" t="n">
        <v>46041</v>
      </c>
      <c r="D425" t="inlineStr">
        <is>
          <t>JÄMTLANDS LÄN</t>
        </is>
      </c>
      <c r="E425" t="inlineStr">
        <is>
          <t>RAGUNDA</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13264-2025</t>
        </is>
      </c>
      <c r="B426" s="1" t="n">
        <v>45735</v>
      </c>
      <c r="C426" s="1" t="n">
        <v>46041</v>
      </c>
      <c r="D426" t="inlineStr">
        <is>
          <t>JÄMTLANDS LÄN</t>
        </is>
      </c>
      <c r="E426" t="inlineStr">
        <is>
          <t>RAGUNDA</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56193-2022</t>
        </is>
      </c>
      <c r="B427" s="1" t="n">
        <v>44889</v>
      </c>
      <c r="C427" s="1" t="n">
        <v>46041</v>
      </c>
      <c r="D427" t="inlineStr">
        <is>
          <t>JÄMTLANDS LÄN</t>
        </is>
      </c>
      <c r="E427" t="inlineStr">
        <is>
          <t>RAGUNDA</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5515-2022</t>
        </is>
      </c>
      <c r="B428" s="1" t="n">
        <v>44595</v>
      </c>
      <c r="C428" s="1" t="n">
        <v>46041</v>
      </c>
      <c r="D428" t="inlineStr">
        <is>
          <t>JÄMTLANDS LÄN</t>
        </is>
      </c>
      <c r="E428" t="inlineStr">
        <is>
          <t>RAGUNDA</t>
        </is>
      </c>
      <c r="G428" t="n">
        <v>1</v>
      </c>
      <c r="H428" t="n">
        <v>0</v>
      </c>
      <c r="I428" t="n">
        <v>0</v>
      </c>
      <c r="J428" t="n">
        <v>0</v>
      </c>
      <c r="K428" t="n">
        <v>0</v>
      </c>
      <c r="L428" t="n">
        <v>0</v>
      </c>
      <c r="M428" t="n">
        <v>0</v>
      </c>
      <c r="N428" t="n">
        <v>0</v>
      </c>
      <c r="O428" t="n">
        <v>0</v>
      </c>
      <c r="P428" t="n">
        <v>0</v>
      </c>
      <c r="Q428" t="n">
        <v>0</v>
      </c>
      <c r="R428" s="2" t="inlineStr"/>
    </row>
    <row r="429" ht="15" customHeight="1">
      <c r="A429" t="inlineStr">
        <is>
          <t>A 60957-2021</t>
        </is>
      </c>
      <c r="B429" s="1" t="n">
        <v>44496</v>
      </c>
      <c r="C429" s="1" t="n">
        <v>46041</v>
      </c>
      <c r="D429" t="inlineStr">
        <is>
          <t>JÄMTLANDS LÄN</t>
        </is>
      </c>
      <c r="E429" t="inlineStr">
        <is>
          <t>RAGUNDA</t>
        </is>
      </c>
      <c r="G429" t="n">
        <v>1.6</v>
      </c>
      <c r="H429" t="n">
        <v>0</v>
      </c>
      <c r="I429" t="n">
        <v>0</v>
      </c>
      <c r="J429" t="n">
        <v>0</v>
      </c>
      <c r="K429" t="n">
        <v>0</v>
      </c>
      <c r="L429" t="n">
        <v>0</v>
      </c>
      <c r="M429" t="n">
        <v>0</v>
      </c>
      <c r="N429" t="n">
        <v>0</v>
      </c>
      <c r="O429" t="n">
        <v>0</v>
      </c>
      <c r="P429" t="n">
        <v>0</v>
      </c>
      <c r="Q429" t="n">
        <v>0</v>
      </c>
      <c r="R429" s="2" t="inlineStr"/>
    </row>
    <row r="430" ht="15" customHeight="1">
      <c r="A430" t="inlineStr">
        <is>
          <t>A 26122-2022</t>
        </is>
      </c>
      <c r="B430" s="1" t="n">
        <v>44734.94193287037</v>
      </c>
      <c r="C430" s="1" t="n">
        <v>46041</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37268-2024</t>
        </is>
      </c>
      <c r="B431" s="1" t="n">
        <v>45540.38586805556</v>
      </c>
      <c r="C431" s="1" t="n">
        <v>46041</v>
      </c>
      <c r="D431" t="inlineStr">
        <is>
          <t>JÄMTLANDS LÄN</t>
        </is>
      </c>
      <c r="E431" t="inlineStr">
        <is>
          <t>RAGUNDA</t>
        </is>
      </c>
      <c r="F431" t="inlineStr">
        <is>
          <t>SCA</t>
        </is>
      </c>
      <c r="G431" t="n">
        <v>6.3</v>
      </c>
      <c r="H431" t="n">
        <v>0</v>
      </c>
      <c r="I431" t="n">
        <v>0</v>
      </c>
      <c r="J431" t="n">
        <v>0</v>
      </c>
      <c r="K431" t="n">
        <v>0</v>
      </c>
      <c r="L431" t="n">
        <v>0</v>
      </c>
      <c r="M431" t="n">
        <v>0</v>
      </c>
      <c r="N431" t="n">
        <v>0</v>
      </c>
      <c r="O431" t="n">
        <v>0</v>
      </c>
      <c r="P431" t="n">
        <v>0</v>
      </c>
      <c r="Q431" t="n">
        <v>0</v>
      </c>
      <c r="R431" s="2" t="inlineStr"/>
    </row>
    <row r="432" ht="15" customHeight="1">
      <c r="A432" t="inlineStr">
        <is>
          <t>A 21193-2022</t>
        </is>
      </c>
      <c r="B432" s="1" t="n">
        <v>44704.94217592593</v>
      </c>
      <c r="C432" s="1" t="n">
        <v>46041</v>
      </c>
      <c r="D432" t="inlineStr">
        <is>
          <t>JÄMTLANDS LÄN</t>
        </is>
      </c>
      <c r="E432" t="inlineStr">
        <is>
          <t>RAGUNDA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41179-2022</t>
        </is>
      </c>
      <c r="B433" s="1" t="n">
        <v>44825</v>
      </c>
      <c r="C433" s="1" t="n">
        <v>46041</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9504-2025</t>
        </is>
      </c>
      <c r="B434" s="1" t="n">
        <v>45714</v>
      </c>
      <c r="C434" s="1" t="n">
        <v>46041</v>
      </c>
      <c r="D434" t="inlineStr">
        <is>
          <t>JÄMTLANDS LÄN</t>
        </is>
      </c>
      <c r="E434" t="inlineStr">
        <is>
          <t>RAGUNDA</t>
        </is>
      </c>
      <c r="G434" t="n">
        <v>6</v>
      </c>
      <c r="H434" t="n">
        <v>0</v>
      </c>
      <c r="I434" t="n">
        <v>0</v>
      </c>
      <c r="J434" t="n">
        <v>0</v>
      </c>
      <c r="K434" t="n">
        <v>0</v>
      </c>
      <c r="L434" t="n">
        <v>0</v>
      </c>
      <c r="M434" t="n">
        <v>0</v>
      </c>
      <c r="N434" t="n">
        <v>0</v>
      </c>
      <c r="O434" t="n">
        <v>0</v>
      </c>
      <c r="P434" t="n">
        <v>0</v>
      </c>
      <c r="Q434" t="n">
        <v>0</v>
      </c>
      <c r="R434" s="2" t="inlineStr"/>
    </row>
    <row r="435" ht="15" customHeight="1">
      <c r="A435" t="inlineStr">
        <is>
          <t>A 17598-2021</t>
        </is>
      </c>
      <c r="B435" s="1" t="n">
        <v>44299</v>
      </c>
      <c r="C435" s="1" t="n">
        <v>46041</v>
      </c>
      <c r="D435" t="inlineStr">
        <is>
          <t>JÄMTLANDS LÄN</t>
        </is>
      </c>
      <c r="E435" t="inlineStr">
        <is>
          <t>RAGUNDA</t>
        </is>
      </c>
      <c r="G435" t="n">
        <v>4.6</v>
      </c>
      <c r="H435" t="n">
        <v>0</v>
      </c>
      <c r="I435" t="n">
        <v>0</v>
      </c>
      <c r="J435" t="n">
        <v>0</v>
      </c>
      <c r="K435" t="n">
        <v>0</v>
      </c>
      <c r="L435" t="n">
        <v>0</v>
      </c>
      <c r="M435" t="n">
        <v>0</v>
      </c>
      <c r="N435" t="n">
        <v>0</v>
      </c>
      <c r="O435" t="n">
        <v>0</v>
      </c>
      <c r="P435" t="n">
        <v>0</v>
      </c>
      <c r="Q435" t="n">
        <v>0</v>
      </c>
      <c r="R435" s="2" t="inlineStr"/>
    </row>
    <row r="436" ht="15" customHeight="1">
      <c r="A436" t="inlineStr">
        <is>
          <t>A 62541-2022</t>
        </is>
      </c>
      <c r="B436" s="1" t="n">
        <v>44917</v>
      </c>
      <c r="C436" s="1" t="n">
        <v>46041</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28216-2025</t>
        </is>
      </c>
      <c r="B437" s="1" t="n">
        <v>45818.46898148148</v>
      </c>
      <c r="C437" s="1" t="n">
        <v>46041</v>
      </c>
      <c r="D437" t="inlineStr">
        <is>
          <t>JÄMTLANDS LÄN</t>
        </is>
      </c>
      <c r="E437" t="inlineStr">
        <is>
          <t>RAGUNDA</t>
        </is>
      </c>
      <c r="G437" t="n">
        <v>6.6</v>
      </c>
      <c r="H437" t="n">
        <v>0</v>
      </c>
      <c r="I437" t="n">
        <v>0</v>
      </c>
      <c r="J437" t="n">
        <v>0</v>
      </c>
      <c r="K437" t="n">
        <v>0</v>
      </c>
      <c r="L437" t="n">
        <v>0</v>
      </c>
      <c r="M437" t="n">
        <v>0</v>
      </c>
      <c r="N437" t="n">
        <v>0</v>
      </c>
      <c r="O437" t="n">
        <v>0</v>
      </c>
      <c r="P437" t="n">
        <v>0</v>
      </c>
      <c r="Q437" t="n">
        <v>0</v>
      </c>
      <c r="R437" s="2" t="inlineStr"/>
    </row>
    <row r="438" ht="15" customHeight="1">
      <c r="A438" t="inlineStr">
        <is>
          <t>A 61400-2022</t>
        </is>
      </c>
      <c r="B438" s="1" t="n">
        <v>44915</v>
      </c>
      <c r="C438" s="1" t="n">
        <v>46041</v>
      </c>
      <c r="D438" t="inlineStr">
        <is>
          <t>JÄMTLANDS LÄN</t>
        </is>
      </c>
      <c r="E438" t="inlineStr">
        <is>
          <t>RAGUNDA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24861-2023</t>
        </is>
      </c>
      <c r="B439" s="1" t="n">
        <v>45078</v>
      </c>
      <c r="C439" s="1" t="n">
        <v>46041</v>
      </c>
      <c r="D439" t="inlineStr">
        <is>
          <t>JÄMTLANDS LÄN</t>
        </is>
      </c>
      <c r="E439" t="inlineStr">
        <is>
          <t>RAGUNDA</t>
        </is>
      </c>
      <c r="G439" t="n">
        <v>1.3</v>
      </c>
      <c r="H439" t="n">
        <v>0</v>
      </c>
      <c r="I439" t="n">
        <v>0</v>
      </c>
      <c r="J439" t="n">
        <v>0</v>
      </c>
      <c r="K439" t="n">
        <v>0</v>
      </c>
      <c r="L439" t="n">
        <v>0</v>
      </c>
      <c r="M439" t="n">
        <v>0</v>
      </c>
      <c r="N439" t="n">
        <v>0</v>
      </c>
      <c r="O439" t="n">
        <v>0</v>
      </c>
      <c r="P439" t="n">
        <v>0</v>
      </c>
      <c r="Q439" t="n">
        <v>0</v>
      </c>
      <c r="R439" s="2" t="inlineStr"/>
    </row>
    <row r="440" ht="15" customHeight="1">
      <c r="A440" t="inlineStr">
        <is>
          <t>A 38270-2021</t>
        </is>
      </c>
      <c r="B440" s="1" t="n">
        <v>44405.92065972222</v>
      </c>
      <c r="C440" s="1" t="n">
        <v>46041</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4866-2025</t>
        </is>
      </c>
      <c r="B441" s="1" t="n">
        <v>45688.67542824074</v>
      </c>
      <c r="C441" s="1" t="n">
        <v>46041</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39384-2025</t>
        </is>
      </c>
      <c r="B442" s="1" t="n">
        <v>45889.61517361111</v>
      </c>
      <c r="C442" s="1" t="n">
        <v>46041</v>
      </c>
      <c r="D442" t="inlineStr">
        <is>
          <t>JÄMTLANDS LÄN</t>
        </is>
      </c>
      <c r="E442" t="inlineStr">
        <is>
          <t>RAGUNDA</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13917-2023</t>
        </is>
      </c>
      <c r="B443" s="1" t="n">
        <v>45007</v>
      </c>
      <c r="C443" s="1" t="n">
        <v>46041</v>
      </c>
      <c r="D443" t="inlineStr">
        <is>
          <t>JÄMTLANDS LÄN</t>
        </is>
      </c>
      <c r="E443" t="inlineStr">
        <is>
          <t>RAGUNDA</t>
        </is>
      </c>
      <c r="G443" t="n">
        <v>1</v>
      </c>
      <c r="H443" t="n">
        <v>0</v>
      </c>
      <c r="I443" t="n">
        <v>0</v>
      </c>
      <c r="J443" t="n">
        <v>0</v>
      </c>
      <c r="K443" t="n">
        <v>0</v>
      </c>
      <c r="L443" t="n">
        <v>0</v>
      </c>
      <c r="M443" t="n">
        <v>0</v>
      </c>
      <c r="N443" t="n">
        <v>0</v>
      </c>
      <c r="O443" t="n">
        <v>0</v>
      </c>
      <c r="P443" t="n">
        <v>0</v>
      </c>
      <c r="Q443" t="n">
        <v>0</v>
      </c>
      <c r="R443" s="2" t="inlineStr"/>
    </row>
    <row r="444" ht="15" customHeight="1">
      <c r="A444" t="inlineStr">
        <is>
          <t>A 18820-2023</t>
        </is>
      </c>
      <c r="B444" s="1" t="n">
        <v>45042</v>
      </c>
      <c r="C444" s="1" t="n">
        <v>46041</v>
      </c>
      <c r="D444" t="inlineStr">
        <is>
          <t>JÄMTLANDS LÄN</t>
        </is>
      </c>
      <c r="E444" t="inlineStr">
        <is>
          <t>RAGUNDA</t>
        </is>
      </c>
      <c r="G444" t="n">
        <v>18.8</v>
      </c>
      <c r="H444" t="n">
        <v>0</v>
      </c>
      <c r="I444" t="n">
        <v>0</v>
      </c>
      <c r="J444" t="n">
        <v>0</v>
      </c>
      <c r="K444" t="n">
        <v>0</v>
      </c>
      <c r="L444" t="n">
        <v>0</v>
      </c>
      <c r="M444" t="n">
        <v>0</v>
      </c>
      <c r="N444" t="n">
        <v>0</v>
      </c>
      <c r="O444" t="n">
        <v>0</v>
      </c>
      <c r="P444" t="n">
        <v>0</v>
      </c>
      <c r="Q444" t="n">
        <v>0</v>
      </c>
      <c r="R444" s="2" t="inlineStr"/>
    </row>
    <row r="445" ht="15" customHeight="1">
      <c r="A445" t="inlineStr">
        <is>
          <t>A 179-2025</t>
        </is>
      </c>
      <c r="B445" s="1" t="n">
        <v>45659.69822916666</v>
      </c>
      <c r="C445" s="1" t="n">
        <v>46041</v>
      </c>
      <c r="D445" t="inlineStr">
        <is>
          <t>JÄMTLANDS LÄN</t>
        </is>
      </c>
      <c r="E445" t="inlineStr">
        <is>
          <t>RAGUNDA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20088-2023</t>
        </is>
      </c>
      <c r="B446" s="1" t="n">
        <v>45054</v>
      </c>
      <c r="C446" s="1" t="n">
        <v>46041</v>
      </c>
      <c r="D446" t="inlineStr">
        <is>
          <t>JÄMTLANDS LÄN</t>
        </is>
      </c>
      <c r="E446" t="inlineStr">
        <is>
          <t>RAGUNDA</t>
        </is>
      </c>
      <c r="F446" t="inlineStr">
        <is>
          <t>SCA</t>
        </is>
      </c>
      <c r="G446" t="n">
        <v>23.4</v>
      </c>
      <c r="H446" t="n">
        <v>0</v>
      </c>
      <c r="I446" t="n">
        <v>0</v>
      </c>
      <c r="J446" t="n">
        <v>0</v>
      </c>
      <c r="K446" t="n">
        <v>0</v>
      </c>
      <c r="L446" t="n">
        <v>0</v>
      </c>
      <c r="M446" t="n">
        <v>0</v>
      </c>
      <c r="N446" t="n">
        <v>0</v>
      </c>
      <c r="O446" t="n">
        <v>0</v>
      </c>
      <c r="P446" t="n">
        <v>0</v>
      </c>
      <c r="Q446" t="n">
        <v>0</v>
      </c>
      <c r="R446" s="2" t="inlineStr"/>
    </row>
    <row r="447" ht="15" customHeight="1">
      <c r="A447" t="inlineStr">
        <is>
          <t>A 11147-2025</t>
        </is>
      </c>
      <c r="B447" s="1" t="n">
        <v>45723.67777777778</v>
      </c>
      <c r="C447" s="1" t="n">
        <v>46041</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24280-2021</t>
        </is>
      </c>
      <c r="B448" s="1" t="n">
        <v>44336</v>
      </c>
      <c r="C448" s="1" t="n">
        <v>46041</v>
      </c>
      <c r="D448" t="inlineStr">
        <is>
          <t>JÄMTLANDS LÄN</t>
        </is>
      </c>
      <c r="E448" t="inlineStr">
        <is>
          <t>RAGUNDA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39949-2025</t>
        </is>
      </c>
      <c r="B449" s="1" t="n">
        <v>45892.38619212963</v>
      </c>
      <c r="C449" s="1" t="n">
        <v>46041</v>
      </c>
      <c r="D449" t="inlineStr">
        <is>
          <t>JÄMTLANDS LÄN</t>
        </is>
      </c>
      <c r="E449" t="inlineStr">
        <is>
          <t>RAGUNDA</t>
        </is>
      </c>
      <c r="G449" t="n">
        <v>1.4</v>
      </c>
      <c r="H449" t="n">
        <v>0</v>
      </c>
      <c r="I449" t="n">
        <v>0</v>
      </c>
      <c r="J449" t="n">
        <v>0</v>
      </c>
      <c r="K449" t="n">
        <v>0</v>
      </c>
      <c r="L449" t="n">
        <v>0</v>
      </c>
      <c r="M449" t="n">
        <v>0</v>
      </c>
      <c r="N449" t="n">
        <v>0</v>
      </c>
      <c r="O449" t="n">
        <v>0</v>
      </c>
      <c r="P449" t="n">
        <v>0</v>
      </c>
      <c r="Q449" t="n">
        <v>0</v>
      </c>
      <c r="R449" s="2" t="inlineStr"/>
    </row>
    <row r="450" ht="15" customHeight="1">
      <c r="A450" t="inlineStr">
        <is>
          <t>A 59136-2023</t>
        </is>
      </c>
      <c r="B450" s="1" t="n">
        <v>45251</v>
      </c>
      <c r="C450" s="1" t="n">
        <v>46041</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35274-2023</t>
        </is>
      </c>
      <c r="B451" s="1" t="n">
        <v>45145</v>
      </c>
      <c r="C451" s="1" t="n">
        <v>46041</v>
      </c>
      <c r="D451" t="inlineStr">
        <is>
          <t>JÄMTLANDS LÄN</t>
        </is>
      </c>
      <c r="E451" t="inlineStr">
        <is>
          <t>RAGUNDA</t>
        </is>
      </c>
      <c r="F451" t="inlineStr">
        <is>
          <t>SCA</t>
        </is>
      </c>
      <c r="G451" t="n">
        <v>6.1</v>
      </c>
      <c r="H451" t="n">
        <v>0</v>
      </c>
      <c r="I451" t="n">
        <v>0</v>
      </c>
      <c r="J451" t="n">
        <v>0</v>
      </c>
      <c r="K451" t="n">
        <v>0</v>
      </c>
      <c r="L451" t="n">
        <v>0</v>
      </c>
      <c r="M451" t="n">
        <v>0</v>
      </c>
      <c r="N451" t="n">
        <v>0</v>
      </c>
      <c r="O451" t="n">
        <v>0</v>
      </c>
      <c r="P451" t="n">
        <v>0</v>
      </c>
      <c r="Q451" t="n">
        <v>0</v>
      </c>
      <c r="R451" s="2" t="inlineStr"/>
    </row>
    <row r="452" ht="15" customHeight="1">
      <c r="A452" t="inlineStr">
        <is>
          <t>A 14821-2025</t>
        </is>
      </c>
      <c r="B452" s="1" t="n">
        <v>45743.36</v>
      </c>
      <c r="C452" s="1" t="n">
        <v>46041</v>
      </c>
      <c r="D452" t="inlineStr">
        <is>
          <t>JÄMTLANDS LÄN</t>
        </is>
      </c>
      <c r="E452" t="inlineStr">
        <is>
          <t>RAGUNDA</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39948-2025</t>
        </is>
      </c>
      <c r="B453" s="1" t="n">
        <v>45892.38591435185</v>
      </c>
      <c r="C453" s="1" t="n">
        <v>46041</v>
      </c>
      <c r="D453" t="inlineStr">
        <is>
          <t>JÄMTLANDS LÄN</t>
        </is>
      </c>
      <c r="E453" t="inlineStr">
        <is>
          <t>RAGUNDA</t>
        </is>
      </c>
      <c r="G453" t="n">
        <v>5</v>
      </c>
      <c r="H453" t="n">
        <v>0</v>
      </c>
      <c r="I453" t="n">
        <v>0</v>
      </c>
      <c r="J453" t="n">
        <v>0</v>
      </c>
      <c r="K453" t="n">
        <v>0</v>
      </c>
      <c r="L453" t="n">
        <v>0</v>
      </c>
      <c r="M453" t="n">
        <v>0</v>
      </c>
      <c r="N453" t="n">
        <v>0</v>
      </c>
      <c r="O453" t="n">
        <v>0</v>
      </c>
      <c r="P453" t="n">
        <v>0</v>
      </c>
      <c r="Q453" t="n">
        <v>0</v>
      </c>
      <c r="R453" s="2" t="inlineStr"/>
    </row>
    <row r="454" ht="15" customHeight="1">
      <c r="A454" t="inlineStr">
        <is>
          <t>A 64264-2023</t>
        </is>
      </c>
      <c r="B454" s="1" t="n">
        <v>45279.94564814815</v>
      </c>
      <c r="C454" s="1" t="n">
        <v>46041</v>
      </c>
      <c r="D454" t="inlineStr">
        <is>
          <t>JÄMTLANDS LÄN</t>
        </is>
      </c>
      <c r="E454" t="inlineStr">
        <is>
          <t>RAGUNDA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26347-2023</t>
        </is>
      </c>
      <c r="B455" s="1" t="n">
        <v>45091</v>
      </c>
      <c r="C455" s="1" t="n">
        <v>46041</v>
      </c>
      <c r="D455" t="inlineStr">
        <is>
          <t>JÄMTLANDS LÄN</t>
        </is>
      </c>
      <c r="E455" t="inlineStr">
        <is>
          <t>RAGUNDA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39947-2025</t>
        </is>
      </c>
      <c r="B456" s="1" t="n">
        <v>45892.34438657408</v>
      </c>
      <c r="C456" s="1" t="n">
        <v>46041</v>
      </c>
      <c r="D456" t="inlineStr">
        <is>
          <t>JÄMTLANDS LÄN</t>
        </is>
      </c>
      <c r="E456" t="inlineStr">
        <is>
          <t>RAGUNDA</t>
        </is>
      </c>
      <c r="G456" t="n">
        <v>6.6</v>
      </c>
      <c r="H456" t="n">
        <v>0</v>
      </c>
      <c r="I456" t="n">
        <v>0</v>
      </c>
      <c r="J456" t="n">
        <v>0</v>
      </c>
      <c r="K456" t="n">
        <v>0</v>
      </c>
      <c r="L456" t="n">
        <v>0</v>
      </c>
      <c r="M456" t="n">
        <v>0</v>
      </c>
      <c r="N456" t="n">
        <v>0</v>
      </c>
      <c r="O456" t="n">
        <v>0</v>
      </c>
      <c r="P456" t="n">
        <v>0</v>
      </c>
      <c r="Q456" t="n">
        <v>0</v>
      </c>
      <c r="R456" s="2" t="inlineStr"/>
    </row>
    <row r="457" ht="15" customHeight="1">
      <c r="A457" t="inlineStr">
        <is>
          <t>A 39951-2025</t>
        </is>
      </c>
      <c r="B457" s="1" t="n">
        <v>45892.38657407407</v>
      </c>
      <c r="C457" s="1" t="n">
        <v>46041</v>
      </c>
      <c r="D457" t="inlineStr">
        <is>
          <t>JÄMTLANDS LÄN</t>
        </is>
      </c>
      <c r="E457" t="inlineStr">
        <is>
          <t>RAGUNDA</t>
        </is>
      </c>
      <c r="G457" t="n">
        <v>2.3</v>
      </c>
      <c r="H457" t="n">
        <v>0</v>
      </c>
      <c r="I457" t="n">
        <v>0</v>
      </c>
      <c r="J457" t="n">
        <v>0</v>
      </c>
      <c r="K457" t="n">
        <v>0</v>
      </c>
      <c r="L457" t="n">
        <v>0</v>
      </c>
      <c r="M457" t="n">
        <v>0</v>
      </c>
      <c r="N457" t="n">
        <v>0</v>
      </c>
      <c r="O457" t="n">
        <v>0</v>
      </c>
      <c r="P457" t="n">
        <v>0</v>
      </c>
      <c r="Q457" t="n">
        <v>0</v>
      </c>
      <c r="R457" s="2" t="inlineStr"/>
    </row>
    <row r="458" ht="15" customHeight="1">
      <c r="A458" t="inlineStr">
        <is>
          <t>A 51538-2022</t>
        </is>
      </c>
      <c r="B458" s="1" t="n">
        <v>44869</v>
      </c>
      <c r="C458" s="1" t="n">
        <v>46041</v>
      </c>
      <c r="D458" t="inlineStr">
        <is>
          <t>JÄMTLANDS LÄN</t>
        </is>
      </c>
      <c r="E458" t="inlineStr">
        <is>
          <t>RAGUNDA</t>
        </is>
      </c>
      <c r="G458" t="n">
        <v>6.8</v>
      </c>
      <c r="H458" t="n">
        <v>0</v>
      </c>
      <c r="I458" t="n">
        <v>0</v>
      </c>
      <c r="J458" t="n">
        <v>0</v>
      </c>
      <c r="K458" t="n">
        <v>0</v>
      </c>
      <c r="L458" t="n">
        <v>0</v>
      </c>
      <c r="M458" t="n">
        <v>0</v>
      </c>
      <c r="N458" t="n">
        <v>0</v>
      </c>
      <c r="O458" t="n">
        <v>0</v>
      </c>
      <c r="P458" t="n">
        <v>0</v>
      </c>
      <c r="Q458" t="n">
        <v>0</v>
      </c>
      <c r="R458" s="2" t="inlineStr"/>
    </row>
    <row r="459" ht="15" customHeight="1">
      <c r="A459" t="inlineStr">
        <is>
          <t>A 39946-2025</t>
        </is>
      </c>
      <c r="B459" s="1" t="n">
        <v>45892.34423611111</v>
      </c>
      <c r="C459" s="1" t="n">
        <v>46041</v>
      </c>
      <c r="D459" t="inlineStr">
        <is>
          <t>JÄMTLANDS LÄN</t>
        </is>
      </c>
      <c r="E459" t="inlineStr">
        <is>
          <t>RAGUNDA</t>
        </is>
      </c>
      <c r="G459" t="n">
        <v>4.7</v>
      </c>
      <c r="H459" t="n">
        <v>0</v>
      </c>
      <c r="I459" t="n">
        <v>0</v>
      </c>
      <c r="J459" t="n">
        <v>0</v>
      </c>
      <c r="K459" t="n">
        <v>0</v>
      </c>
      <c r="L459" t="n">
        <v>0</v>
      </c>
      <c r="M459" t="n">
        <v>0</v>
      </c>
      <c r="N459" t="n">
        <v>0</v>
      </c>
      <c r="O459" t="n">
        <v>0</v>
      </c>
      <c r="P459" t="n">
        <v>0</v>
      </c>
      <c r="Q459" t="n">
        <v>0</v>
      </c>
      <c r="R459" s="2" t="inlineStr"/>
    </row>
    <row r="460" ht="15" customHeight="1">
      <c r="A460" t="inlineStr">
        <is>
          <t>A 39950-2025</t>
        </is>
      </c>
      <c r="B460" s="1" t="n">
        <v>45892.38641203703</v>
      </c>
      <c r="C460" s="1" t="n">
        <v>46041</v>
      </c>
      <c r="D460" t="inlineStr">
        <is>
          <t>JÄMTLANDS LÄN</t>
        </is>
      </c>
      <c r="E460" t="inlineStr">
        <is>
          <t>RAGUNDA</t>
        </is>
      </c>
      <c r="G460" t="n">
        <v>1.1</v>
      </c>
      <c r="H460" t="n">
        <v>0</v>
      </c>
      <c r="I460" t="n">
        <v>0</v>
      </c>
      <c r="J460" t="n">
        <v>0</v>
      </c>
      <c r="K460" t="n">
        <v>0</v>
      </c>
      <c r="L460" t="n">
        <v>0</v>
      </c>
      <c r="M460" t="n">
        <v>0</v>
      </c>
      <c r="N460" t="n">
        <v>0</v>
      </c>
      <c r="O460" t="n">
        <v>0</v>
      </c>
      <c r="P460" t="n">
        <v>0</v>
      </c>
      <c r="Q460" t="n">
        <v>0</v>
      </c>
      <c r="R460" s="2" t="inlineStr"/>
    </row>
    <row r="461" ht="15" customHeight="1">
      <c r="A461" t="inlineStr">
        <is>
          <t>A 39955-2025</t>
        </is>
      </c>
      <c r="B461" s="1" t="n">
        <v>45892.44824074074</v>
      </c>
      <c r="C461" s="1" t="n">
        <v>46041</v>
      </c>
      <c r="D461" t="inlineStr">
        <is>
          <t>JÄMTLANDS LÄN</t>
        </is>
      </c>
      <c r="E461" t="inlineStr">
        <is>
          <t>RAGUNDA</t>
        </is>
      </c>
      <c r="G461" t="n">
        <v>1.4</v>
      </c>
      <c r="H461" t="n">
        <v>0</v>
      </c>
      <c r="I461" t="n">
        <v>0</v>
      </c>
      <c r="J461" t="n">
        <v>0</v>
      </c>
      <c r="K461" t="n">
        <v>0</v>
      </c>
      <c r="L461" t="n">
        <v>0</v>
      </c>
      <c r="M461" t="n">
        <v>0</v>
      </c>
      <c r="N461" t="n">
        <v>0</v>
      </c>
      <c r="O461" t="n">
        <v>0</v>
      </c>
      <c r="P461" t="n">
        <v>0</v>
      </c>
      <c r="Q461" t="n">
        <v>0</v>
      </c>
      <c r="R461" s="2" t="inlineStr"/>
    </row>
    <row r="462" ht="15" customHeight="1">
      <c r="A462" t="inlineStr">
        <is>
          <t>A 39956-2025</t>
        </is>
      </c>
      <c r="B462" s="1" t="n">
        <v>45892.44840277778</v>
      </c>
      <c r="C462" s="1" t="n">
        <v>46041</v>
      </c>
      <c r="D462" t="inlineStr">
        <is>
          <t>JÄMTLANDS LÄN</t>
        </is>
      </c>
      <c r="E462" t="inlineStr">
        <is>
          <t>RAGUNDA</t>
        </is>
      </c>
      <c r="G462" t="n">
        <v>3.6</v>
      </c>
      <c r="H462" t="n">
        <v>0</v>
      </c>
      <c r="I462" t="n">
        <v>0</v>
      </c>
      <c r="J462" t="n">
        <v>0</v>
      </c>
      <c r="K462" t="n">
        <v>0</v>
      </c>
      <c r="L462" t="n">
        <v>0</v>
      </c>
      <c r="M462" t="n">
        <v>0</v>
      </c>
      <c r="N462" t="n">
        <v>0</v>
      </c>
      <c r="O462" t="n">
        <v>0</v>
      </c>
      <c r="P462" t="n">
        <v>0</v>
      </c>
      <c r="Q462" t="n">
        <v>0</v>
      </c>
      <c r="R462" s="2" t="inlineStr"/>
    </row>
    <row r="463" ht="15" customHeight="1">
      <c r="A463" t="inlineStr">
        <is>
          <t>A 59492-2024</t>
        </is>
      </c>
      <c r="B463" s="1" t="n">
        <v>45638</v>
      </c>
      <c r="C463" s="1" t="n">
        <v>46041</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61109-2024</t>
        </is>
      </c>
      <c r="B464" s="1" t="n">
        <v>45645.55672453704</v>
      </c>
      <c r="C464" s="1" t="n">
        <v>46041</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40586-2025</t>
        </is>
      </c>
      <c r="B465" s="1" t="n">
        <v>45896.52478009259</v>
      </c>
      <c r="C465" s="1" t="n">
        <v>46041</v>
      </c>
      <c r="D465" t="inlineStr">
        <is>
          <t>JÄMTLANDS LÄN</t>
        </is>
      </c>
      <c r="E465" t="inlineStr">
        <is>
          <t>RAGUNDA</t>
        </is>
      </c>
      <c r="G465" t="n">
        <v>1.2</v>
      </c>
      <c r="H465" t="n">
        <v>0</v>
      </c>
      <c r="I465" t="n">
        <v>0</v>
      </c>
      <c r="J465" t="n">
        <v>0</v>
      </c>
      <c r="K465" t="n">
        <v>0</v>
      </c>
      <c r="L465" t="n">
        <v>0</v>
      </c>
      <c r="M465" t="n">
        <v>0</v>
      </c>
      <c r="N465" t="n">
        <v>0</v>
      </c>
      <c r="O465" t="n">
        <v>0</v>
      </c>
      <c r="P465" t="n">
        <v>0</v>
      </c>
      <c r="Q465" t="n">
        <v>0</v>
      </c>
      <c r="R465" s="2" t="inlineStr"/>
    </row>
    <row r="466" ht="15" customHeight="1">
      <c r="A466" t="inlineStr">
        <is>
          <t>A 62358-2023</t>
        </is>
      </c>
      <c r="B466" s="1" t="n">
        <v>45267</v>
      </c>
      <c r="C466" s="1" t="n">
        <v>46041</v>
      </c>
      <c r="D466" t="inlineStr">
        <is>
          <t>JÄMTLANDS LÄN</t>
        </is>
      </c>
      <c r="E466" t="inlineStr">
        <is>
          <t>RAGUNDA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27373-2023</t>
        </is>
      </c>
      <c r="B467" s="1" t="n">
        <v>45096.93866898148</v>
      </c>
      <c r="C467" s="1" t="n">
        <v>46041</v>
      </c>
      <c r="D467" t="inlineStr">
        <is>
          <t>JÄMTLANDS LÄN</t>
        </is>
      </c>
      <c r="E467" t="inlineStr">
        <is>
          <t>RAGUNDA</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19264-2025</t>
        </is>
      </c>
      <c r="B468" s="1" t="n">
        <v>45769.51087962963</v>
      </c>
      <c r="C468" s="1" t="n">
        <v>46041</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16321-2025</t>
        </is>
      </c>
      <c r="B469" s="1" t="n">
        <v>45751.34873842593</v>
      </c>
      <c r="C469" s="1" t="n">
        <v>46041</v>
      </c>
      <c r="D469" t="inlineStr">
        <is>
          <t>JÄMTLANDS LÄN</t>
        </is>
      </c>
      <c r="E469" t="inlineStr">
        <is>
          <t>RAGUNDA</t>
        </is>
      </c>
      <c r="F469" t="inlineStr">
        <is>
          <t>SCA</t>
        </is>
      </c>
      <c r="G469" t="n">
        <v>63.3</v>
      </c>
      <c r="H469" t="n">
        <v>0</v>
      </c>
      <c r="I469" t="n">
        <v>0</v>
      </c>
      <c r="J469" t="n">
        <v>0</v>
      </c>
      <c r="K469" t="n">
        <v>0</v>
      </c>
      <c r="L469" t="n">
        <v>0</v>
      </c>
      <c r="M469" t="n">
        <v>0</v>
      </c>
      <c r="N469" t="n">
        <v>0</v>
      </c>
      <c r="O469" t="n">
        <v>0</v>
      </c>
      <c r="P469" t="n">
        <v>0</v>
      </c>
      <c r="Q469" t="n">
        <v>0</v>
      </c>
      <c r="R469" s="2" t="inlineStr"/>
    </row>
    <row r="470" ht="15" customHeight="1">
      <c r="A470" t="inlineStr">
        <is>
          <t>A 55904-2022</t>
        </is>
      </c>
      <c r="B470" s="1" t="n">
        <v>44888</v>
      </c>
      <c r="C470" s="1" t="n">
        <v>46041</v>
      </c>
      <c r="D470" t="inlineStr">
        <is>
          <t>JÄMTLANDS LÄN</t>
        </is>
      </c>
      <c r="E470" t="inlineStr">
        <is>
          <t>RAGUNDA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57111-2025</t>
        </is>
      </c>
      <c r="B471" s="1" t="n">
        <v>45978</v>
      </c>
      <c r="C471" s="1" t="n">
        <v>46041</v>
      </c>
      <c r="D471" t="inlineStr">
        <is>
          <t>JÄMTLANDS LÄN</t>
        </is>
      </c>
      <c r="E471" t="inlineStr">
        <is>
          <t>RAGUNDA</t>
        </is>
      </c>
      <c r="G471" t="n">
        <v>2.3</v>
      </c>
      <c r="H471" t="n">
        <v>0</v>
      </c>
      <c r="I471" t="n">
        <v>0</v>
      </c>
      <c r="J471" t="n">
        <v>0</v>
      </c>
      <c r="K471" t="n">
        <v>0</v>
      </c>
      <c r="L471" t="n">
        <v>0</v>
      </c>
      <c r="M471" t="n">
        <v>0</v>
      </c>
      <c r="N471" t="n">
        <v>0</v>
      </c>
      <c r="O471" t="n">
        <v>0</v>
      </c>
      <c r="P471" t="n">
        <v>0</v>
      </c>
      <c r="Q471" t="n">
        <v>0</v>
      </c>
      <c r="R471" s="2" t="inlineStr"/>
    </row>
    <row r="472" ht="15" customHeight="1">
      <c r="A472" t="inlineStr">
        <is>
          <t>A 57117-2025</t>
        </is>
      </c>
      <c r="B472" s="1" t="n">
        <v>45978</v>
      </c>
      <c r="C472" s="1" t="n">
        <v>46041</v>
      </c>
      <c r="D472" t="inlineStr">
        <is>
          <t>JÄMTLANDS LÄN</t>
        </is>
      </c>
      <c r="E472" t="inlineStr">
        <is>
          <t>RAGUNDA</t>
        </is>
      </c>
      <c r="G472" t="n">
        <v>4.2</v>
      </c>
      <c r="H472" t="n">
        <v>0</v>
      </c>
      <c r="I472" t="n">
        <v>0</v>
      </c>
      <c r="J472" t="n">
        <v>0</v>
      </c>
      <c r="K472" t="n">
        <v>0</v>
      </c>
      <c r="L472" t="n">
        <v>0</v>
      </c>
      <c r="M472" t="n">
        <v>0</v>
      </c>
      <c r="N472" t="n">
        <v>0</v>
      </c>
      <c r="O472" t="n">
        <v>0</v>
      </c>
      <c r="P472" t="n">
        <v>0</v>
      </c>
      <c r="Q472" t="n">
        <v>0</v>
      </c>
      <c r="R472" s="2" t="inlineStr"/>
    </row>
    <row r="473" ht="15" customHeight="1">
      <c r="A473" t="inlineStr">
        <is>
          <t>A 19854-2025</t>
        </is>
      </c>
      <c r="B473" s="1" t="n">
        <v>45771.51074074074</v>
      </c>
      <c r="C473" s="1" t="n">
        <v>46041</v>
      </c>
      <c r="D473" t="inlineStr">
        <is>
          <t>JÄMTLANDS LÄN</t>
        </is>
      </c>
      <c r="E473" t="inlineStr">
        <is>
          <t>RAGUNDA</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6688-2024</t>
        </is>
      </c>
      <c r="B474" s="1" t="n">
        <v>45341</v>
      </c>
      <c r="C474" s="1" t="n">
        <v>46041</v>
      </c>
      <c r="D474" t="inlineStr">
        <is>
          <t>JÄMTLANDS LÄN</t>
        </is>
      </c>
      <c r="E474" t="inlineStr">
        <is>
          <t>RAGUNDA</t>
        </is>
      </c>
      <c r="G474" t="n">
        <v>2</v>
      </c>
      <c r="H474" t="n">
        <v>0</v>
      </c>
      <c r="I474" t="n">
        <v>0</v>
      </c>
      <c r="J474" t="n">
        <v>0</v>
      </c>
      <c r="K474" t="n">
        <v>0</v>
      </c>
      <c r="L474" t="n">
        <v>0</v>
      </c>
      <c r="M474" t="n">
        <v>0</v>
      </c>
      <c r="N474" t="n">
        <v>0</v>
      </c>
      <c r="O474" t="n">
        <v>0</v>
      </c>
      <c r="P474" t="n">
        <v>0</v>
      </c>
      <c r="Q474" t="n">
        <v>0</v>
      </c>
      <c r="R474" s="2" t="inlineStr"/>
    </row>
    <row r="475" ht="15" customHeight="1">
      <c r="A475" t="inlineStr">
        <is>
          <t>A 30642-2024</t>
        </is>
      </c>
      <c r="B475" s="1" t="n">
        <v>45495.57677083334</v>
      </c>
      <c r="C475" s="1" t="n">
        <v>46041</v>
      </c>
      <c r="D475" t="inlineStr">
        <is>
          <t>JÄMTLANDS LÄN</t>
        </is>
      </c>
      <c r="E475" t="inlineStr">
        <is>
          <t>RAGUNDA</t>
        </is>
      </c>
      <c r="G475" t="n">
        <v>2.7</v>
      </c>
      <c r="H475" t="n">
        <v>0</v>
      </c>
      <c r="I475" t="n">
        <v>0</v>
      </c>
      <c r="J475" t="n">
        <v>0</v>
      </c>
      <c r="K475" t="n">
        <v>0</v>
      </c>
      <c r="L475" t="n">
        <v>0</v>
      </c>
      <c r="M475" t="n">
        <v>0</v>
      </c>
      <c r="N475" t="n">
        <v>0</v>
      </c>
      <c r="O475" t="n">
        <v>0</v>
      </c>
      <c r="P475" t="n">
        <v>0</v>
      </c>
      <c r="Q475" t="n">
        <v>0</v>
      </c>
      <c r="R475" s="2" t="inlineStr"/>
    </row>
    <row r="476" ht="15" customHeight="1">
      <c r="A476" t="inlineStr">
        <is>
          <t>A 41161-2025</t>
        </is>
      </c>
      <c r="B476" s="1" t="n">
        <v>45898.53193287037</v>
      </c>
      <c r="C476" s="1" t="n">
        <v>46041</v>
      </c>
      <c r="D476" t="inlineStr">
        <is>
          <t>JÄMTLANDS LÄN</t>
        </is>
      </c>
      <c r="E476" t="inlineStr">
        <is>
          <t>RAGUNDA</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56751-2025</t>
        </is>
      </c>
      <c r="B477" s="1" t="n">
        <v>45978.36538194444</v>
      </c>
      <c r="C477" s="1" t="n">
        <v>46041</v>
      </c>
      <c r="D477" t="inlineStr">
        <is>
          <t>JÄMTLANDS LÄN</t>
        </is>
      </c>
      <c r="E477" t="inlineStr">
        <is>
          <t>RAGUNDA</t>
        </is>
      </c>
      <c r="F477" t="inlineStr">
        <is>
          <t>SCA</t>
        </is>
      </c>
      <c r="G477" t="n">
        <v>34.5</v>
      </c>
      <c r="H477" t="n">
        <v>0</v>
      </c>
      <c r="I477" t="n">
        <v>0</v>
      </c>
      <c r="J477" t="n">
        <v>0</v>
      </c>
      <c r="K477" t="n">
        <v>0</v>
      </c>
      <c r="L477" t="n">
        <v>0</v>
      </c>
      <c r="M477" t="n">
        <v>0</v>
      </c>
      <c r="N477" t="n">
        <v>0</v>
      </c>
      <c r="O477" t="n">
        <v>0</v>
      </c>
      <c r="P477" t="n">
        <v>0</v>
      </c>
      <c r="Q477" t="n">
        <v>0</v>
      </c>
      <c r="R477" s="2" t="inlineStr"/>
    </row>
    <row r="478" ht="15" customHeight="1">
      <c r="A478" t="inlineStr">
        <is>
          <t>A 41140-2025</t>
        </is>
      </c>
      <c r="B478" s="1" t="n">
        <v>45898.49012731481</v>
      </c>
      <c r="C478" s="1" t="n">
        <v>46041</v>
      </c>
      <c r="D478" t="inlineStr">
        <is>
          <t>JÄMTLANDS LÄN</t>
        </is>
      </c>
      <c r="E478" t="inlineStr">
        <is>
          <t>RAGUNDA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63828-2025</t>
        </is>
      </c>
      <c r="B479" s="1" t="n">
        <v>46020.37814814815</v>
      </c>
      <c r="C479" s="1" t="n">
        <v>46041</v>
      </c>
      <c r="D479" t="inlineStr">
        <is>
          <t>JÄMTLANDS LÄN</t>
        </is>
      </c>
      <c r="E479" t="inlineStr">
        <is>
          <t>RAGUNDA</t>
        </is>
      </c>
      <c r="G479" t="n">
        <v>4.7</v>
      </c>
      <c r="H479" t="n">
        <v>0</v>
      </c>
      <c r="I479" t="n">
        <v>0</v>
      </c>
      <c r="J479" t="n">
        <v>0</v>
      </c>
      <c r="K479" t="n">
        <v>0</v>
      </c>
      <c r="L479" t="n">
        <v>0</v>
      </c>
      <c r="M479" t="n">
        <v>0</v>
      </c>
      <c r="N479" t="n">
        <v>0</v>
      </c>
      <c r="O479" t="n">
        <v>0</v>
      </c>
      <c r="P479" t="n">
        <v>0</v>
      </c>
      <c r="Q479" t="n">
        <v>0</v>
      </c>
      <c r="R479" s="2" t="inlineStr"/>
    </row>
    <row r="480" ht="15" customHeight="1">
      <c r="A480" t="inlineStr">
        <is>
          <t>A 23304-2023</t>
        </is>
      </c>
      <c r="B480" s="1" t="n">
        <v>45075.945</v>
      </c>
      <c r="C480" s="1" t="n">
        <v>46041</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56435-2025</t>
        </is>
      </c>
      <c r="B481" s="1" t="n">
        <v>45975.34679398148</v>
      </c>
      <c r="C481" s="1" t="n">
        <v>46041</v>
      </c>
      <c r="D481" t="inlineStr">
        <is>
          <t>JÄMTLANDS LÄN</t>
        </is>
      </c>
      <c r="E481" t="inlineStr">
        <is>
          <t>RAGUNDA</t>
        </is>
      </c>
      <c r="F481" t="inlineStr">
        <is>
          <t>SCA</t>
        </is>
      </c>
      <c r="G481" t="n">
        <v>9.199999999999999</v>
      </c>
      <c r="H481" t="n">
        <v>0</v>
      </c>
      <c r="I481" t="n">
        <v>0</v>
      </c>
      <c r="J481" t="n">
        <v>0</v>
      </c>
      <c r="K481" t="n">
        <v>0</v>
      </c>
      <c r="L481" t="n">
        <v>0</v>
      </c>
      <c r="M481" t="n">
        <v>0</v>
      </c>
      <c r="N481" t="n">
        <v>0</v>
      </c>
      <c r="O481" t="n">
        <v>0</v>
      </c>
      <c r="P481" t="n">
        <v>0</v>
      </c>
      <c r="Q481" t="n">
        <v>0</v>
      </c>
      <c r="R481" s="2" t="inlineStr"/>
      <c r="U481">
        <f>HYPERLINK("https://klasma.github.io/Logging_2303/knärot/A 56435-2025 karta knärot.png", "A 56435-2025")</f>
        <v/>
      </c>
      <c r="V481">
        <f>HYPERLINK("https://klasma.github.io/Logging_2303/klagomål/A 56435-2025 FSC-klagomål.docx", "A 56435-2025")</f>
        <v/>
      </c>
      <c r="W481">
        <f>HYPERLINK("https://klasma.github.io/Logging_2303/klagomålsmail/A 56435-2025 FSC-klagomål mail.docx", "A 56435-2025")</f>
        <v/>
      </c>
      <c r="X481">
        <f>HYPERLINK("https://klasma.github.io/Logging_2303/tillsyn/A 56435-2025 tillsynsbegäran.docx", "A 56435-2025")</f>
        <v/>
      </c>
      <c r="Y481">
        <f>HYPERLINK("https://klasma.github.io/Logging_2303/tillsynsmail/A 56435-2025 tillsynsbegäran mail.docx", "A 56435-2025")</f>
        <v/>
      </c>
    </row>
    <row r="482" ht="15" customHeight="1">
      <c r="A482" t="inlineStr">
        <is>
          <t>A 63714-2025</t>
        </is>
      </c>
      <c r="B482" s="1" t="n">
        <v>46014</v>
      </c>
      <c r="C482" s="1" t="n">
        <v>46041</v>
      </c>
      <c r="D482" t="inlineStr">
        <is>
          <t>JÄMTLANDS LÄN</t>
        </is>
      </c>
      <c r="E482" t="inlineStr">
        <is>
          <t>RAGUNDA</t>
        </is>
      </c>
      <c r="F482" t="inlineStr">
        <is>
          <t>Sveaskog</t>
        </is>
      </c>
      <c r="G482" t="n">
        <v>8.5</v>
      </c>
      <c r="H482" t="n">
        <v>0</v>
      </c>
      <c r="I482" t="n">
        <v>0</v>
      </c>
      <c r="J482" t="n">
        <v>0</v>
      </c>
      <c r="K482" t="n">
        <v>0</v>
      </c>
      <c r="L482" t="n">
        <v>0</v>
      </c>
      <c r="M482" t="n">
        <v>0</v>
      </c>
      <c r="N482" t="n">
        <v>0</v>
      </c>
      <c r="O482" t="n">
        <v>0</v>
      </c>
      <c r="P482" t="n">
        <v>0</v>
      </c>
      <c r="Q482" t="n">
        <v>0</v>
      </c>
      <c r="R482" s="2" t="inlineStr"/>
    </row>
    <row r="483" ht="15" customHeight="1">
      <c r="A483" t="inlineStr">
        <is>
          <t>A 16635-2025</t>
        </is>
      </c>
      <c r="B483" s="1" t="n">
        <v>45754</v>
      </c>
      <c r="C483" s="1" t="n">
        <v>46041</v>
      </c>
      <c r="D483" t="inlineStr">
        <is>
          <t>JÄMTLANDS LÄN</t>
        </is>
      </c>
      <c r="E483" t="inlineStr">
        <is>
          <t>RAGUNDA</t>
        </is>
      </c>
      <c r="F483" t="inlineStr">
        <is>
          <t>SCA</t>
        </is>
      </c>
      <c r="G483" t="n">
        <v>55.4</v>
      </c>
      <c r="H483" t="n">
        <v>0</v>
      </c>
      <c r="I483" t="n">
        <v>0</v>
      </c>
      <c r="J483" t="n">
        <v>0</v>
      </c>
      <c r="K483" t="n">
        <v>0</v>
      </c>
      <c r="L483" t="n">
        <v>0</v>
      </c>
      <c r="M483" t="n">
        <v>0</v>
      </c>
      <c r="N483" t="n">
        <v>0</v>
      </c>
      <c r="O483" t="n">
        <v>0</v>
      </c>
      <c r="P483" t="n">
        <v>0</v>
      </c>
      <c r="Q483" t="n">
        <v>0</v>
      </c>
      <c r="R483" s="2" t="inlineStr"/>
    </row>
    <row r="484" ht="15" customHeight="1">
      <c r="A484" t="inlineStr">
        <is>
          <t>A 41233-2025</t>
        </is>
      </c>
      <c r="B484" s="1" t="n">
        <v>45898.59295138889</v>
      </c>
      <c r="C484" s="1" t="n">
        <v>46041</v>
      </c>
      <c r="D484" t="inlineStr">
        <is>
          <t>JÄMTLANDS LÄN</t>
        </is>
      </c>
      <c r="E484" t="inlineStr">
        <is>
          <t>RAGUNDA</t>
        </is>
      </c>
      <c r="G484" t="n">
        <v>1.7</v>
      </c>
      <c r="H484" t="n">
        <v>0</v>
      </c>
      <c r="I484" t="n">
        <v>0</v>
      </c>
      <c r="J484" t="n">
        <v>0</v>
      </c>
      <c r="K484" t="n">
        <v>0</v>
      </c>
      <c r="L484" t="n">
        <v>0</v>
      </c>
      <c r="M484" t="n">
        <v>0</v>
      </c>
      <c r="N484" t="n">
        <v>0</v>
      </c>
      <c r="O484" t="n">
        <v>0</v>
      </c>
      <c r="P484" t="n">
        <v>0</v>
      </c>
      <c r="Q484" t="n">
        <v>0</v>
      </c>
      <c r="R484" s="2" t="inlineStr"/>
    </row>
    <row r="485" ht="15" customHeight="1">
      <c r="A485" t="inlineStr">
        <is>
          <t>A 41262-2025</t>
        </is>
      </c>
      <c r="B485" s="1" t="n">
        <v>45898.61502314815</v>
      </c>
      <c r="C485" s="1" t="n">
        <v>46041</v>
      </c>
      <c r="D485" t="inlineStr">
        <is>
          <t>JÄMTLANDS LÄN</t>
        </is>
      </c>
      <c r="E485" t="inlineStr">
        <is>
          <t>RAGUNDA</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64492-2023</t>
        </is>
      </c>
      <c r="B486" s="1" t="n">
        <v>45280.92645833334</v>
      </c>
      <c r="C486" s="1" t="n">
        <v>46041</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37479-2023</t>
        </is>
      </c>
      <c r="B487" s="1" t="n">
        <v>45156</v>
      </c>
      <c r="C487" s="1" t="n">
        <v>46041</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57332-2025</t>
        </is>
      </c>
      <c r="B488" s="1" t="n">
        <v>45980.34467592592</v>
      </c>
      <c r="C488" s="1" t="n">
        <v>46041</v>
      </c>
      <c r="D488" t="inlineStr">
        <is>
          <t>JÄMTLANDS LÄN</t>
        </is>
      </c>
      <c r="E488" t="inlineStr">
        <is>
          <t>RAGUNDA</t>
        </is>
      </c>
      <c r="F488" t="inlineStr">
        <is>
          <t>SCA</t>
        </is>
      </c>
      <c r="G488" t="n">
        <v>22.6</v>
      </c>
      <c r="H488" t="n">
        <v>0</v>
      </c>
      <c r="I488" t="n">
        <v>0</v>
      </c>
      <c r="J488" t="n">
        <v>0</v>
      </c>
      <c r="K488" t="n">
        <v>0</v>
      </c>
      <c r="L488" t="n">
        <v>0</v>
      </c>
      <c r="M488" t="n">
        <v>0</v>
      </c>
      <c r="N488" t="n">
        <v>0</v>
      </c>
      <c r="O488" t="n">
        <v>0</v>
      </c>
      <c r="P488" t="n">
        <v>0</v>
      </c>
      <c r="Q488" t="n">
        <v>0</v>
      </c>
      <c r="R488" s="2" t="inlineStr"/>
    </row>
    <row r="489" ht="15" customHeight="1">
      <c r="A489" t="inlineStr">
        <is>
          <t>A 57561-2025</t>
        </is>
      </c>
      <c r="B489" s="1" t="n">
        <v>45980.69885416667</v>
      </c>
      <c r="C489" s="1" t="n">
        <v>46041</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57560-2025</t>
        </is>
      </c>
      <c r="B490" s="1" t="n">
        <v>45980.6987962963</v>
      </c>
      <c r="C490" s="1" t="n">
        <v>46041</v>
      </c>
      <c r="D490" t="inlineStr">
        <is>
          <t>JÄMTLANDS LÄN</t>
        </is>
      </c>
      <c r="E490" t="inlineStr">
        <is>
          <t>RAGUNDA</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28596-2021</t>
        </is>
      </c>
      <c r="B491" s="1" t="n">
        <v>44356</v>
      </c>
      <c r="C491" s="1" t="n">
        <v>46041</v>
      </c>
      <c r="D491" t="inlineStr">
        <is>
          <t>JÄMTLANDS LÄN</t>
        </is>
      </c>
      <c r="E491" t="inlineStr">
        <is>
          <t>RAGUNDA</t>
        </is>
      </c>
      <c r="G491" t="n">
        <v>5.4</v>
      </c>
      <c r="H491" t="n">
        <v>0</v>
      </c>
      <c r="I491" t="n">
        <v>0</v>
      </c>
      <c r="J491" t="n">
        <v>0</v>
      </c>
      <c r="K491" t="n">
        <v>0</v>
      </c>
      <c r="L491" t="n">
        <v>0</v>
      </c>
      <c r="M491" t="n">
        <v>0</v>
      </c>
      <c r="N491" t="n">
        <v>0</v>
      </c>
      <c r="O491" t="n">
        <v>0</v>
      </c>
      <c r="P491" t="n">
        <v>0</v>
      </c>
      <c r="Q491" t="n">
        <v>0</v>
      </c>
      <c r="R491" s="2" t="inlineStr"/>
    </row>
    <row r="492" ht="15" customHeight="1">
      <c r="A492" t="inlineStr">
        <is>
          <t>A 41422-2025</t>
        </is>
      </c>
      <c r="B492" s="1" t="n">
        <v>45901.38572916666</v>
      </c>
      <c r="C492" s="1" t="n">
        <v>46041</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41772-2024</t>
        </is>
      </c>
      <c r="B493" s="1" t="n">
        <v>45561.34663194444</v>
      </c>
      <c r="C493" s="1" t="n">
        <v>46041</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36106-2022</t>
        </is>
      </c>
      <c r="B494" s="1" t="n">
        <v>44802.94811342593</v>
      </c>
      <c r="C494" s="1" t="n">
        <v>46041</v>
      </c>
      <c r="D494" t="inlineStr">
        <is>
          <t>JÄMTLANDS LÄN</t>
        </is>
      </c>
      <c r="E494" t="inlineStr">
        <is>
          <t>RAGUNDA</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64108-2025</t>
        </is>
      </c>
      <c r="B495" s="1" t="n">
        <v>46013</v>
      </c>
      <c r="C495" s="1" t="n">
        <v>46041</v>
      </c>
      <c r="D495" t="inlineStr">
        <is>
          <t>JÄMTLANDS LÄN</t>
        </is>
      </c>
      <c r="E495" t="inlineStr">
        <is>
          <t>RAGUNDA</t>
        </is>
      </c>
      <c r="F495" t="inlineStr">
        <is>
          <t>Kyrkan</t>
        </is>
      </c>
      <c r="G495" t="n">
        <v>1.6</v>
      </c>
      <c r="H495" t="n">
        <v>0</v>
      </c>
      <c r="I495" t="n">
        <v>0</v>
      </c>
      <c r="J495" t="n">
        <v>0</v>
      </c>
      <c r="K495" t="n">
        <v>0</v>
      </c>
      <c r="L495" t="n">
        <v>0</v>
      </c>
      <c r="M495" t="n">
        <v>0</v>
      </c>
      <c r="N495" t="n">
        <v>0</v>
      </c>
      <c r="O495" t="n">
        <v>0</v>
      </c>
      <c r="P495" t="n">
        <v>0</v>
      </c>
      <c r="Q495" t="n">
        <v>0</v>
      </c>
      <c r="R495" s="2" t="inlineStr"/>
    </row>
    <row r="496" ht="15" customHeight="1">
      <c r="A496" t="inlineStr">
        <is>
          <t>A 57184-2025</t>
        </is>
      </c>
      <c r="B496" s="1" t="n">
        <v>45979.57361111111</v>
      </c>
      <c r="C496" s="1" t="n">
        <v>46041</v>
      </c>
      <c r="D496" t="inlineStr">
        <is>
          <t>JÄMTLANDS LÄN</t>
        </is>
      </c>
      <c r="E496" t="inlineStr">
        <is>
          <t>RAGUNDA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12585-2024</t>
        </is>
      </c>
      <c r="B497" s="1" t="n">
        <v>45379.93637731481</v>
      </c>
      <c r="C497" s="1" t="n">
        <v>46041</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41423-2025</t>
        </is>
      </c>
      <c r="B498" s="1" t="n">
        <v>45901.38578703703</v>
      </c>
      <c r="C498" s="1" t="n">
        <v>46041</v>
      </c>
      <c r="D498" t="inlineStr">
        <is>
          <t>JÄMTLANDS LÄN</t>
        </is>
      </c>
      <c r="E498" t="inlineStr">
        <is>
          <t>RAGUNDA</t>
        </is>
      </c>
      <c r="G498" t="n">
        <v>0.7</v>
      </c>
      <c r="H498" t="n">
        <v>0</v>
      </c>
      <c r="I498" t="n">
        <v>0</v>
      </c>
      <c r="J498" t="n">
        <v>0</v>
      </c>
      <c r="K498" t="n">
        <v>0</v>
      </c>
      <c r="L498" t="n">
        <v>0</v>
      </c>
      <c r="M498" t="n">
        <v>0</v>
      </c>
      <c r="N498" t="n">
        <v>0</v>
      </c>
      <c r="O498" t="n">
        <v>0</v>
      </c>
      <c r="P498" t="n">
        <v>0</v>
      </c>
      <c r="Q498" t="n">
        <v>0</v>
      </c>
      <c r="R498" s="2" t="inlineStr"/>
    </row>
    <row r="499" ht="15" customHeight="1">
      <c r="A499" t="inlineStr">
        <is>
          <t>A 15581-2024</t>
        </is>
      </c>
      <c r="B499" s="1" t="n">
        <v>45401</v>
      </c>
      <c r="C499" s="1" t="n">
        <v>46041</v>
      </c>
      <c r="D499" t="inlineStr">
        <is>
          <t>JÄMTLANDS LÄN</t>
        </is>
      </c>
      <c r="E499" t="inlineStr">
        <is>
          <t>RAGUNDA</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15611-2024</t>
        </is>
      </c>
      <c r="B500" s="1" t="n">
        <v>45401</v>
      </c>
      <c r="C500" s="1" t="n">
        <v>46041</v>
      </c>
      <c r="D500" t="inlineStr">
        <is>
          <t>JÄMTLANDS LÄN</t>
        </is>
      </c>
      <c r="E500" t="inlineStr">
        <is>
          <t>RAGUNDA</t>
        </is>
      </c>
      <c r="F500" t="inlineStr">
        <is>
          <t>SCA</t>
        </is>
      </c>
      <c r="G500" t="n">
        <v>10.3</v>
      </c>
      <c r="H500" t="n">
        <v>0</v>
      </c>
      <c r="I500" t="n">
        <v>0</v>
      </c>
      <c r="J500" t="n">
        <v>0</v>
      </c>
      <c r="K500" t="n">
        <v>0</v>
      </c>
      <c r="L500" t="n">
        <v>0</v>
      </c>
      <c r="M500" t="n">
        <v>0</v>
      </c>
      <c r="N500" t="n">
        <v>0</v>
      </c>
      <c r="O500" t="n">
        <v>0</v>
      </c>
      <c r="P500" t="n">
        <v>0</v>
      </c>
      <c r="Q500" t="n">
        <v>0</v>
      </c>
      <c r="R500" s="2" t="inlineStr"/>
    </row>
    <row r="501" ht="15" customHeight="1">
      <c r="A501" t="inlineStr">
        <is>
          <t>A 41656-2025</t>
        </is>
      </c>
      <c r="B501" s="1" t="n">
        <v>45902.34423611111</v>
      </c>
      <c r="C501" s="1" t="n">
        <v>46041</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41424-2025</t>
        </is>
      </c>
      <c r="B502" s="1" t="n">
        <v>45901.38584490741</v>
      </c>
      <c r="C502" s="1" t="n">
        <v>46041</v>
      </c>
      <c r="D502" t="inlineStr">
        <is>
          <t>JÄMTLANDS LÄN</t>
        </is>
      </c>
      <c r="E502" t="inlineStr">
        <is>
          <t>RAGUNDA</t>
        </is>
      </c>
      <c r="G502" t="n">
        <v>3</v>
      </c>
      <c r="H502" t="n">
        <v>0</v>
      </c>
      <c r="I502" t="n">
        <v>0</v>
      </c>
      <c r="J502" t="n">
        <v>0</v>
      </c>
      <c r="K502" t="n">
        <v>0</v>
      </c>
      <c r="L502" t="n">
        <v>0</v>
      </c>
      <c r="M502" t="n">
        <v>0</v>
      </c>
      <c r="N502" t="n">
        <v>0</v>
      </c>
      <c r="O502" t="n">
        <v>0</v>
      </c>
      <c r="P502" t="n">
        <v>0</v>
      </c>
      <c r="Q502" t="n">
        <v>0</v>
      </c>
      <c r="R502" s="2" t="inlineStr"/>
    </row>
    <row r="503" ht="15" customHeight="1">
      <c r="A503" t="inlineStr">
        <is>
          <t>A 122-2026</t>
        </is>
      </c>
      <c r="B503" s="1" t="n">
        <v>46024.57335648148</v>
      </c>
      <c r="C503" s="1" t="n">
        <v>46041</v>
      </c>
      <c r="D503" t="inlineStr">
        <is>
          <t>JÄMTLANDS LÄN</t>
        </is>
      </c>
      <c r="E503" t="inlineStr">
        <is>
          <t>RAGUNDA</t>
        </is>
      </c>
      <c r="F503" t="inlineStr">
        <is>
          <t>SCA</t>
        </is>
      </c>
      <c r="G503" t="n">
        <v>15.3</v>
      </c>
      <c r="H503" t="n">
        <v>0</v>
      </c>
      <c r="I503" t="n">
        <v>0</v>
      </c>
      <c r="J503" t="n">
        <v>0</v>
      </c>
      <c r="K503" t="n">
        <v>0</v>
      </c>
      <c r="L503" t="n">
        <v>0</v>
      </c>
      <c r="M503" t="n">
        <v>0</v>
      </c>
      <c r="N503" t="n">
        <v>0</v>
      </c>
      <c r="O503" t="n">
        <v>0</v>
      </c>
      <c r="P503" t="n">
        <v>0</v>
      </c>
      <c r="Q503" t="n">
        <v>0</v>
      </c>
      <c r="R503" s="2" t="inlineStr"/>
    </row>
    <row r="504" ht="15" customHeight="1">
      <c r="A504" t="inlineStr">
        <is>
          <t>A 12660-2024</t>
        </is>
      </c>
      <c r="B504" s="1" t="n">
        <v>45384</v>
      </c>
      <c r="C504" s="1" t="n">
        <v>46041</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25332-2023</t>
        </is>
      </c>
      <c r="B505" s="1" t="n">
        <v>45086.94010416666</v>
      </c>
      <c r="C505" s="1" t="n">
        <v>46041</v>
      </c>
      <c r="D505" t="inlineStr">
        <is>
          <t>JÄMTLANDS LÄN</t>
        </is>
      </c>
      <c r="E505" t="inlineStr">
        <is>
          <t>RAGUNDA</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57833-2025</t>
        </is>
      </c>
      <c r="B506" s="1" t="n">
        <v>45981.61541666667</v>
      </c>
      <c r="C506" s="1" t="n">
        <v>46041</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11780-2024</t>
        </is>
      </c>
      <c r="B507" s="1" t="n">
        <v>45374</v>
      </c>
      <c r="C507" s="1" t="n">
        <v>46041</v>
      </c>
      <c r="D507" t="inlineStr">
        <is>
          <t>JÄMTLANDS LÄN</t>
        </is>
      </c>
      <c r="E507" t="inlineStr">
        <is>
          <t>RAGUNDA</t>
        </is>
      </c>
      <c r="G507" t="n">
        <v>14.6</v>
      </c>
      <c r="H507" t="n">
        <v>0</v>
      </c>
      <c r="I507" t="n">
        <v>0</v>
      </c>
      <c r="J507" t="n">
        <v>0</v>
      </c>
      <c r="K507" t="n">
        <v>0</v>
      </c>
      <c r="L507" t="n">
        <v>0</v>
      </c>
      <c r="M507" t="n">
        <v>0</v>
      </c>
      <c r="N507" t="n">
        <v>0</v>
      </c>
      <c r="O507" t="n">
        <v>0</v>
      </c>
      <c r="P507" t="n">
        <v>0</v>
      </c>
      <c r="Q507" t="n">
        <v>0</v>
      </c>
      <c r="R507" s="2" t="inlineStr"/>
    </row>
    <row r="508" ht="15" customHeight="1">
      <c r="A508" t="inlineStr">
        <is>
          <t>A 33615-2023</t>
        </is>
      </c>
      <c r="B508" s="1" t="n">
        <v>45119</v>
      </c>
      <c r="C508" s="1" t="n">
        <v>46041</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43132-2023</t>
        </is>
      </c>
      <c r="B509" s="1" t="n">
        <v>45182</v>
      </c>
      <c r="C509" s="1" t="n">
        <v>46041</v>
      </c>
      <c r="D509" t="inlineStr">
        <is>
          <t>JÄMTLANDS LÄN</t>
        </is>
      </c>
      <c r="E509" t="inlineStr">
        <is>
          <t>RAGUNDA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58076-2025</t>
        </is>
      </c>
      <c r="B510" s="1" t="n">
        <v>45982.55273148148</v>
      </c>
      <c r="C510" s="1" t="n">
        <v>46041</v>
      </c>
      <c r="D510" t="inlineStr">
        <is>
          <t>JÄMTLANDS LÄN</t>
        </is>
      </c>
      <c r="E510" t="inlineStr">
        <is>
          <t>RAGUNDA</t>
        </is>
      </c>
      <c r="G510" t="n">
        <v>0.1</v>
      </c>
      <c r="H510" t="n">
        <v>0</v>
      </c>
      <c r="I510" t="n">
        <v>0</v>
      </c>
      <c r="J510" t="n">
        <v>0</v>
      </c>
      <c r="K510" t="n">
        <v>0</v>
      </c>
      <c r="L510" t="n">
        <v>0</v>
      </c>
      <c r="M510" t="n">
        <v>0</v>
      </c>
      <c r="N510" t="n">
        <v>0</v>
      </c>
      <c r="O510" t="n">
        <v>0</v>
      </c>
      <c r="P510" t="n">
        <v>0</v>
      </c>
      <c r="Q510" t="n">
        <v>0</v>
      </c>
      <c r="R510" s="2" t="inlineStr"/>
    </row>
    <row r="511" ht="15" customHeight="1">
      <c r="A511" t="inlineStr">
        <is>
          <t>A 58093-2025</t>
        </is>
      </c>
      <c r="B511" s="1" t="n">
        <v>45982.5741087963</v>
      </c>
      <c r="C511" s="1" t="n">
        <v>46041</v>
      </c>
      <c r="D511" t="inlineStr">
        <is>
          <t>JÄMTLANDS LÄN</t>
        </is>
      </c>
      <c r="E511" t="inlineStr">
        <is>
          <t>RAGUNDA</t>
        </is>
      </c>
      <c r="G511" t="n">
        <v>22.2</v>
      </c>
      <c r="H511" t="n">
        <v>0</v>
      </c>
      <c r="I511" t="n">
        <v>0</v>
      </c>
      <c r="J511" t="n">
        <v>0</v>
      </c>
      <c r="K511" t="n">
        <v>0</v>
      </c>
      <c r="L511" t="n">
        <v>0</v>
      </c>
      <c r="M511" t="n">
        <v>0</v>
      </c>
      <c r="N511" t="n">
        <v>0</v>
      </c>
      <c r="O511" t="n">
        <v>0</v>
      </c>
      <c r="P511" t="n">
        <v>0</v>
      </c>
      <c r="Q511" t="n">
        <v>0</v>
      </c>
      <c r="R511" s="2" t="inlineStr"/>
    </row>
    <row r="512" ht="15" customHeight="1">
      <c r="A512" t="inlineStr">
        <is>
          <t>A 57914-2025</t>
        </is>
      </c>
      <c r="B512" s="1" t="n">
        <v>45981</v>
      </c>
      <c r="C512" s="1" t="n">
        <v>46041</v>
      </c>
      <c r="D512" t="inlineStr">
        <is>
          <t>JÄMTLANDS LÄN</t>
        </is>
      </c>
      <c r="E512" t="inlineStr">
        <is>
          <t>RAGUNDA</t>
        </is>
      </c>
      <c r="G512" t="n">
        <v>3.2</v>
      </c>
      <c r="H512" t="n">
        <v>0</v>
      </c>
      <c r="I512" t="n">
        <v>0</v>
      </c>
      <c r="J512" t="n">
        <v>0</v>
      </c>
      <c r="K512" t="n">
        <v>0</v>
      </c>
      <c r="L512" t="n">
        <v>0</v>
      </c>
      <c r="M512" t="n">
        <v>0</v>
      </c>
      <c r="N512" t="n">
        <v>0</v>
      </c>
      <c r="O512" t="n">
        <v>0</v>
      </c>
      <c r="P512" t="n">
        <v>0</v>
      </c>
      <c r="Q512" t="n">
        <v>0</v>
      </c>
      <c r="R512" s="2" t="inlineStr"/>
    </row>
    <row r="513" ht="15" customHeight="1">
      <c r="A513" t="inlineStr">
        <is>
          <t>A 22131-2021</t>
        </is>
      </c>
      <c r="B513" s="1" t="n">
        <v>44323</v>
      </c>
      <c r="C513" s="1" t="n">
        <v>46041</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59557-2023</t>
        </is>
      </c>
      <c r="B514" s="1" t="n">
        <v>45253</v>
      </c>
      <c r="C514" s="1" t="n">
        <v>46041</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57915-2025</t>
        </is>
      </c>
      <c r="B515" s="1" t="n">
        <v>45981</v>
      </c>
      <c r="C515" s="1" t="n">
        <v>46041</v>
      </c>
      <c r="D515" t="inlineStr">
        <is>
          <t>JÄMTLANDS LÄN</t>
        </is>
      </c>
      <c r="E515" t="inlineStr">
        <is>
          <t>RAGUNDA</t>
        </is>
      </c>
      <c r="G515" t="n">
        <v>6.4</v>
      </c>
      <c r="H515" t="n">
        <v>0</v>
      </c>
      <c r="I515" t="n">
        <v>0</v>
      </c>
      <c r="J515" t="n">
        <v>0</v>
      </c>
      <c r="K515" t="n">
        <v>0</v>
      </c>
      <c r="L515" t="n">
        <v>0</v>
      </c>
      <c r="M515" t="n">
        <v>0</v>
      </c>
      <c r="N515" t="n">
        <v>0</v>
      </c>
      <c r="O515" t="n">
        <v>0</v>
      </c>
      <c r="P515" t="n">
        <v>0</v>
      </c>
      <c r="Q515" t="n">
        <v>0</v>
      </c>
      <c r="R515" s="2" t="inlineStr"/>
    </row>
    <row r="516" ht="15" customHeight="1">
      <c r="A516" t="inlineStr">
        <is>
          <t>A 57963-2025</t>
        </is>
      </c>
      <c r="B516" s="1" t="n">
        <v>45982.37800925926</v>
      </c>
      <c r="C516" s="1" t="n">
        <v>46041</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8654-2024</t>
        </is>
      </c>
      <c r="B517" s="1" t="n">
        <v>45356.03784722222</v>
      </c>
      <c r="C517" s="1" t="n">
        <v>46041</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41876-2025</t>
        </is>
      </c>
      <c r="B518" s="1" t="n">
        <v>45903.34555555556</v>
      </c>
      <c r="C518" s="1" t="n">
        <v>46041</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9325-2024</t>
        </is>
      </c>
      <c r="B519" s="1" t="n">
        <v>45358.95813657407</v>
      </c>
      <c r="C519" s="1" t="n">
        <v>46041</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57916-2025</t>
        </is>
      </c>
      <c r="B520" s="1" t="n">
        <v>45981</v>
      </c>
      <c r="C520" s="1" t="n">
        <v>46041</v>
      </c>
      <c r="D520" t="inlineStr">
        <is>
          <t>JÄMTLANDS LÄN</t>
        </is>
      </c>
      <c r="E520" t="inlineStr">
        <is>
          <t>RAGUNDA</t>
        </is>
      </c>
      <c r="G520" t="n">
        <v>5.3</v>
      </c>
      <c r="H520" t="n">
        <v>0</v>
      </c>
      <c r="I520" t="n">
        <v>0</v>
      </c>
      <c r="J520" t="n">
        <v>0</v>
      </c>
      <c r="K520" t="n">
        <v>0</v>
      </c>
      <c r="L520" t="n">
        <v>0</v>
      </c>
      <c r="M520" t="n">
        <v>0</v>
      </c>
      <c r="N520" t="n">
        <v>0</v>
      </c>
      <c r="O520" t="n">
        <v>0</v>
      </c>
      <c r="P520" t="n">
        <v>0</v>
      </c>
      <c r="Q520" t="n">
        <v>0</v>
      </c>
      <c r="R520" s="2" t="inlineStr"/>
    </row>
    <row r="521" ht="15" customHeight="1">
      <c r="A521" t="inlineStr">
        <is>
          <t>A 57970-2025</t>
        </is>
      </c>
      <c r="B521" s="1" t="n">
        <v>45982.38582175926</v>
      </c>
      <c r="C521" s="1" t="n">
        <v>46041</v>
      </c>
      <c r="D521" t="inlineStr">
        <is>
          <t>JÄMTLANDS LÄN</t>
        </is>
      </c>
      <c r="E521" t="inlineStr">
        <is>
          <t>RAGUNDA</t>
        </is>
      </c>
      <c r="G521" t="n">
        <v>4.9</v>
      </c>
      <c r="H521" t="n">
        <v>0</v>
      </c>
      <c r="I521" t="n">
        <v>0</v>
      </c>
      <c r="J521" t="n">
        <v>0</v>
      </c>
      <c r="K521" t="n">
        <v>0</v>
      </c>
      <c r="L521" t="n">
        <v>0</v>
      </c>
      <c r="M521" t="n">
        <v>0</v>
      </c>
      <c r="N521" t="n">
        <v>0</v>
      </c>
      <c r="O521" t="n">
        <v>0</v>
      </c>
      <c r="P521" t="n">
        <v>0</v>
      </c>
      <c r="Q521" t="n">
        <v>0</v>
      </c>
      <c r="R521" s="2" t="inlineStr"/>
    </row>
    <row r="522" ht="15" customHeight="1">
      <c r="A522" t="inlineStr">
        <is>
          <t>A 57785-2025</t>
        </is>
      </c>
      <c r="B522" s="1" t="n">
        <v>45981.57393518519</v>
      </c>
      <c r="C522" s="1" t="n">
        <v>46041</v>
      </c>
      <c r="D522" t="inlineStr">
        <is>
          <t>JÄMTLANDS LÄN</t>
        </is>
      </c>
      <c r="E522" t="inlineStr">
        <is>
          <t>RAGUNDA</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38664-2022</t>
        </is>
      </c>
      <c r="B523" s="1" t="n">
        <v>44813</v>
      </c>
      <c r="C523" s="1" t="n">
        <v>46041</v>
      </c>
      <c r="D523" t="inlineStr">
        <is>
          <t>JÄMTLANDS LÄN</t>
        </is>
      </c>
      <c r="E523" t="inlineStr">
        <is>
          <t>RAGUNDA</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4348-2023</t>
        </is>
      </c>
      <c r="B524" s="1" t="n">
        <v>44953</v>
      </c>
      <c r="C524" s="1" t="n">
        <v>46041</v>
      </c>
      <c r="D524" t="inlineStr">
        <is>
          <t>JÄMTLANDS LÄN</t>
        </is>
      </c>
      <c r="E524" t="inlineStr">
        <is>
          <t>RAGUNDA</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8678-2023</t>
        </is>
      </c>
      <c r="B525" s="1" t="n">
        <v>44977.98660879629</v>
      </c>
      <c r="C525" s="1" t="n">
        <v>46041</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42893-2022</t>
        </is>
      </c>
      <c r="B526" s="1" t="n">
        <v>44832</v>
      </c>
      <c r="C526" s="1" t="n">
        <v>46041</v>
      </c>
      <c r="D526" t="inlineStr">
        <is>
          <t>JÄMTLANDS LÄN</t>
        </is>
      </c>
      <c r="E526" t="inlineStr">
        <is>
          <t>RAGUNDA</t>
        </is>
      </c>
      <c r="F526" t="inlineStr">
        <is>
          <t>SCA</t>
        </is>
      </c>
      <c r="G526" t="n">
        <v>28.4</v>
      </c>
      <c r="H526" t="n">
        <v>0</v>
      </c>
      <c r="I526" t="n">
        <v>0</v>
      </c>
      <c r="J526" t="n">
        <v>0</v>
      </c>
      <c r="K526" t="n">
        <v>0</v>
      </c>
      <c r="L526" t="n">
        <v>0</v>
      </c>
      <c r="M526" t="n">
        <v>0</v>
      </c>
      <c r="N526" t="n">
        <v>0</v>
      </c>
      <c r="O526" t="n">
        <v>0</v>
      </c>
      <c r="P526" t="n">
        <v>0</v>
      </c>
      <c r="Q526" t="n">
        <v>0</v>
      </c>
      <c r="R526" s="2" t="inlineStr"/>
    </row>
    <row r="527" ht="15" customHeight="1">
      <c r="A527" t="inlineStr">
        <is>
          <t>A 29766-2023</t>
        </is>
      </c>
      <c r="B527" s="1" t="n">
        <v>45098</v>
      </c>
      <c r="C527" s="1" t="n">
        <v>46041</v>
      </c>
      <c r="D527" t="inlineStr">
        <is>
          <t>JÄMTLANDS LÄN</t>
        </is>
      </c>
      <c r="E527" t="inlineStr">
        <is>
          <t>RAGUNDA</t>
        </is>
      </c>
      <c r="G527" t="n">
        <v>2.7</v>
      </c>
      <c r="H527" t="n">
        <v>0</v>
      </c>
      <c r="I527" t="n">
        <v>0</v>
      </c>
      <c r="J527" t="n">
        <v>0</v>
      </c>
      <c r="K527" t="n">
        <v>0</v>
      </c>
      <c r="L527" t="n">
        <v>0</v>
      </c>
      <c r="M527" t="n">
        <v>0</v>
      </c>
      <c r="N527" t="n">
        <v>0</v>
      </c>
      <c r="O527" t="n">
        <v>0</v>
      </c>
      <c r="P527" t="n">
        <v>0</v>
      </c>
      <c r="Q527" t="n">
        <v>0</v>
      </c>
      <c r="R527" s="2" t="inlineStr"/>
    </row>
    <row r="528" ht="15" customHeight="1">
      <c r="A528" t="inlineStr">
        <is>
          <t>A 265-2026</t>
        </is>
      </c>
      <c r="B528" s="1" t="n">
        <v>46027.44956018519</v>
      </c>
      <c r="C528" s="1" t="n">
        <v>46041</v>
      </c>
      <c r="D528" t="inlineStr">
        <is>
          <t>JÄMTLANDS LÄN</t>
        </is>
      </c>
      <c r="E528" t="inlineStr">
        <is>
          <t>RAGUNDA</t>
        </is>
      </c>
      <c r="G528" t="n">
        <v>3.8</v>
      </c>
      <c r="H528" t="n">
        <v>0</v>
      </c>
      <c r="I528" t="n">
        <v>0</v>
      </c>
      <c r="J528" t="n">
        <v>0</v>
      </c>
      <c r="K528" t="n">
        <v>0</v>
      </c>
      <c r="L528" t="n">
        <v>0</v>
      </c>
      <c r="M528" t="n">
        <v>0</v>
      </c>
      <c r="N528" t="n">
        <v>0</v>
      </c>
      <c r="O528" t="n">
        <v>0</v>
      </c>
      <c r="P528" t="n">
        <v>0</v>
      </c>
      <c r="Q528" t="n">
        <v>0</v>
      </c>
      <c r="R528" s="2" t="inlineStr"/>
    </row>
    <row r="529" ht="15" customHeight="1">
      <c r="A529" t="inlineStr">
        <is>
          <t>A 38425-2022</t>
        </is>
      </c>
      <c r="B529" s="1" t="n">
        <v>44812.94709490741</v>
      </c>
      <c r="C529" s="1" t="n">
        <v>46041</v>
      </c>
      <c r="D529" t="inlineStr">
        <is>
          <t>JÄMTLANDS LÄN</t>
        </is>
      </c>
      <c r="E529" t="inlineStr">
        <is>
          <t>RAGUNDA</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42269-2025</t>
        </is>
      </c>
      <c r="B530" s="1" t="n">
        <v>45904.60431712963</v>
      </c>
      <c r="C530" s="1" t="n">
        <v>46041</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36922-2022</t>
        </is>
      </c>
      <c r="B531" s="1" t="n">
        <v>44805.94592592592</v>
      </c>
      <c r="C531" s="1" t="n">
        <v>46041</v>
      </c>
      <c r="D531" t="inlineStr">
        <is>
          <t>JÄMTLANDS LÄN</t>
        </is>
      </c>
      <c r="E531" t="inlineStr">
        <is>
          <t>RAGUNDA</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60935-2024</t>
        </is>
      </c>
      <c r="B532" s="1" t="n">
        <v>45645.36740740741</v>
      </c>
      <c r="C532" s="1" t="n">
        <v>46041</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58638-2025</t>
        </is>
      </c>
      <c r="B533" s="1" t="n">
        <v>45986.49016203704</v>
      </c>
      <c r="C533" s="1" t="n">
        <v>46041</v>
      </c>
      <c r="D533" t="inlineStr">
        <is>
          <t>JÄMTLANDS LÄN</t>
        </is>
      </c>
      <c r="E533" t="inlineStr">
        <is>
          <t>RAGUNDA</t>
        </is>
      </c>
      <c r="G533" t="n">
        <v>1.3</v>
      </c>
      <c r="H533" t="n">
        <v>0</v>
      </c>
      <c r="I533" t="n">
        <v>0</v>
      </c>
      <c r="J533" t="n">
        <v>0</v>
      </c>
      <c r="K533" t="n">
        <v>0</v>
      </c>
      <c r="L533" t="n">
        <v>0</v>
      </c>
      <c r="M533" t="n">
        <v>0</v>
      </c>
      <c r="N533" t="n">
        <v>0</v>
      </c>
      <c r="O533" t="n">
        <v>0</v>
      </c>
      <c r="P533" t="n">
        <v>0</v>
      </c>
      <c r="Q533" t="n">
        <v>0</v>
      </c>
      <c r="R533" s="2" t="inlineStr"/>
    </row>
    <row r="534" ht="15" customHeight="1">
      <c r="A534" t="inlineStr">
        <is>
          <t>A 14513-2025</t>
        </is>
      </c>
      <c r="B534" s="1" t="n">
        <v>45741.63675925926</v>
      </c>
      <c r="C534" s="1" t="n">
        <v>46041</v>
      </c>
      <c r="D534" t="inlineStr">
        <is>
          <t>JÄMTLANDS LÄN</t>
        </is>
      </c>
      <c r="E534" t="inlineStr">
        <is>
          <t>RAGUNDA</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222-2026</t>
        </is>
      </c>
      <c r="B535" s="1" t="n">
        <v>46026.84054398148</v>
      </c>
      <c r="C535" s="1" t="n">
        <v>46041</v>
      </c>
      <c r="D535" t="inlineStr">
        <is>
          <t>JÄMTLANDS LÄN</t>
        </is>
      </c>
      <c r="E535" t="inlineStr">
        <is>
          <t>RAGUNDA</t>
        </is>
      </c>
      <c r="G535" t="n">
        <v>10.6</v>
      </c>
      <c r="H535" t="n">
        <v>0</v>
      </c>
      <c r="I535" t="n">
        <v>0</v>
      </c>
      <c r="J535" t="n">
        <v>0</v>
      </c>
      <c r="K535" t="n">
        <v>0</v>
      </c>
      <c r="L535" t="n">
        <v>0</v>
      </c>
      <c r="M535" t="n">
        <v>0</v>
      </c>
      <c r="N535" t="n">
        <v>0</v>
      </c>
      <c r="O535" t="n">
        <v>0</v>
      </c>
      <c r="P535" t="n">
        <v>0</v>
      </c>
      <c r="Q535" t="n">
        <v>0</v>
      </c>
      <c r="R535" s="2" t="inlineStr"/>
    </row>
    <row r="536" ht="15" customHeight="1">
      <c r="A536" t="inlineStr">
        <is>
          <t>A 58559-2025</t>
        </is>
      </c>
      <c r="B536" s="1" t="n">
        <v>45986.34475694445</v>
      </c>
      <c r="C536" s="1" t="n">
        <v>46041</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33763-2025</t>
        </is>
      </c>
      <c r="B537" s="1" t="n">
        <v>45842.38579861111</v>
      </c>
      <c r="C537" s="1" t="n">
        <v>46041</v>
      </c>
      <c r="D537" t="inlineStr">
        <is>
          <t>JÄMTLANDS LÄN</t>
        </is>
      </c>
      <c r="E537" t="inlineStr">
        <is>
          <t>RAGUNDA</t>
        </is>
      </c>
      <c r="F537" t="inlineStr">
        <is>
          <t>SCA</t>
        </is>
      </c>
      <c r="G537" t="n">
        <v>13.4</v>
      </c>
      <c r="H537" t="n">
        <v>0</v>
      </c>
      <c r="I537" t="n">
        <v>0</v>
      </c>
      <c r="J537" t="n">
        <v>0</v>
      </c>
      <c r="K537" t="n">
        <v>0</v>
      </c>
      <c r="L537" t="n">
        <v>0</v>
      </c>
      <c r="M537" t="n">
        <v>0</v>
      </c>
      <c r="N537" t="n">
        <v>0</v>
      </c>
      <c r="O537" t="n">
        <v>0</v>
      </c>
      <c r="P537" t="n">
        <v>0</v>
      </c>
      <c r="Q537" t="n">
        <v>0</v>
      </c>
      <c r="R537" s="2" t="inlineStr"/>
    </row>
    <row r="538" ht="15" customHeight="1">
      <c r="A538" t="inlineStr">
        <is>
          <t>A 14156-2024</t>
        </is>
      </c>
      <c r="B538" s="1" t="n">
        <v>45392</v>
      </c>
      <c r="C538" s="1" t="n">
        <v>46041</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14157-2024</t>
        </is>
      </c>
      <c r="B539" s="1" t="n">
        <v>45392.92903935185</v>
      </c>
      <c r="C539" s="1" t="n">
        <v>46041</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9326-2024</t>
        </is>
      </c>
      <c r="B540" s="1" t="n">
        <v>45358.95818287037</v>
      </c>
      <c r="C540" s="1" t="n">
        <v>46041</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44727-2024</t>
        </is>
      </c>
      <c r="B541" s="1" t="n">
        <v>45574.57967592592</v>
      </c>
      <c r="C541" s="1" t="n">
        <v>46041</v>
      </c>
      <c r="D541" t="inlineStr">
        <is>
          <t>JÄMTLANDS LÄN</t>
        </is>
      </c>
      <c r="E541" t="inlineStr">
        <is>
          <t>RAGUNDA</t>
        </is>
      </c>
      <c r="G541" t="n">
        <v>4.7</v>
      </c>
      <c r="H541" t="n">
        <v>0</v>
      </c>
      <c r="I541" t="n">
        <v>0</v>
      </c>
      <c r="J541" t="n">
        <v>0</v>
      </c>
      <c r="K541" t="n">
        <v>0</v>
      </c>
      <c r="L541" t="n">
        <v>0</v>
      </c>
      <c r="M541" t="n">
        <v>0</v>
      </c>
      <c r="N541" t="n">
        <v>0</v>
      </c>
      <c r="O541" t="n">
        <v>0</v>
      </c>
      <c r="P541" t="n">
        <v>0</v>
      </c>
      <c r="Q541" t="n">
        <v>0</v>
      </c>
      <c r="R541" s="2" t="inlineStr"/>
    </row>
    <row r="542" ht="15" customHeight="1">
      <c r="A542" t="inlineStr">
        <is>
          <t>A 7281-2025</t>
        </is>
      </c>
      <c r="B542" s="1" t="n">
        <v>45702.63572916666</v>
      </c>
      <c r="C542" s="1" t="n">
        <v>46041</v>
      </c>
      <c r="D542" t="inlineStr">
        <is>
          <t>JÄMTLANDS LÄN</t>
        </is>
      </c>
      <c r="E542" t="inlineStr">
        <is>
          <t>RAGUNDA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21661-2023</t>
        </is>
      </c>
      <c r="B543" s="1" t="n">
        <v>45063</v>
      </c>
      <c r="C543" s="1" t="n">
        <v>46041</v>
      </c>
      <c r="D543" t="inlineStr">
        <is>
          <t>JÄMTLANDS LÄN</t>
        </is>
      </c>
      <c r="E543" t="inlineStr">
        <is>
          <t>RAGUNDA</t>
        </is>
      </c>
      <c r="G543" t="n">
        <v>1.5</v>
      </c>
      <c r="H543" t="n">
        <v>0</v>
      </c>
      <c r="I543" t="n">
        <v>0</v>
      </c>
      <c r="J543" t="n">
        <v>0</v>
      </c>
      <c r="K543" t="n">
        <v>0</v>
      </c>
      <c r="L543" t="n">
        <v>0</v>
      </c>
      <c r="M543" t="n">
        <v>0</v>
      </c>
      <c r="N543" t="n">
        <v>0</v>
      </c>
      <c r="O543" t="n">
        <v>0</v>
      </c>
      <c r="P543" t="n">
        <v>0</v>
      </c>
      <c r="Q543" t="n">
        <v>0</v>
      </c>
      <c r="R543" s="2" t="inlineStr"/>
    </row>
    <row r="544" ht="15" customHeight="1">
      <c r="A544" t="inlineStr">
        <is>
          <t>A 13935-2024</t>
        </is>
      </c>
      <c r="B544" s="1" t="n">
        <v>45391.95329861111</v>
      </c>
      <c r="C544" s="1" t="n">
        <v>46041</v>
      </c>
      <c r="D544" t="inlineStr">
        <is>
          <t>JÄMTLANDS LÄN</t>
        </is>
      </c>
      <c r="E544" t="inlineStr">
        <is>
          <t>RAGUNDA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43330-2025</t>
        </is>
      </c>
      <c r="B545" s="1" t="n">
        <v>45910.67766203704</v>
      </c>
      <c r="C545" s="1" t="n">
        <v>46041</v>
      </c>
      <c r="D545" t="inlineStr">
        <is>
          <t>JÄMTLANDS LÄN</t>
        </is>
      </c>
      <c r="E545" t="inlineStr">
        <is>
          <t>RAGUNDA</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18777-2024</t>
        </is>
      </c>
      <c r="B546" s="1" t="n">
        <v>45426</v>
      </c>
      <c r="C546" s="1" t="n">
        <v>46041</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59670-2023</t>
        </is>
      </c>
      <c r="B547" s="1" t="n">
        <v>45254.96516203704</v>
      </c>
      <c r="C547" s="1" t="n">
        <v>46041</v>
      </c>
      <c r="D547" t="inlineStr">
        <is>
          <t>JÄMTLANDS LÄN</t>
        </is>
      </c>
      <c r="E547" t="inlineStr">
        <is>
          <t>RAGUNDA</t>
        </is>
      </c>
      <c r="F547" t="inlineStr">
        <is>
          <t>SCA</t>
        </is>
      </c>
      <c r="G547" t="n">
        <v>7.6</v>
      </c>
      <c r="H547" t="n">
        <v>0</v>
      </c>
      <c r="I547" t="n">
        <v>0</v>
      </c>
      <c r="J547" t="n">
        <v>0</v>
      </c>
      <c r="K547" t="n">
        <v>0</v>
      </c>
      <c r="L547" t="n">
        <v>0</v>
      </c>
      <c r="M547" t="n">
        <v>0</v>
      </c>
      <c r="N547" t="n">
        <v>0</v>
      </c>
      <c r="O547" t="n">
        <v>0</v>
      </c>
      <c r="P547" t="n">
        <v>0</v>
      </c>
      <c r="Q547" t="n">
        <v>0</v>
      </c>
      <c r="R547" s="2" t="inlineStr"/>
    </row>
    <row r="548" ht="15" customHeight="1">
      <c r="A548" t="inlineStr">
        <is>
          <t>A 7281-2024</t>
        </is>
      </c>
      <c r="B548" s="1" t="n">
        <v>45344</v>
      </c>
      <c r="C548" s="1" t="n">
        <v>46041</v>
      </c>
      <c r="D548" t="inlineStr">
        <is>
          <t>JÄMTLANDS LÄN</t>
        </is>
      </c>
      <c r="E548" t="inlineStr">
        <is>
          <t>RAGUNDA</t>
        </is>
      </c>
      <c r="G548" t="n">
        <v>1.2</v>
      </c>
      <c r="H548" t="n">
        <v>0</v>
      </c>
      <c r="I548" t="n">
        <v>0</v>
      </c>
      <c r="J548" t="n">
        <v>0</v>
      </c>
      <c r="K548" t="n">
        <v>0</v>
      </c>
      <c r="L548" t="n">
        <v>0</v>
      </c>
      <c r="M548" t="n">
        <v>0</v>
      </c>
      <c r="N548" t="n">
        <v>0</v>
      </c>
      <c r="O548" t="n">
        <v>0</v>
      </c>
      <c r="P548" t="n">
        <v>0</v>
      </c>
      <c r="Q548" t="n">
        <v>0</v>
      </c>
      <c r="R548" s="2" t="inlineStr"/>
    </row>
    <row r="549" ht="15" customHeight="1">
      <c r="A549" t="inlineStr">
        <is>
          <t>A 19382-2025</t>
        </is>
      </c>
      <c r="B549" s="1" t="n">
        <v>45769.65659722222</v>
      </c>
      <c r="C549" s="1" t="n">
        <v>46041</v>
      </c>
      <c r="D549" t="inlineStr">
        <is>
          <t>JÄMTLANDS LÄN</t>
        </is>
      </c>
      <c r="E549" t="inlineStr">
        <is>
          <t>RAGUNDA</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19403-2025</t>
        </is>
      </c>
      <c r="B550" s="1" t="n">
        <v>45769.67790509259</v>
      </c>
      <c r="C550" s="1" t="n">
        <v>46041</v>
      </c>
      <c r="D550" t="inlineStr">
        <is>
          <t>JÄMTLANDS LÄN</t>
        </is>
      </c>
      <c r="E550" t="inlineStr">
        <is>
          <t>RAGUNDA</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53109-2025</t>
        </is>
      </c>
      <c r="B551" s="1" t="n">
        <v>45958</v>
      </c>
      <c r="C551" s="1" t="n">
        <v>46041</v>
      </c>
      <c r="D551" t="inlineStr">
        <is>
          <t>JÄMTLANDS LÄN</t>
        </is>
      </c>
      <c r="E551" t="inlineStr">
        <is>
          <t>RAGUNDA</t>
        </is>
      </c>
      <c r="G551" t="n">
        <v>2.1</v>
      </c>
      <c r="H551" t="n">
        <v>0</v>
      </c>
      <c r="I551" t="n">
        <v>0</v>
      </c>
      <c r="J551" t="n">
        <v>0</v>
      </c>
      <c r="K551" t="n">
        <v>0</v>
      </c>
      <c r="L551" t="n">
        <v>0</v>
      </c>
      <c r="M551" t="n">
        <v>0</v>
      </c>
      <c r="N551" t="n">
        <v>0</v>
      </c>
      <c r="O551" t="n">
        <v>0</v>
      </c>
      <c r="P551" t="n">
        <v>0</v>
      </c>
      <c r="Q551" t="n">
        <v>0</v>
      </c>
      <c r="R551" s="2" t="inlineStr"/>
    </row>
    <row r="552" ht="15" customHeight="1">
      <c r="A552" t="inlineStr">
        <is>
          <t>A 59214-2025</t>
        </is>
      </c>
      <c r="B552" s="1" t="n">
        <v>45988.61623842592</v>
      </c>
      <c r="C552" s="1" t="n">
        <v>46041</v>
      </c>
      <c r="D552" t="inlineStr">
        <is>
          <t>JÄMTLANDS LÄN</t>
        </is>
      </c>
      <c r="E552" t="inlineStr">
        <is>
          <t>RAGUNDA</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60225-2022</t>
        </is>
      </c>
      <c r="B553" s="1" t="n">
        <v>44903</v>
      </c>
      <c r="C553" s="1" t="n">
        <v>46041</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61045-2022</t>
        </is>
      </c>
      <c r="B554" s="1" t="n">
        <v>44914</v>
      </c>
      <c r="C554" s="1" t="n">
        <v>46041</v>
      </c>
      <c r="D554" t="inlineStr">
        <is>
          <t>JÄMTLANDS LÄN</t>
        </is>
      </c>
      <c r="E554" t="inlineStr">
        <is>
          <t>RAGUNDA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43181-2025</t>
        </is>
      </c>
      <c r="B555" s="1" t="n">
        <v>45910.40721064815</v>
      </c>
      <c r="C555" s="1" t="n">
        <v>46041</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43177-2025</t>
        </is>
      </c>
      <c r="B556" s="1" t="n">
        <v>45910.40667824074</v>
      </c>
      <c r="C556" s="1" t="n">
        <v>46041</v>
      </c>
      <c r="D556" t="inlineStr">
        <is>
          <t>JÄMTLANDS LÄN</t>
        </is>
      </c>
      <c r="E556" t="inlineStr">
        <is>
          <t>RAGUNDA</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58918-2025</t>
        </is>
      </c>
      <c r="B557" s="1" t="n">
        <v>45987.52952546296</v>
      </c>
      <c r="C557" s="1" t="n">
        <v>46041</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557-2026</t>
        </is>
      </c>
      <c r="B558" s="1" t="n">
        <v>46021</v>
      </c>
      <c r="C558" s="1" t="n">
        <v>46041</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647-2026</t>
        </is>
      </c>
      <c r="B559" s="1" t="n">
        <v>46029.57357638889</v>
      </c>
      <c r="C559" s="1" t="n">
        <v>46041</v>
      </c>
      <c r="D559" t="inlineStr">
        <is>
          <t>JÄMTLANDS LÄN</t>
        </is>
      </c>
      <c r="E559" t="inlineStr">
        <is>
          <t>RAGUNDA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58193-2022</t>
        </is>
      </c>
      <c r="B560" s="1" t="n">
        <v>44900.95700231481</v>
      </c>
      <c r="C560" s="1" t="n">
        <v>46041</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18194-2025</t>
        </is>
      </c>
      <c r="B561" s="1" t="n">
        <v>45761.67744212963</v>
      </c>
      <c r="C561" s="1" t="n">
        <v>46041</v>
      </c>
      <c r="D561" t="inlineStr">
        <is>
          <t>JÄMTLANDS LÄN</t>
        </is>
      </c>
      <c r="E561" t="inlineStr">
        <is>
          <t>RAGUNDA</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26991-2023</t>
        </is>
      </c>
      <c r="B562" s="1" t="n">
        <v>45093.92207175926</v>
      </c>
      <c r="C562" s="1" t="n">
        <v>46041</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13299-2024</t>
        </is>
      </c>
      <c r="B563" s="1" t="n">
        <v>45386.68003472222</v>
      </c>
      <c r="C563" s="1" t="n">
        <v>46041</v>
      </c>
      <c r="D563" t="inlineStr">
        <is>
          <t>JÄMTLANDS LÄN</t>
        </is>
      </c>
      <c r="E563" t="inlineStr">
        <is>
          <t>RAGUNDA</t>
        </is>
      </c>
      <c r="G563" t="n">
        <v>1.9</v>
      </c>
      <c r="H563" t="n">
        <v>0</v>
      </c>
      <c r="I563" t="n">
        <v>0</v>
      </c>
      <c r="J563" t="n">
        <v>0</v>
      </c>
      <c r="K563" t="n">
        <v>0</v>
      </c>
      <c r="L563" t="n">
        <v>0</v>
      </c>
      <c r="M563" t="n">
        <v>0</v>
      </c>
      <c r="N563" t="n">
        <v>0</v>
      </c>
      <c r="O563" t="n">
        <v>0</v>
      </c>
      <c r="P563" t="n">
        <v>0</v>
      </c>
      <c r="Q563" t="n">
        <v>0</v>
      </c>
      <c r="R563" s="2" t="inlineStr"/>
    </row>
    <row r="564" ht="15" customHeight="1">
      <c r="A564" t="inlineStr">
        <is>
          <t>A 58537-2022</t>
        </is>
      </c>
      <c r="B564" s="1" t="n">
        <v>44894</v>
      </c>
      <c r="C564" s="1" t="n">
        <v>46041</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53347-2023</t>
        </is>
      </c>
      <c r="B565" s="1" t="n">
        <v>45223</v>
      </c>
      <c r="C565" s="1" t="n">
        <v>46041</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22948-2024</t>
        </is>
      </c>
      <c r="B566" s="1" t="n">
        <v>45448.94600694445</v>
      </c>
      <c r="C566" s="1" t="n">
        <v>46041</v>
      </c>
      <c r="D566" t="inlineStr">
        <is>
          <t>JÄMTLANDS LÄN</t>
        </is>
      </c>
      <c r="E566" t="inlineStr">
        <is>
          <t>RAGUNDA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53678-2022</t>
        </is>
      </c>
      <c r="B567" s="1" t="n">
        <v>44879.95768518518</v>
      </c>
      <c r="C567" s="1" t="n">
        <v>46041</v>
      </c>
      <c r="D567" t="inlineStr">
        <is>
          <t>JÄMTLANDS LÄN</t>
        </is>
      </c>
      <c r="E567" t="inlineStr">
        <is>
          <t>RAGUNDA</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14369-2024</t>
        </is>
      </c>
      <c r="B568" s="1" t="n">
        <v>45393.94459490741</v>
      </c>
      <c r="C568" s="1" t="n">
        <v>46041</v>
      </c>
      <c r="D568" t="inlineStr">
        <is>
          <t>JÄMTLANDS LÄN</t>
        </is>
      </c>
      <c r="E568" t="inlineStr">
        <is>
          <t>RAGUNDA</t>
        </is>
      </c>
      <c r="F568" t="inlineStr">
        <is>
          <t>Naturvårdsverket</t>
        </is>
      </c>
      <c r="G568" t="n">
        <v>1.8</v>
      </c>
      <c r="H568" t="n">
        <v>0</v>
      </c>
      <c r="I568" t="n">
        <v>0</v>
      </c>
      <c r="J568" t="n">
        <v>0</v>
      </c>
      <c r="K568" t="n">
        <v>0</v>
      </c>
      <c r="L568" t="n">
        <v>0</v>
      </c>
      <c r="M568" t="n">
        <v>0</v>
      </c>
      <c r="N568" t="n">
        <v>0</v>
      </c>
      <c r="O568" t="n">
        <v>0</v>
      </c>
      <c r="P568" t="n">
        <v>0</v>
      </c>
      <c r="Q568" t="n">
        <v>0</v>
      </c>
      <c r="R568" s="2" t="inlineStr"/>
    </row>
    <row r="569" ht="15" customHeight="1">
      <c r="A569" t="inlineStr">
        <is>
          <t>A 10639-2024</t>
        </is>
      </c>
      <c r="B569" s="1" t="n">
        <v>45367.67256944445</v>
      </c>
      <c r="C569" s="1" t="n">
        <v>46041</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16320-2025</t>
        </is>
      </c>
      <c r="B570" s="1" t="n">
        <v>45751.34859953704</v>
      </c>
      <c r="C570" s="1" t="n">
        <v>46041</v>
      </c>
      <c r="D570" t="inlineStr">
        <is>
          <t>JÄMTLANDS LÄN</t>
        </is>
      </c>
      <c r="E570" t="inlineStr">
        <is>
          <t>RAGUNDA</t>
        </is>
      </c>
      <c r="F570" t="inlineStr">
        <is>
          <t>SCA</t>
        </is>
      </c>
      <c r="G570" t="n">
        <v>16.2</v>
      </c>
      <c r="H570" t="n">
        <v>0</v>
      </c>
      <c r="I570" t="n">
        <v>0</v>
      </c>
      <c r="J570" t="n">
        <v>0</v>
      </c>
      <c r="K570" t="n">
        <v>0</v>
      </c>
      <c r="L570" t="n">
        <v>0</v>
      </c>
      <c r="M570" t="n">
        <v>0</v>
      </c>
      <c r="N570" t="n">
        <v>0</v>
      </c>
      <c r="O570" t="n">
        <v>0</v>
      </c>
      <c r="P570" t="n">
        <v>0</v>
      </c>
      <c r="Q570" t="n">
        <v>0</v>
      </c>
      <c r="R570" s="2" t="inlineStr"/>
    </row>
    <row r="571" ht="15" customHeight="1">
      <c r="A571" t="inlineStr">
        <is>
          <t>A 50649-2022</t>
        </is>
      </c>
      <c r="B571" s="1" t="n">
        <v>44866</v>
      </c>
      <c r="C571" s="1" t="n">
        <v>46041</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11557-2023</t>
        </is>
      </c>
      <c r="B572" s="1" t="n">
        <v>44993.94950231481</v>
      </c>
      <c r="C572" s="1" t="n">
        <v>46041</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11562-2023</t>
        </is>
      </c>
      <c r="B573" s="1" t="n">
        <v>44993</v>
      </c>
      <c r="C573" s="1" t="n">
        <v>46041</v>
      </c>
      <c r="D573" t="inlineStr">
        <is>
          <t>JÄMTLANDS LÄN</t>
        </is>
      </c>
      <c r="E573" t="inlineStr">
        <is>
          <t>RAGUNDA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5175-2023</t>
        </is>
      </c>
      <c r="B574" s="1" t="n">
        <v>44958.94298611111</v>
      </c>
      <c r="C574" s="1" t="n">
        <v>46041</v>
      </c>
      <c r="D574" t="inlineStr">
        <is>
          <t>JÄMTLANDS LÄN</t>
        </is>
      </c>
      <c r="E574" t="inlineStr">
        <is>
          <t>RAGUNDA</t>
        </is>
      </c>
      <c r="F574" t="inlineStr">
        <is>
          <t>SCA</t>
        </is>
      </c>
      <c r="G574" t="n">
        <v>17.9</v>
      </c>
      <c r="H574" t="n">
        <v>0</v>
      </c>
      <c r="I574" t="n">
        <v>0</v>
      </c>
      <c r="J574" t="n">
        <v>0</v>
      </c>
      <c r="K574" t="n">
        <v>0</v>
      </c>
      <c r="L574" t="n">
        <v>0</v>
      </c>
      <c r="M574" t="n">
        <v>0</v>
      </c>
      <c r="N574" t="n">
        <v>0</v>
      </c>
      <c r="O574" t="n">
        <v>0</v>
      </c>
      <c r="P574" t="n">
        <v>0</v>
      </c>
      <c r="Q574" t="n">
        <v>0</v>
      </c>
      <c r="R574" s="2" t="inlineStr"/>
    </row>
    <row r="575" ht="15" customHeight="1">
      <c r="A575" t="inlineStr">
        <is>
          <t>A 59692-2025</t>
        </is>
      </c>
      <c r="B575" s="1" t="n">
        <v>45992.49001157407</v>
      </c>
      <c r="C575" s="1" t="n">
        <v>46041</v>
      </c>
      <c r="D575" t="inlineStr">
        <is>
          <t>JÄMTLANDS LÄN</t>
        </is>
      </c>
      <c r="E575" t="inlineStr">
        <is>
          <t>RAGUNDA</t>
        </is>
      </c>
      <c r="G575" t="n">
        <v>2.7</v>
      </c>
      <c r="H575" t="n">
        <v>0</v>
      </c>
      <c r="I575" t="n">
        <v>0</v>
      </c>
      <c r="J575" t="n">
        <v>0</v>
      </c>
      <c r="K575" t="n">
        <v>0</v>
      </c>
      <c r="L575" t="n">
        <v>0</v>
      </c>
      <c r="M575" t="n">
        <v>0</v>
      </c>
      <c r="N575" t="n">
        <v>0</v>
      </c>
      <c r="O575" t="n">
        <v>0</v>
      </c>
      <c r="P575" t="n">
        <v>0</v>
      </c>
      <c r="Q575" t="n">
        <v>0</v>
      </c>
      <c r="R575" s="2" t="inlineStr"/>
    </row>
    <row r="576" ht="15" customHeight="1">
      <c r="A576" t="inlineStr">
        <is>
          <t>A 59693-2025</t>
        </is>
      </c>
      <c r="B576" s="1" t="n">
        <v>45992.49009259259</v>
      </c>
      <c r="C576" s="1" t="n">
        <v>46041</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59491-2025</t>
        </is>
      </c>
      <c r="B577" s="1" t="n">
        <v>45989.60376157407</v>
      </c>
      <c r="C577" s="1" t="n">
        <v>46041</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60195-2023</t>
        </is>
      </c>
      <c r="B578" s="1" t="n">
        <v>45257</v>
      </c>
      <c r="C578" s="1" t="n">
        <v>46041</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59499-2025</t>
        </is>
      </c>
      <c r="B579" s="1" t="n">
        <v>45989.61846064815</v>
      </c>
      <c r="C579" s="1" t="n">
        <v>46041</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59503-2025</t>
        </is>
      </c>
      <c r="B580" s="1" t="n">
        <v>45989.62703703704</v>
      </c>
      <c r="C580" s="1" t="n">
        <v>46041</v>
      </c>
      <c r="D580" t="inlineStr">
        <is>
          <t>JÄMTLANDS LÄN</t>
        </is>
      </c>
      <c r="E580" t="inlineStr">
        <is>
          <t>RAGUNDA</t>
        </is>
      </c>
      <c r="G580" t="n">
        <v>0.6</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46041</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43804-2025</t>
        </is>
      </c>
      <c r="B582" s="1" t="n">
        <v>45912.57373842593</v>
      </c>
      <c r="C582" s="1" t="n">
        <v>46041</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41343-2024</t>
        </is>
      </c>
      <c r="B583" s="1" t="n">
        <v>45559.67745370371</v>
      </c>
      <c r="C583" s="1" t="n">
        <v>46041</v>
      </c>
      <c r="D583" t="inlineStr">
        <is>
          <t>JÄMTLANDS LÄN</t>
        </is>
      </c>
      <c r="E583" t="inlineStr">
        <is>
          <t>RAGUNDA</t>
        </is>
      </c>
      <c r="F583" t="inlineStr">
        <is>
          <t>SCA</t>
        </is>
      </c>
      <c r="G583" t="n">
        <v>25.1</v>
      </c>
      <c r="H583" t="n">
        <v>0</v>
      </c>
      <c r="I583" t="n">
        <v>0</v>
      </c>
      <c r="J583" t="n">
        <v>0</v>
      </c>
      <c r="K583" t="n">
        <v>0</v>
      </c>
      <c r="L583" t="n">
        <v>0</v>
      </c>
      <c r="M583" t="n">
        <v>0</v>
      </c>
      <c r="N583" t="n">
        <v>0</v>
      </c>
      <c r="O583" t="n">
        <v>0</v>
      </c>
      <c r="P583" t="n">
        <v>0</v>
      </c>
      <c r="Q583" t="n">
        <v>0</v>
      </c>
      <c r="R583" s="2" t="inlineStr"/>
    </row>
    <row r="584" ht="15" customHeight="1">
      <c r="A584" t="inlineStr">
        <is>
          <t>A 59740-2025</t>
        </is>
      </c>
      <c r="B584" s="1" t="n">
        <v>45992.5743287037</v>
      </c>
      <c r="C584" s="1" t="n">
        <v>46041</v>
      </c>
      <c r="D584" t="inlineStr">
        <is>
          <t>JÄMTLANDS LÄN</t>
        </is>
      </c>
      <c r="E584" t="inlineStr">
        <is>
          <t>RAGUNDA</t>
        </is>
      </c>
      <c r="F584" t="inlineStr">
        <is>
          <t>SCA</t>
        </is>
      </c>
      <c r="G584" t="n">
        <v>14.1</v>
      </c>
      <c r="H584" t="n">
        <v>0</v>
      </c>
      <c r="I584" t="n">
        <v>0</v>
      </c>
      <c r="J584" t="n">
        <v>0</v>
      </c>
      <c r="K584" t="n">
        <v>0</v>
      </c>
      <c r="L584" t="n">
        <v>0</v>
      </c>
      <c r="M584" t="n">
        <v>0</v>
      </c>
      <c r="N584" t="n">
        <v>0</v>
      </c>
      <c r="O584" t="n">
        <v>0</v>
      </c>
      <c r="P584" t="n">
        <v>0</v>
      </c>
      <c r="Q584" t="n">
        <v>0</v>
      </c>
      <c r="R584" s="2" t="inlineStr"/>
    </row>
    <row r="585" ht="15" customHeight="1">
      <c r="A585" t="inlineStr">
        <is>
          <t>A 12039-2023</t>
        </is>
      </c>
      <c r="B585" s="1" t="n">
        <v>44995.98341435185</v>
      </c>
      <c r="C585" s="1" t="n">
        <v>46041</v>
      </c>
      <c r="D585" t="inlineStr">
        <is>
          <t>JÄMTLANDS LÄN</t>
        </is>
      </c>
      <c r="E585" t="inlineStr">
        <is>
          <t>RAGUNDA</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12050-2023</t>
        </is>
      </c>
      <c r="B586" s="1" t="n">
        <v>44995.98644675926</v>
      </c>
      <c r="C586" s="1" t="n">
        <v>46041</v>
      </c>
      <c r="D586" t="inlineStr">
        <is>
          <t>JÄMTLANDS LÄN</t>
        </is>
      </c>
      <c r="E586" t="inlineStr">
        <is>
          <t>RAGUNDA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43971-2025</t>
        </is>
      </c>
      <c r="B587" s="1" t="n">
        <v>45915.40694444445</v>
      </c>
      <c r="C587" s="1" t="n">
        <v>46041</v>
      </c>
      <c r="D587" t="inlineStr">
        <is>
          <t>JÄMTLANDS LÄN</t>
        </is>
      </c>
      <c r="E587" t="inlineStr">
        <is>
          <t>RAGUNDA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2751-2024</t>
        </is>
      </c>
      <c r="B588" s="1" t="n">
        <v>45314</v>
      </c>
      <c r="C588" s="1" t="n">
        <v>46041</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36986-2023</t>
        </is>
      </c>
      <c r="B589" s="1" t="n">
        <v>45154.95525462963</v>
      </c>
      <c r="C589" s="1" t="n">
        <v>46041</v>
      </c>
      <c r="D589" t="inlineStr">
        <is>
          <t>JÄMTLANDS LÄN</t>
        </is>
      </c>
      <c r="E589" t="inlineStr">
        <is>
          <t>RAGUNDA</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59738-2025</t>
        </is>
      </c>
      <c r="B590" s="1" t="n">
        <v>45992.57408564815</v>
      </c>
      <c r="C590" s="1" t="n">
        <v>46041</v>
      </c>
      <c r="D590" t="inlineStr">
        <is>
          <t>JÄMTLANDS LÄN</t>
        </is>
      </c>
      <c r="E590" t="inlineStr">
        <is>
          <t>RAGUNDA</t>
        </is>
      </c>
      <c r="F590" t="inlineStr">
        <is>
          <t>SCA</t>
        </is>
      </c>
      <c r="G590" t="n">
        <v>12.5</v>
      </c>
      <c r="H590" t="n">
        <v>0</v>
      </c>
      <c r="I590" t="n">
        <v>0</v>
      </c>
      <c r="J590" t="n">
        <v>0</v>
      </c>
      <c r="K590" t="n">
        <v>0</v>
      </c>
      <c r="L590" t="n">
        <v>0</v>
      </c>
      <c r="M590" t="n">
        <v>0</v>
      </c>
      <c r="N590" t="n">
        <v>0</v>
      </c>
      <c r="O590" t="n">
        <v>0</v>
      </c>
      <c r="P590" t="n">
        <v>0</v>
      </c>
      <c r="Q590" t="n">
        <v>0</v>
      </c>
      <c r="R590" s="2" t="inlineStr"/>
    </row>
    <row r="591" ht="15" customHeight="1">
      <c r="A591" t="inlineStr">
        <is>
          <t>A 59739-2025</t>
        </is>
      </c>
      <c r="B591" s="1" t="n">
        <v>45992.57417824074</v>
      </c>
      <c r="C591" s="1" t="n">
        <v>46041</v>
      </c>
      <c r="D591" t="inlineStr">
        <is>
          <t>JÄMTLANDS LÄN</t>
        </is>
      </c>
      <c r="E591" t="inlineStr">
        <is>
          <t>RAGUNDA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14368-2024</t>
        </is>
      </c>
      <c r="B592" s="1" t="n">
        <v>45393.94431712963</v>
      </c>
      <c r="C592" s="1" t="n">
        <v>46041</v>
      </c>
      <c r="D592" t="inlineStr">
        <is>
          <t>JÄMTLANDS LÄN</t>
        </is>
      </c>
      <c r="E592" t="inlineStr">
        <is>
          <t>RAGUNDA</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61755-2025</t>
        </is>
      </c>
      <c r="B593" s="1" t="n">
        <v>46002</v>
      </c>
      <c r="C593" s="1" t="n">
        <v>46041</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18159-2023</t>
        </is>
      </c>
      <c r="B594" s="1" t="n">
        <v>45040.94277777777</v>
      </c>
      <c r="C594" s="1" t="n">
        <v>46041</v>
      </c>
      <c r="D594" t="inlineStr">
        <is>
          <t>JÄMTLANDS LÄN</t>
        </is>
      </c>
      <c r="E594" t="inlineStr">
        <is>
          <t>RAGUNDA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2819-2023</t>
        </is>
      </c>
      <c r="B595" s="1" t="n">
        <v>44944</v>
      </c>
      <c r="C595" s="1" t="n">
        <v>46041</v>
      </c>
      <c r="D595" t="inlineStr">
        <is>
          <t>JÄMTLANDS LÄN</t>
        </is>
      </c>
      <c r="E595" t="inlineStr">
        <is>
          <t>RAGUNDA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13700-2023</t>
        </is>
      </c>
      <c r="B596" s="1" t="n">
        <v>45006</v>
      </c>
      <c r="C596" s="1" t="n">
        <v>46041</v>
      </c>
      <c r="D596" t="inlineStr">
        <is>
          <t>JÄMTLANDS LÄN</t>
        </is>
      </c>
      <c r="E596" t="inlineStr">
        <is>
          <t>RAGUNDA</t>
        </is>
      </c>
      <c r="F596" t="inlineStr">
        <is>
          <t>SCA</t>
        </is>
      </c>
      <c r="G596" t="n">
        <v>50.3</v>
      </c>
      <c r="H596" t="n">
        <v>0</v>
      </c>
      <c r="I596" t="n">
        <v>0</v>
      </c>
      <c r="J596" t="n">
        <v>0</v>
      </c>
      <c r="K596" t="n">
        <v>0</v>
      </c>
      <c r="L596" t="n">
        <v>0</v>
      </c>
      <c r="M596" t="n">
        <v>0</v>
      </c>
      <c r="N596" t="n">
        <v>0</v>
      </c>
      <c r="O596" t="n">
        <v>0</v>
      </c>
      <c r="P596" t="n">
        <v>0</v>
      </c>
      <c r="Q596" t="n">
        <v>0</v>
      </c>
      <c r="R596" s="2" t="inlineStr"/>
    </row>
    <row r="597" ht="15" customHeight="1">
      <c r="A597" t="inlineStr">
        <is>
          <t>A 182-2023</t>
        </is>
      </c>
      <c r="B597" s="1" t="n">
        <v>44922</v>
      </c>
      <c r="C597" s="1" t="n">
        <v>46041</v>
      </c>
      <c r="D597" t="inlineStr">
        <is>
          <t>JÄMTLANDS LÄN</t>
        </is>
      </c>
      <c r="E597" t="inlineStr">
        <is>
          <t>RAGUNDA</t>
        </is>
      </c>
      <c r="G597" t="n">
        <v>1.4</v>
      </c>
      <c r="H597" t="n">
        <v>0</v>
      </c>
      <c r="I597" t="n">
        <v>0</v>
      </c>
      <c r="J597" t="n">
        <v>0</v>
      </c>
      <c r="K597" t="n">
        <v>0</v>
      </c>
      <c r="L597" t="n">
        <v>0</v>
      </c>
      <c r="M597" t="n">
        <v>0</v>
      </c>
      <c r="N597" t="n">
        <v>0</v>
      </c>
      <c r="O597" t="n">
        <v>0</v>
      </c>
      <c r="P597" t="n">
        <v>0</v>
      </c>
      <c r="Q597" t="n">
        <v>0</v>
      </c>
      <c r="R597" s="2" t="inlineStr"/>
    </row>
    <row r="598" ht="15" customHeight="1">
      <c r="A598" t="inlineStr">
        <is>
          <t>A 66011-2021</t>
        </is>
      </c>
      <c r="B598" s="1" t="n">
        <v>44517.58137731482</v>
      </c>
      <c r="C598" s="1" t="n">
        <v>46041</v>
      </c>
      <c r="D598" t="inlineStr">
        <is>
          <t>JÄMTLANDS LÄN</t>
        </is>
      </c>
      <c r="E598" t="inlineStr">
        <is>
          <t>RAGUNDA</t>
        </is>
      </c>
      <c r="G598" t="n">
        <v>1.1</v>
      </c>
      <c r="H598" t="n">
        <v>0</v>
      </c>
      <c r="I598" t="n">
        <v>0</v>
      </c>
      <c r="J598" t="n">
        <v>0</v>
      </c>
      <c r="K598" t="n">
        <v>0</v>
      </c>
      <c r="L598" t="n">
        <v>0</v>
      </c>
      <c r="M598" t="n">
        <v>0</v>
      </c>
      <c r="N598" t="n">
        <v>0</v>
      </c>
      <c r="O598" t="n">
        <v>0</v>
      </c>
      <c r="P598" t="n">
        <v>0</v>
      </c>
      <c r="Q598" t="n">
        <v>0</v>
      </c>
      <c r="R598" s="2" t="inlineStr"/>
    </row>
    <row r="599" ht="15" customHeight="1">
      <c r="A599" t="inlineStr">
        <is>
          <t>A 32904-2024</t>
        </is>
      </c>
      <c r="B599" s="1" t="n">
        <v>45516.94732638889</v>
      </c>
      <c r="C599" s="1" t="n">
        <v>46041</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37543-2023</t>
        </is>
      </c>
      <c r="B600" s="1" t="n">
        <v>45158.94231481481</v>
      </c>
      <c r="C600" s="1" t="n">
        <v>46041</v>
      </c>
      <c r="D600" t="inlineStr">
        <is>
          <t>JÄMTLANDS LÄN</t>
        </is>
      </c>
      <c r="E600" t="inlineStr">
        <is>
          <t>RAGUNDA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1333-2026</t>
        </is>
      </c>
      <c r="B601" s="1" t="n">
        <v>46031.57340277778</v>
      </c>
      <c r="C601" s="1" t="n">
        <v>46041</v>
      </c>
      <c r="D601" t="inlineStr">
        <is>
          <t>JÄMTLANDS LÄN</t>
        </is>
      </c>
      <c r="E601" t="inlineStr">
        <is>
          <t>RAGUNDA</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2316-2026</t>
        </is>
      </c>
      <c r="B602" s="1" t="n">
        <v>46036.59826388889</v>
      </c>
      <c r="C602" s="1" t="n">
        <v>46041</v>
      </c>
      <c r="D602" t="inlineStr">
        <is>
          <t>JÄMTLANDS LÄN</t>
        </is>
      </c>
      <c r="E602" t="inlineStr">
        <is>
          <t>RAGUNDA</t>
        </is>
      </c>
      <c r="G602" t="n">
        <v>5.1</v>
      </c>
      <c r="H602" t="n">
        <v>0</v>
      </c>
      <c r="I602" t="n">
        <v>0</v>
      </c>
      <c r="J602" t="n">
        <v>0</v>
      </c>
      <c r="K602" t="n">
        <v>0</v>
      </c>
      <c r="L602" t="n">
        <v>0</v>
      </c>
      <c r="M602" t="n">
        <v>0</v>
      </c>
      <c r="N602" t="n">
        <v>0</v>
      </c>
      <c r="O602" t="n">
        <v>0</v>
      </c>
      <c r="P602" t="n">
        <v>0</v>
      </c>
      <c r="Q602" t="n">
        <v>0</v>
      </c>
      <c r="R602" s="2" t="inlineStr"/>
    </row>
    <row r="603" ht="15" customHeight="1">
      <c r="A603" t="inlineStr">
        <is>
          <t>A 60130-2025</t>
        </is>
      </c>
      <c r="B603" s="1" t="n">
        <v>45994.34467592592</v>
      </c>
      <c r="C603" s="1" t="n">
        <v>46041</v>
      </c>
      <c r="D603" t="inlineStr">
        <is>
          <t>JÄMTLANDS LÄN</t>
        </is>
      </c>
      <c r="E603" t="inlineStr">
        <is>
          <t>RAGUNDA</t>
        </is>
      </c>
      <c r="G603" t="n">
        <v>4.9</v>
      </c>
      <c r="H603" t="n">
        <v>0</v>
      </c>
      <c r="I603" t="n">
        <v>0</v>
      </c>
      <c r="J603" t="n">
        <v>0</v>
      </c>
      <c r="K603" t="n">
        <v>0</v>
      </c>
      <c r="L603" t="n">
        <v>0</v>
      </c>
      <c r="M603" t="n">
        <v>0</v>
      </c>
      <c r="N603" t="n">
        <v>0</v>
      </c>
      <c r="O603" t="n">
        <v>0</v>
      </c>
      <c r="P603" t="n">
        <v>0</v>
      </c>
      <c r="Q603" t="n">
        <v>0</v>
      </c>
      <c r="R603" s="2" t="inlineStr"/>
    </row>
    <row r="604" ht="15" customHeight="1">
      <c r="A604" t="inlineStr">
        <is>
          <t>A 53171-2024</t>
        </is>
      </c>
      <c r="B604" s="1" t="n">
        <v>45611.65679398148</v>
      </c>
      <c r="C604" s="1" t="n">
        <v>46041</v>
      </c>
      <c r="D604" t="inlineStr">
        <is>
          <t>JÄMTLANDS LÄN</t>
        </is>
      </c>
      <c r="E604" t="inlineStr">
        <is>
          <t>RAGUNDA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1523-2024</t>
        </is>
      </c>
      <c r="B605" s="1" t="n">
        <v>45306</v>
      </c>
      <c r="C605" s="1" t="n">
        <v>46041</v>
      </c>
      <c r="D605" t="inlineStr">
        <is>
          <t>JÄMTLANDS LÄN</t>
        </is>
      </c>
      <c r="E605" t="inlineStr">
        <is>
          <t>RAGUNDA</t>
        </is>
      </c>
      <c r="G605" t="n">
        <v>4.1</v>
      </c>
      <c r="H605" t="n">
        <v>0</v>
      </c>
      <c r="I605" t="n">
        <v>0</v>
      </c>
      <c r="J605" t="n">
        <v>0</v>
      </c>
      <c r="K605" t="n">
        <v>0</v>
      </c>
      <c r="L605" t="n">
        <v>0</v>
      </c>
      <c r="M605" t="n">
        <v>0</v>
      </c>
      <c r="N605" t="n">
        <v>0</v>
      </c>
      <c r="O605" t="n">
        <v>0</v>
      </c>
      <c r="P605" t="n">
        <v>0</v>
      </c>
      <c r="Q605" t="n">
        <v>0</v>
      </c>
      <c r="R605" s="2" t="inlineStr"/>
    </row>
    <row r="606" ht="15" customHeight="1">
      <c r="A606" t="inlineStr">
        <is>
          <t>A 64265-2023</t>
        </is>
      </c>
      <c r="B606" s="1" t="n">
        <v>45279.94572916667</v>
      </c>
      <c r="C606" s="1" t="n">
        <v>46041</v>
      </c>
      <c r="D606" t="inlineStr">
        <is>
          <t>JÄMTLANDS LÄN</t>
        </is>
      </c>
      <c r="E606" t="inlineStr">
        <is>
          <t>RAGUNDA</t>
        </is>
      </c>
      <c r="F606" t="inlineStr">
        <is>
          <t>SCA</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2123-2026</t>
        </is>
      </c>
      <c r="B607" s="1" t="n">
        <v>46036.38618055556</v>
      </c>
      <c r="C607" s="1" t="n">
        <v>46041</v>
      </c>
      <c r="D607" t="inlineStr">
        <is>
          <t>JÄMTLANDS LÄN</t>
        </is>
      </c>
      <c r="E607" t="inlineStr">
        <is>
          <t>RAGUNDA</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59931-2025</t>
        </is>
      </c>
      <c r="B608" s="1" t="n">
        <v>45993.40177083333</v>
      </c>
      <c r="C608" s="1" t="n">
        <v>46041</v>
      </c>
      <c r="D608" t="inlineStr">
        <is>
          <t>JÄMTLANDS LÄN</t>
        </is>
      </c>
      <c r="E608" t="inlineStr">
        <is>
          <t>RAGUNDA</t>
        </is>
      </c>
      <c r="G608" t="n">
        <v>4</v>
      </c>
      <c r="H608" t="n">
        <v>0</v>
      </c>
      <c r="I608" t="n">
        <v>0</v>
      </c>
      <c r="J608" t="n">
        <v>0</v>
      </c>
      <c r="K608" t="n">
        <v>0</v>
      </c>
      <c r="L608" t="n">
        <v>0</v>
      </c>
      <c r="M608" t="n">
        <v>0</v>
      </c>
      <c r="N608" t="n">
        <v>0</v>
      </c>
      <c r="O608" t="n">
        <v>0</v>
      </c>
      <c r="P608" t="n">
        <v>0</v>
      </c>
      <c r="Q608" t="n">
        <v>0</v>
      </c>
      <c r="R608" s="2" t="inlineStr"/>
    </row>
    <row r="609" ht="15" customHeight="1">
      <c r="A609" t="inlineStr">
        <is>
          <t>A 60062-2025</t>
        </is>
      </c>
      <c r="B609" s="1" t="n">
        <v>45993.65694444445</v>
      </c>
      <c r="C609" s="1" t="n">
        <v>46041</v>
      </c>
      <c r="D609" t="inlineStr">
        <is>
          <t>JÄMTLANDS LÄN</t>
        </is>
      </c>
      <c r="E609" t="inlineStr">
        <is>
          <t>RAGUNDA</t>
        </is>
      </c>
      <c r="F609" t="inlineStr">
        <is>
          <t>SCA</t>
        </is>
      </c>
      <c r="G609" t="n">
        <v>5.8</v>
      </c>
      <c r="H609" t="n">
        <v>0</v>
      </c>
      <c r="I609" t="n">
        <v>0</v>
      </c>
      <c r="J609" t="n">
        <v>0</v>
      </c>
      <c r="K609" t="n">
        <v>0</v>
      </c>
      <c r="L609" t="n">
        <v>0</v>
      </c>
      <c r="M609" t="n">
        <v>0</v>
      </c>
      <c r="N609" t="n">
        <v>0</v>
      </c>
      <c r="O609" t="n">
        <v>0</v>
      </c>
      <c r="P609" t="n">
        <v>0</v>
      </c>
      <c r="Q609" t="n">
        <v>0</v>
      </c>
      <c r="R609" s="2" t="inlineStr"/>
    </row>
    <row r="610" ht="15" customHeight="1">
      <c r="A610" t="inlineStr">
        <is>
          <t>A 44605-2024</t>
        </is>
      </c>
      <c r="B610" s="1" t="n">
        <v>45574.51185185185</v>
      </c>
      <c r="C610" s="1" t="n">
        <v>46041</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2173-2026</t>
        </is>
      </c>
      <c r="B611" s="1" t="n">
        <v>46036.44984953704</v>
      </c>
      <c r="C611" s="1" t="n">
        <v>46041</v>
      </c>
      <c r="D611" t="inlineStr">
        <is>
          <t>JÄMTLANDS LÄN</t>
        </is>
      </c>
      <c r="E611" t="inlineStr">
        <is>
          <t>RAGUNDA</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44954-2025</t>
        </is>
      </c>
      <c r="B612" s="1" t="n">
        <v>45918.61203703703</v>
      </c>
      <c r="C612" s="1" t="n">
        <v>46041</v>
      </c>
      <c r="D612" t="inlineStr">
        <is>
          <t>JÄMTLANDS LÄN</t>
        </is>
      </c>
      <c r="E612" t="inlineStr">
        <is>
          <t>RAGUNDA</t>
        </is>
      </c>
      <c r="G612" t="n">
        <v>3</v>
      </c>
      <c r="H612" t="n">
        <v>0</v>
      </c>
      <c r="I612" t="n">
        <v>0</v>
      </c>
      <c r="J612" t="n">
        <v>0</v>
      </c>
      <c r="K612" t="n">
        <v>0</v>
      </c>
      <c r="L612" t="n">
        <v>0</v>
      </c>
      <c r="M612" t="n">
        <v>0</v>
      </c>
      <c r="N612" t="n">
        <v>0</v>
      </c>
      <c r="O612" t="n">
        <v>0</v>
      </c>
      <c r="P612" t="n">
        <v>0</v>
      </c>
      <c r="Q612" t="n">
        <v>0</v>
      </c>
      <c r="R612" s="2" t="inlineStr"/>
    </row>
    <row r="613" ht="15" customHeight="1">
      <c r="A613" t="inlineStr">
        <is>
          <t>A 60128-2025</t>
        </is>
      </c>
      <c r="B613" s="1" t="n">
        <v>45994.34456018519</v>
      </c>
      <c r="C613" s="1" t="n">
        <v>46041</v>
      </c>
      <c r="D613" t="inlineStr">
        <is>
          <t>JÄMTLANDS LÄN</t>
        </is>
      </c>
      <c r="E613" t="inlineStr">
        <is>
          <t>RAGUNDA</t>
        </is>
      </c>
      <c r="G613" t="n">
        <v>7.1</v>
      </c>
      <c r="H613" t="n">
        <v>0</v>
      </c>
      <c r="I613" t="n">
        <v>0</v>
      </c>
      <c r="J613" t="n">
        <v>0</v>
      </c>
      <c r="K613" t="n">
        <v>0</v>
      </c>
      <c r="L613" t="n">
        <v>0</v>
      </c>
      <c r="M613" t="n">
        <v>0</v>
      </c>
      <c r="N613" t="n">
        <v>0</v>
      </c>
      <c r="O613" t="n">
        <v>0</v>
      </c>
      <c r="P613" t="n">
        <v>0</v>
      </c>
      <c r="Q613" t="n">
        <v>0</v>
      </c>
      <c r="R613" s="2" t="inlineStr"/>
    </row>
    <row r="614" ht="15" customHeight="1">
      <c r="A614" t="inlineStr">
        <is>
          <t>A 60307-2025</t>
        </is>
      </c>
      <c r="B614" s="1" t="n">
        <v>45994.6842824074</v>
      </c>
      <c r="C614" s="1" t="n">
        <v>46041</v>
      </c>
      <c r="D614" t="inlineStr">
        <is>
          <t>JÄMTLANDS LÄN</t>
        </is>
      </c>
      <c r="E614" t="inlineStr">
        <is>
          <t>RAGUNDA</t>
        </is>
      </c>
      <c r="G614" t="n">
        <v>4</v>
      </c>
      <c r="H614" t="n">
        <v>0</v>
      </c>
      <c r="I614" t="n">
        <v>0</v>
      </c>
      <c r="J614" t="n">
        <v>0</v>
      </c>
      <c r="K614" t="n">
        <v>0</v>
      </c>
      <c r="L614" t="n">
        <v>0</v>
      </c>
      <c r="M614" t="n">
        <v>0</v>
      </c>
      <c r="N614" t="n">
        <v>0</v>
      </c>
      <c r="O614" t="n">
        <v>0</v>
      </c>
      <c r="P614" t="n">
        <v>0</v>
      </c>
      <c r="Q614" t="n">
        <v>0</v>
      </c>
      <c r="R614" s="2" t="inlineStr"/>
    </row>
    <row r="615" ht="15" customHeight="1">
      <c r="A615" t="inlineStr">
        <is>
          <t>A 53136-2024</t>
        </is>
      </c>
      <c r="B615" s="1" t="n">
        <v>45611.5953125</v>
      </c>
      <c r="C615" s="1" t="n">
        <v>46041</v>
      </c>
      <c r="D615" t="inlineStr">
        <is>
          <t>JÄMTLANDS LÄN</t>
        </is>
      </c>
      <c r="E615" t="inlineStr">
        <is>
          <t>RAGUNDA</t>
        </is>
      </c>
      <c r="G615" t="n">
        <v>3.8</v>
      </c>
      <c r="H615" t="n">
        <v>0</v>
      </c>
      <c r="I615" t="n">
        <v>0</v>
      </c>
      <c r="J615" t="n">
        <v>0</v>
      </c>
      <c r="K615" t="n">
        <v>0</v>
      </c>
      <c r="L615" t="n">
        <v>0</v>
      </c>
      <c r="M615" t="n">
        <v>0</v>
      </c>
      <c r="N615" t="n">
        <v>0</v>
      </c>
      <c r="O615" t="n">
        <v>0</v>
      </c>
      <c r="P615" t="n">
        <v>0</v>
      </c>
      <c r="Q615" t="n">
        <v>0</v>
      </c>
      <c r="R615" s="2" t="inlineStr"/>
    </row>
    <row r="616" ht="15" customHeight="1">
      <c r="A616" t="inlineStr">
        <is>
          <t>A 52228-2024</t>
        </is>
      </c>
      <c r="B616" s="1" t="n">
        <v>45608.6078587963</v>
      </c>
      <c r="C616" s="1" t="n">
        <v>46041</v>
      </c>
      <c r="D616" t="inlineStr">
        <is>
          <t>JÄMTLANDS LÄN</t>
        </is>
      </c>
      <c r="E616" t="inlineStr">
        <is>
          <t>RAGUNDA</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45279-2025</t>
        </is>
      </c>
      <c r="B617" s="1" t="n">
        <v>45919.71912037037</v>
      </c>
      <c r="C617" s="1" t="n">
        <v>46041</v>
      </c>
      <c r="D617" t="inlineStr">
        <is>
          <t>JÄMTLANDS LÄN</t>
        </is>
      </c>
      <c r="E617" t="inlineStr">
        <is>
          <t>RAGUNDA</t>
        </is>
      </c>
      <c r="F617" t="inlineStr">
        <is>
          <t>SCA</t>
        </is>
      </c>
      <c r="G617" t="n">
        <v>11.5</v>
      </c>
      <c r="H617" t="n">
        <v>0</v>
      </c>
      <c r="I617" t="n">
        <v>0</v>
      </c>
      <c r="J617" t="n">
        <v>0</v>
      </c>
      <c r="K617" t="n">
        <v>0</v>
      </c>
      <c r="L617" t="n">
        <v>0</v>
      </c>
      <c r="M617" t="n">
        <v>0</v>
      </c>
      <c r="N617" t="n">
        <v>0</v>
      </c>
      <c r="O617" t="n">
        <v>0</v>
      </c>
      <c r="P617" t="n">
        <v>0</v>
      </c>
      <c r="Q617" t="n">
        <v>0</v>
      </c>
      <c r="R617" s="2" t="inlineStr"/>
    </row>
    <row r="618" ht="15" customHeight="1">
      <c r="A618" t="inlineStr">
        <is>
          <t>A 59372-2024</t>
        </is>
      </c>
      <c r="B618" s="1" t="n">
        <v>45638.34431712963</v>
      </c>
      <c r="C618" s="1" t="n">
        <v>46041</v>
      </c>
      <c r="D618" t="inlineStr">
        <is>
          <t>JÄMTLANDS LÄN</t>
        </is>
      </c>
      <c r="E618" t="inlineStr">
        <is>
          <t>RAGUNDA</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62115-2024</t>
        </is>
      </c>
      <c r="B619" s="1" t="n">
        <v>45656</v>
      </c>
      <c r="C619" s="1" t="n">
        <v>46041</v>
      </c>
      <c r="D619" t="inlineStr">
        <is>
          <t>JÄMTLANDS LÄN</t>
        </is>
      </c>
      <c r="E619" t="inlineStr">
        <is>
          <t>RAGUNDA</t>
        </is>
      </c>
      <c r="G619" t="n">
        <v>3.3</v>
      </c>
      <c r="H619" t="n">
        <v>0</v>
      </c>
      <c r="I619" t="n">
        <v>0</v>
      </c>
      <c r="J619" t="n">
        <v>0</v>
      </c>
      <c r="K619" t="n">
        <v>0</v>
      </c>
      <c r="L619" t="n">
        <v>0</v>
      </c>
      <c r="M619" t="n">
        <v>0</v>
      </c>
      <c r="N619" t="n">
        <v>0</v>
      </c>
      <c r="O619" t="n">
        <v>0</v>
      </c>
      <c r="P619" t="n">
        <v>0</v>
      </c>
      <c r="Q619" t="n">
        <v>0</v>
      </c>
      <c r="R619" s="2" t="inlineStr"/>
    </row>
    <row r="620" ht="15" customHeight="1">
      <c r="A620" t="inlineStr">
        <is>
          <t>A 4594-2024</t>
        </is>
      </c>
      <c r="B620" s="1" t="n">
        <v>45327.94459490741</v>
      </c>
      <c r="C620" s="1" t="n">
        <v>46041</v>
      </c>
      <c r="D620" t="inlineStr">
        <is>
          <t>JÄMTLANDS LÄN</t>
        </is>
      </c>
      <c r="E620" t="inlineStr">
        <is>
          <t>RAGUNDA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3018-2024</t>
        </is>
      </c>
      <c r="B621" s="1" t="n">
        <v>45315.9492824074</v>
      </c>
      <c r="C621" s="1" t="n">
        <v>46041</v>
      </c>
      <c r="D621" t="inlineStr">
        <is>
          <t>JÄMTLANDS LÄN</t>
        </is>
      </c>
      <c r="E621" t="inlineStr">
        <is>
          <t>RAGUNDA</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2156-2026</t>
        </is>
      </c>
      <c r="B622" s="1" t="n">
        <v>46036.42771990741</v>
      </c>
      <c r="C622" s="1" t="n">
        <v>46041</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2271-2026</t>
        </is>
      </c>
      <c r="B623" s="1" t="n">
        <v>46036.57347222222</v>
      </c>
      <c r="C623" s="1" t="n">
        <v>46041</v>
      </c>
      <c r="D623" t="inlineStr">
        <is>
          <t>JÄMTLANDS LÄN</t>
        </is>
      </c>
      <c r="E623" t="inlineStr">
        <is>
          <t>RAGUNDA</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2282-2026</t>
        </is>
      </c>
      <c r="B624" s="1" t="n">
        <v>46036.57798611111</v>
      </c>
      <c r="C624" s="1" t="n">
        <v>46041</v>
      </c>
      <c r="D624" t="inlineStr">
        <is>
          <t>JÄMTLANDS LÄN</t>
        </is>
      </c>
      <c r="E624" t="inlineStr">
        <is>
          <t>RAGUNDA</t>
        </is>
      </c>
      <c r="G624" t="n">
        <v>2</v>
      </c>
      <c r="H624" t="n">
        <v>0</v>
      </c>
      <c r="I624" t="n">
        <v>0</v>
      </c>
      <c r="J624" t="n">
        <v>0</v>
      </c>
      <c r="K624" t="n">
        <v>0</v>
      </c>
      <c r="L624" t="n">
        <v>0</v>
      </c>
      <c r="M624" t="n">
        <v>0</v>
      </c>
      <c r="N624" t="n">
        <v>0</v>
      </c>
      <c r="O624" t="n">
        <v>0</v>
      </c>
      <c r="P624" t="n">
        <v>0</v>
      </c>
      <c r="Q624" t="n">
        <v>0</v>
      </c>
      <c r="R624" s="2" t="inlineStr"/>
    </row>
    <row r="625" ht="15" customHeight="1">
      <c r="A625" t="inlineStr">
        <is>
          <t>A 48065-2023</t>
        </is>
      </c>
      <c r="B625" s="1" t="n">
        <v>45204.94399305555</v>
      </c>
      <c r="C625" s="1" t="n">
        <v>46041</v>
      </c>
      <c r="D625" t="inlineStr">
        <is>
          <t>JÄMTLANDS LÄN</t>
        </is>
      </c>
      <c r="E625" t="inlineStr">
        <is>
          <t>RAGUNDA</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44597-2024</t>
        </is>
      </c>
      <c r="B626" s="1" t="n">
        <v>45574.51087962963</v>
      </c>
      <c r="C626" s="1" t="n">
        <v>46041</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44598-2024</t>
        </is>
      </c>
      <c r="B627" s="1" t="n">
        <v>45574.51090277778</v>
      </c>
      <c r="C627" s="1" t="n">
        <v>46041</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2233-2026</t>
        </is>
      </c>
      <c r="B628" s="1" t="n">
        <v>46036.53207175926</v>
      </c>
      <c r="C628" s="1" t="n">
        <v>46041</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49659-2023</t>
        </is>
      </c>
      <c r="B629" s="1" t="n">
        <v>45211.95134259259</v>
      </c>
      <c r="C629" s="1" t="n">
        <v>46041</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23734-2024</t>
        </is>
      </c>
      <c r="B630" s="1" t="n">
        <v>45454.95960648148</v>
      </c>
      <c r="C630" s="1" t="n">
        <v>46041</v>
      </c>
      <c r="D630" t="inlineStr">
        <is>
          <t>JÄMTLANDS LÄN</t>
        </is>
      </c>
      <c r="E630" t="inlineStr">
        <is>
          <t>RAGUNDA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12653-2024</t>
        </is>
      </c>
      <c r="B631" s="1" t="n">
        <v>45384</v>
      </c>
      <c r="C631" s="1" t="n">
        <v>46041</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45894-2025</t>
        </is>
      </c>
      <c r="B632" s="1" t="n">
        <v>45923.67765046296</v>
      </c>
      <c r="C632" s="1" t="n">
        <v>46041</v>
      </c>
      <c r="D632" t="inlineStr">
        <is>
          <t>JÄMTLANDS LÄN</t>
        </is>
      </c>
      <c r="E632" t="inlineStr">
        <is>
          <t>RAGUNDA</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46192-2025</t>
        </is>
      </c>
      <c r="B633" s="1" t="n">
        <v>45924.67789351852</v>
      </c>
      <c r="C633" s="1" t="n">
        <v>46041</v>
      </c>
      <c r="D633" t="inlineStr">
        <is>
          <t>JÄMTLANDS LÄN</t>
        </is>
      </c>
      <c r="E633" t="inlineStr">
        <is>
          <t>RAGUNDA</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60389-2025</t>
        </is>
      </c>
      <c r="B634" s="1" t="n">
        <v>45995.38628472222</v>
      </c>
      <c r="C634" s="1" t="n">
        <v>46041</v>
      </c>
      <c r="D634" t="inlineStr">
        <is>
          <t>JÄMTLANDS LÄN</t>
        </is>
      </c>
      <c r="E634" t="inlineStr">
        <is>
          <t>RAGUNDA</t>
        </is>
      </c>
      <c r="G634" t="n">
        <v>3.3</v>
      </c>
      <c r="H634" t="n">
        <v>0</v>
      </c>
      <c r="I634" t="n">
        <v>0</v>
      </c>
      <c r="J634" t="n">
        <v>0</v>
      </c>
      <c r="K634" t="n">
        <v>0</v>
      </c>
      <c r="L634" t="n">
        <v>0</v>
      </c>
      <c r="M634" t="n">
        <v>0</v>
      </c>
      <c r="N634" t="n">
        <v>0</v>
      </c>
      <c r="O634" t="n">
        <v>0</v>
      </c>
      <c r="P634" t="n">
        <v>0</v>
      </c>
      <c r="Q634" t="n">
        <v>0</v>
      </c>
      <c r="R634" s="2" t="inlineStr"/>
    </row>
    <row r="635" ht="15" customHeight="1">
      <c r="A635" t="inlineStr">
        <is>
          <t>A 34483-2023</t>
        </is>
      </c>
      <c r="B635" s="1" t="n">
        <v>45139.94681712963</v>
      </c>
      <c r="C635" s="1" t="n">
        <v>46041</v>
      </c>
      <c r="D635" t="inlineStr">
        <is>
          <t>JÄMTLANDS LÄN</t>
        </is>
      </c>
      <c r="E635" t="inlineStr">
        <is>
          <t>RAGUNDA</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23567-2024</t>
        </is>
      </c>
      <c r="B636" s="1" t="n">
        <v>45453.95538194444</v>
      </c>
      <c r="C636" s="1" t="n">
        <v>46041</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57116-2024</t>
        </is>
      </c>
      <c r="B637" s="1" t="n">
        <v>45629.36513888889</v>
      </c>
      <c r="C637" s="1" t="n">
        <v>46041</v>
      </c>
      <c r="D637" t="inlineStr">
        <is>
          <t>JÄMTLANDS LÄN</t>
        </is>
      </c>
      <c r="E637" t="inlineStr">
        <is>
          <t>RAGUNDA</t>
        </is>
      </c>
      <c r="G637" t="n">
        <v>0.6</v>
      </c>
      <c r="H637" t="n">
        <v>0</v>
      </c>
      <c r="I637" t="n">
        <v>0</v>
      </c>
      <c r="J637" t="n">
        <v>0</v>
      </c>
      <c r="K637" t="n">
        <v>0</v>
      </c>
      <c r="L637" t="n">
        <v>0</v>
      </c>
      <c r="M637" t="n">
        <v>0</v>
      </c>
      <c r="N637" t="n">
        <v>0</v>
      </c>
      <c r="O637" t="n">
        <v>0</v>
      </c>
      <c r="P637" t="n">
        <v>0</v>
      </c>
      <c r="Q637" t="n">
        <v>0</v>
      </c>
      <c r="R637" s="2" t="inlineStr"/>
    </row>
    <row r="638" ht="15" customHeight="1">
      <c r="A638" t="inlineStr">
        <is>
          <t>A 38312-2024</t>
        </is>
      </c>
      <c r="B638" s="1" t="n">
        <v>45545.64957175926</v>
      </c>
      <c r="C638" s="1" t="n">
        <v>46041</v>
      </c>
      <c r="D638" t="inlineStr">
        <is>
          <t>JÄMTLANDS LÄN</t>
        </is>
      </c>
      <c r="E638" t="inlineStr">
        <is>
          <t>RAGUNDA</t>
        </is>
      </c>
      <c r="G638" t="n">
        <v>1.2</v>
      </c>
      <c r="H638" t="n">
        <v>0</v>
      </c>
      <c r="I638" t="n">
        <v>0</v>
      </c>
      <c r="J638" t="n">
        <v>0</v>
      </c>
      <c r="K638" t="n">
        <v>0</v>
      </c>
      <c r="L638" t="n">
        <v>0</v>
      </c>
      <c r="M638" t="n">
        <v>0</v>
      </c>
      <c r="N638" t="n">
        <v>0</v>
      </c>
      <c r="O638" t="n">
        <v>0</v>
      </c>
      <c r="P638" t="n">
        <v>0</v>
      </c>
      <c r="Q638" t="n">
        <v>0</v>
      </c>
      <c r="R638" s="2" t="inlineStr"/>
    </row>
    <row r="639" ht="15" customHeight="1">
      <c r="A639" t="inlineStr">
        <is>
          <t>A 60387-2025</t>
        </is>
      </c>
      <c r="B639" s="1" t="n">
        <v>45995.38611111111</v>
      </c>
      <c r="C639" s="1" t="n">
        <v>46041</v>
      </c>
      <c r="D639" t="inlineStr">
        <is>
          <t>JÄMTLANDS LÄN</t>
        </is>
      </c>
      <c r="E639" t="inlineStr">
        <is>
          <t>RAGUNDA</t>
        </is>
      </c>
      <c r="G639" t="n">
        <v>8.5</v>
      </c>
      <c r="H639" t="n">
        <v>0</v>
      </c>
      <c r="I639" t="n">
        <v>0</v>
      </c>
      <c r="J639" t="n">
        <v>0</v>
      </c>
      <c r="K639" t="n">
        <v>0</v>
      </c>
      <c r="L639" t="n">
        <v>0</v>
      </c>
      <c r="M639" t="n">
        <v>0</v>
      </c>
      <c r="N639" t="n">
        <v>0</v>
      </c>
      <c r="O639" t="n">
        <v>0</v>
      </c>
      <c r="P639" t="n">
        <v>0</v>
      </c>
      <c r="Q639" t="n">
        <v>0</v>
      </c>
      <c r="R639" s="2" t="inlineStr"/>
    </row>
    <row r="640" ht="15" customHeight="1">
      <c r="A640" t="inlineStr">
        <is>
          <t>A 9262-2025</t>
        </is>
      </c>
      <c r="B640" s="1" t="n">
        <v>45714.60649305556</v>
      </c>
      <c r="C640" s="1" t="n">
        <v>46041</v>
      </c>
      <c r="D640" t="inlineStr">
        <is>
          <t>JÄMTLANDS LÄN</t>
        </is>
      </c>
      <c r="E640" t="inlineStr">
        <is>
          <t>RAGUNDA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46689-2025</t>
        </is>
      </c>
      <c r="B641" s="1" t="n">
        <v>45926.55307870371</v>
      </c>
      <c r="C641" s="1" t="n">
        <v>46041</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16982-2024</t>
        </is>
      </c>
      <c r="B642" s="1" t="n">
        <v>45412.02506944445</v>
      </c>
      <c r="C642" s="1" t="n">
        <v>46041</v>
      </c>
      <c r="D642" t="inlineStr">
        <is>
          <t>JÄMTLANDS LÄN</t>
        </is>
      </c>
      <c r="E642" t="inlineStr">
        <is>
          <t>RAGUNDA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62490-2025</t>
        </is>
      </c>
      <c r="B643" s="1" t="n">
        <v>46007.5697337963</v>
      </c>
      <c r="C643" s="1" t="n">
        <v>46041</v>
      </c>
      <c r="D643" t="inlineStr">
        <is>
          <t>JÄMTLANDS LÄN</t>
        </is>
      </c>
      <c r="E643" t="inlineStr">
        <is>
          <t>RAGUNDA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46275-2025</t>
        </is>
      </c>
      <c r="B644" s="1" t="n">
        <v>45925.3711574074</v>
      </c>
      <c r="C644" s="1" t="n">
        <v>46041</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46710-2025</t>
        </is>
      </c>
      <c r="B645" s="1" t="n">
        <v>45926.57337962963</v>
      </c>
      <c r="C645" s="1" t="n">
        <v>46041</v>
      </c>
      <c r="D645" t="inlineStr">
        <is>
          <t>JÄMTLANDS LÄN</t>
        </is>
      </c>
      <c r="E645" t="inlineStr">
        <is>
          <t>RAGUNDA</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46751-2025</t>
        </is>
      </c>
      <c r="B646" s="1" t="n">
        <v>45926.6153125</v>
      </c>
      <c r="C646" s="1" t="n">
        <v>46041</v>
      </c>
      <c r="D646" t="inlineStr">
        <is>
          <t>JÄMTLANDS LÄN</t>
        </is>
      </c>
      <c r="E646" t="inlineStr">
        <is>
          <t>RAGUNDA</t>
        </is>
      </c>
      <c r="F646" t="inlineStr">
        <is>
          <t>SCA</t>
        </is>
      </c>
      <c r="G646" t="n">
        <v>7.8</v>
      </c>
      <c r="H646" t="n">
        <v>0</v>
      </c>
      <c r="I646" t="n">
        <v>0</v>
      </c>
      <c r="J646" t="n">
        <v>0</v>
      </c>
      <c r="K646" t="n">
        <v>0</v>
      </c>
      <c r="L646" t="n">
        <v>0</v>
      </c>
      <c r="M646" t="n">
        <v>0</v>
      </c>
      <c r="N646" t="n">
        <v>0</v>
      </c>
      <c r="O646" t="n">
        <v>0</v>
      </c>
      <c r="P646" t="n">
        <v>0</v>
      </c>
      <c r="Q646" t="n">
        <v>0</v>
      </c>
      <c r="R646" s="2" t="inlineStr"/>
    </row>
    <row r="647" ht="15" customHeight="1">
      <c r="A647" t="inlineStr">
        <is>
          <t>A 46753-2025</t>
        </is>
      </c>
      <c r="B647" s="1" t="n">
        <v>45926.61552083334</v>
      </c>
      <c r="C647" s="1" t="n">
        <v>46041</v>
      </c>
      <c r="D647" t="inlineStr">
        <is>
          <t>JÄMTLANDS LÄN</t>
        </is>
      </c>
      <c r="E647" t="inlineStr">
        <is>
          <t>RAGUNDA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58564-2024</t>
        </is>
      </c>
      <c r="B648" s="1" t="n">
        <v>45635.47243055556</v>
      </c>
      <c r="C648" s="1" t="n">
        <v>46041</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53144-2024</t>
        </is>
      </c>
      <c r="B649" s="1" t="n">
        <v>45611</v>
      </c>
      <c r="C649" s="1" t="n">
        <v>46041</v>
      </c>
      <c r="D649" t="inlineStr">
        <is>
          <t>JÄMTLANDS LÄN</t>
        </is>
      </c>
      <c r="E649" t="inlineStr">
        <is>
          <t>RAGUNDA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5806-2025</t>
        </is>
      </c>
      <c r="B650" s="1" t="n">
        <v>45694.69826388889</v>
      </c>
      <c r="C650" s="1" t="n">
        <v>46041</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20773-2024</t>
        </is>
      </c>
      <c r="B651" s="1" t="n">
        <v>45436.94636574074</v>
      </c>
      <c r="C651" s="1" t="n">
        <v>46041</v>
      </c>
      <c r="D651" t="inlineStr">
        <is>
          <t>JÄMTLANDS LÄN</t>
        </is>
      </c>
      <c r="E651" t="inlineStr">
        <is>
          <t>RAGUNDA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60630-2025</t>
        </is>
      </c>
      <c r="B652" s="1" t="n">
        <v>45996.42120370371</v>
      </c>
      <c r="C652" s="1" t="n">
        <v>46041</v>
      </c>
      <c r="D652" t="inlineStr">
        <is>
          <t>JÄMTLANDS LÄN</t>
        </is>
      </c>
      <c r="E652" t="inlineStr">
        <is>
          <t>RAGUNDA</t>
        </is>
      </c>
      <c r="G652" t="n">
        <v>13.2</v>
      </c>
      <c r="H652" t="n">
        <v>0</v>
      </c>
      <c r="I652" t="n">
        <v>0</v>
      </c>
      <c r="J652" t="n">
        <v>0</v>
      </c>
      <c r="K652" t="n">
        <v>0</v>
      </c>
      <c r="L652" t="n">
        <v>0</v>
      </c>
      <c r="M652" t="n">
        <v>0</v>
      </c>
      <c r="N652" t="n">
        <v>0</v>
      </c>
      <c r="O652" t="n">
        <v>0</v>
      </c>
      <c r="P652" t="n">
        <v>0</v>
      </c>
      <c r="Q652" t="n">
        <v>0</v>
      </c>
      <c r="R652" s="2" t="inlineStr"/>
    </row>
    <row r="653" ht="15" customHeight="1">
      <c r="A653" t="inlineStr">
        <is>
          <t>A 47228-2025</t>
        </is>
      </c>
      <c r="B653" s="1" t="n">
        <v>45930.3990162037</v>
      </c>
      <c r="C653" s="1" t="n">
        <v>46041</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46974-2025</t>
        </is>
      </c>
      <c r="B654" s="1" t="n">
        <v>45929.51104166666</v>
      </c>
      <c r="C654" s="1" t="n">
        <v>46041</v>
      </c>
      <c r="D654" t="inlineStr">
        <is>
          <t>JÄMTLANDS LÄN</t>
        </is>
      </c>
      <c r="E654" t="inlineStr">
        <is>
          <t>RAGUNDA</t>
        </is>
      </c>
      <c r="F654" t="inlineStr">
        <is>
          <t>SCA</t>
        </is>
      </c>
      <c r="G654" t="n">
        <v>12.1</v>
      </c>
      <c r="H654" t="n">
        <v>0</v>
      </c>
      <c r="I654" t="n">
        <v>0</v>
      </c>
      <c r="J654" t="n">
        <v>0</v>
      </c>
      <c r="K654" t="n">
        <v>0</v>
      </c>
      <c r="L654" t="n">
        <v>0</v>
      </c>
      <c r="M654" t="n">
        <v>0</v>
      </c>
      <c r="N654" t="n">
        <v>0</v>
      </c>
      <c r="O654" t="n">
        <v>0</v>
      </c>
      <c r="P654" t="n">
        <v>0</v>
      </c>
      <c r="Q654" t="n">
        <v>0</v>
      </c>
      <c r="R654" s="2" t="inlineStr"/>
    </row>
    <row r="655" ht="15" customHeight="1">
      <c r="A655" t="inlineStr">
        <is>
          <t>A 47037-2025</t>
        </is>
      </c>
      <c r="B655" s="1" t="n">
        <v>45929.59456018519</v>
      </c>
      <c r="C655" s="1" t="n">
        <v>46041</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47119-2025</t>
        </is>
      </c>
      <c r="B656" s="1" t="n">
        <v>45929.67795138889</v>
      </c>
      <c r="C656" s="1" t="n">
        <v>46041</v>
      </c>
      <c r="D656" t="inlineStr">
        <is>
          <t>JÄMTLANDS LÄN</t>
        </is>
      </c>
      <c r="E656" t="inlineStr">
        <is>
          <t>RAGUNDA</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47122-2025</t>
        </is>
      </c>
      <c r="B657" s="1" t="n">
        <v>45929.67878472222</v>
      </c>
      <c r="C657" s="1" t="n">
        <v>46041</v>
      </c>
      <c r="D657" t="inlineStr">
        <is>
          <t>JÄMTLANDS LÄN</t>
        </is>
      </c>
      <c r="E657" t="inlineStr">
        <is>
          <t>RAGUNDA</t>
        </is>
      </c>
      <c r="F657" t="inlineStr">
        <is>
          <t>SCA</t>
        </is>
      </c>
      <c r="G657" t="n">
        <v>31.1</v>
      </c>
      <c r="H657" t="n">
        <v>0</v>
      </c>
      <c r="I657" t="n">
        <v>0</v>
      </c>
      <c r="J657" t="n">
        <v>0</v>
      </c>
      <c r="K657" t="n">
        <v>0</v>
      </c>
      <c r="L657" t="n">
        <v>0</v>
      </c>
      <c r="M657" t="n">
        <v>0</v>
      </c>
      <c r="N657" t="n">
        <v>0</v>
      </c>
      <c r="O657" t="n">
        <v>0</v>
      </c>
      <c r="P657" t="n">
        <v>0</v>
      </c>
      <c r="Q657" t="n">
        <v>0</v>
      </c>
      <c r="R657" s="2" t="inlineStr"/>
    </row>
    <row r="658" ht="15" customHeight="1">
      <c r="A658" t="inlineStr">
        <is>
          <t>A 46909-2025</t>
        </is>
      </c>
      <c r="B658" s="1" t="n">
        <v>45929.40673611111</v>
      </c>
      <c r="C658" s="1" t="n">
        <v>46041</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14076-2023</t>
        </is>
      </c>
      <c r="B659" s="1" t="n">
        <v>45009.0897337963</v>
      </c>
      <c r="C659" s="1" t="n">
        <v>46041</v>
      </c>
      <c r="D659" t="inlineStr">
        <is>
          <t>JÄMTLANDS LÄN</t>
        </is>
      </c>
      <c r="E659" t="inlineStr">
        <is>
          <t>RAGUNDA</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45335-2023</t>
        </is>
      </c>
      <c r="B660" s="1" t="n">
        <v>45191</v>
      </c>
      <c r="C660" s="1" t="n">
        <v>46041</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47229-2025</t>
        </is>
      </c>
      <c r="B661" s="1" t="n">
        <v>45930.40166666666</v>
      </c>
      <c r="C661" s="1" t="n">
        <v>46041</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47075-2025</t>
        </is>
      </c>
      <c r="B662" s="1" t="n">
        <v>45929.63728009259</v>
      </c>
      <c r="C662" s="1" t="n">
        <v>46041</v>
      </c>
      <c r="D662" t="inlineStr">
        <is>
          <t>JÄMTLANDS LÄN</t>
        </is>
      </c>
      <c r="E662" t="inlineStr">
        <is>
          <t>RAGUNDA</t>
        </is>
      </c>
      <c r="F662" t="inlineStr">
        <is>
          <t>SCA</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46825-2025</t>
        </is>
      </c>
      <c r="B663" s="1" t="n">
        <v>45926.92506944444</v>
      </c>
      <c r="C663" s="1" t="n">
        <v>46041</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10972-2022</t>
        </is>
      </c>
      <c r="B664" s="1" t="n">
        <v>44628</v>
      </c>
      <c r="C664" s="1" t="n">
        <v>46041</v>
      </c>
      <c r="D664" t="inlineStr">
        <is>
          <t>JÄMTLANDS LÄN</t>
        </is>
      </c>
      <c r="E664" t="inlineStr">
        <is>
          <t>RAGUNDA</t>
        </is>
      </c>
      <c r="G664" t="n">
        <v>9.5</v>
      </c>
      <c r="H664" t="n">
        <v>0</v>
      </c>
      <c r="I664" t="n">
        <v>0</v>
      </c>
      <c r="J664" t="n">
        <v>0</v>
      </c>
      <c r="K664" t="n">
        <v>0</v>
      </c>
      <c r="L664" t="n">
        <v>0</v>
      </c>
      <c r="M664" t="n">
        <v>0</v>
      </c>
      <c r="N664" t="n">
        <v>0</v>
      </c>
      <c r="O664" t="n">
        <v>0</v>
      </c>
      <c r="P664" t="n">
        <v>0</v>
      </c>
      <c r="Q664" t="n">
        <v>0</v>
      </c>
      <c r="R664" s="2" t="inlineStr"/>
    </row>
    <row r="665" ht="15" customHeight="1">
      <c r="A665" t="inlineStr">
        <is>
          <t>A 47749-2025</t>
        </is>
      </c>
      <c r="B665" s="1" t="n">
        <v>45931.65711805555</v>
      </c>
      <c r="C665" s="1" t="n">
        <v>46041</v>
      </c>
      <c r="D665" t="inlineStr">
        <is>
          <t>JÄMTLANDS LÄN</t>
        </is>
      </c>
      <c r="E665" t="inlineStr">
        <is>
          <t>RAGUNDA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19438-2023</t>
        </is>
      </c>
      <c r="B666" s="1" t="n">
        <v>45049</v>
      </c>
      <c r="C666" s="1" t="n">
        <v>46041</v>
      </c>
      <c r="D666" t="inlineStr">
        <is>
          <t>JÄMTLANDS LÄN</t>
        </is>
      </c>
      <c r="E666" t="inlineStr">
        <is>
          <t>RAGUNDA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43102-2023</t>
        </is>
      </c>
      <c r="B667" s="1" t="n">
        <v>45182</v>
      </c>
      <c r="C667" s="1" t="n">
        <v>46041</v>
      </c>
      <c r="D667" t="inlineStr">
        <is>
          <t>JÄMTLANDS LÄN</t>
        </is>
      </c>
      <c r="E667" t="inlineStr">
        <is>
          <t>RAGUNDA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23528-2024</t>
        </is>
      </c>
      <c r="B668" s="1" t="n">
        <v>45453.95016203704</v>
      </c>
      <c r="C668" s="1" t="n">
        <v>46041</v>
      </c>
      <c r="D668" t="inlineStr">
        <is>
          <t>JÄMTLANDS LÄN</t>
        </is>
      </c>
      <c r="E668" t="inlineStr">
        <is>
          <t>RAGUNDA</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21332-2025</t>
        </is>
      </c>
      <c r="B669" s="1" t="n">
        <v>45782.36506944444</v>
      </c>
      <c r="C669" s="1" t="n">
        <v>46041</v>
      </c>
      <c r="D669" t="inlineStr">
        <is>
          <t>JÄMTLANDS LÄN</t>
        </is>
      </c>
      <c r="E669" t="inlineStr">
        <is>
          <t>RAGUNDA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47748-2025</t>
        </is>
      </c>
      <c r="B670" s="1" t="n">
        <v>45931.65693287037</v>
      </c>
      <c r="C670" s="1" t="n">
        <v>46041</v>
      </c>
      <c r="D670" t="inlineStr">
        <is>
          <t>JÄMTLANDS LÄN</t>
        </is>
      </c>
      <c r="E670" t="inlineStr">
        <is>
          <t>RAGUNDA</t>
        </is>
      </c>
      <c r="F670" t="inlineStr">
        <is>
          <t>SCA</t>
        </is>
      </c>
      <c r="G670" t="n">
        <v>8.6</v>
      </c>
      <c r="H670" t="n">
        <v>0</v>
      </c>
      <c r="I670" t="n">
        <v>0</v>
      </c>
      <c r="J670" t="n">
        <v>0</v>
      </c>
      <c r="K670" t="n">
        <v>0</v>
      </c>
      <c r="L670" t="n">
        <v>0</v>
      </c>
      <c r="M670" t="n">
        <v>0</v>
      </c>
      <c r="N670" t="n">
        <v>0</v>
      </c>
      <c r="O670" t="n">
        <v>0</v>
      </c>
      <c r="P670" t="n">
        <v>0</v>
      </c>
      <c r="Q670" t="n">
        <v>0</v>
      </c>
      <c r="R670" s="2" t="inlineStr"/>
    </row>
    <row r="671" ht="15" customHeight="1">
      <c r="A671" t="inlineStr">
        <is>
          <t>A 6694-2024</t>
        </is>
      </c>
      <c r="B671" s="1" t="n">
        <v>45341.95381944445</v>
      </c>
      <c r="C671" s="1" t="n">
        <v>46041</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21083-2024</t>
        </is>
      </c>
      <c r="B672" s="1" t="n">
        <v>45439.92752314815</v>
      </c>
      <c r="C672" s="1" t="n">
        <v>46041</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48528-2025</t>
        </is>
      </c>
      <c r="B673" s="1" t="n">
        <v>45936.40758101852</v>
      </c>
      <c r="C673" s="1" t="n">
        <v>46041</v>
      </c>
      <c r="D673" t="inlineStr">
        <is>
          <t>JÄMTLANDS LÄN</t>
        </is>
      </c>
      <c r="E673" t="inlineStr">
        <is>
          <t>RAGUNDA</t>
        </is>
      </c>
      <c r="F673" t="inlineStr">
        <is>
          <t>SCA</t>
        </is>
      </c>
      <c r="G673" t="n">
        <v>6.8</v>
      </c>
      <c r="H673" t="n">
        <v>0</v>
      </c>
      <c r="I673" t="n">
        <v>0</v>
      </c>
      <c r="J673" t="n">
        <v>0</v>
      </c>
      <c r="K673" t="n">
        <v>0</v>
      </c>
      <c r="L673" t="n">
        <v>0</v>
      </c>
      <c r="M673" t="n">
        <v>0</v>
      </c>
      <c r="N673" t="n">
        <v>0</v>
      </c>
      <c r="O673" t="n">
        <v>0</v>
      </c>
      <c r="P673" t="n">
        <v>0</v>
      </c>
      <c r="Q673" t="n">
        <v>0</v>
      </c>
      <c r="R673" s="2" t="inlineStr"/>
    </row>
    <row r="674" ht="15" customHeight="1">
      <c r="A674" t="inlineStr">
        <is>
          <t>A 59759-2024</t>
        </is>
      </c>
      <c r="B674" s="1" t="n">
        <v>45639.55240740741</v>
      </c>
      <c r="C674" s="1" t="n">
        <v>46041</v>
      </c>
      <c r="D674" t="inlineStr">
        <is>
          <t>JÄMTLANDS LÄN</t>
        </is>
      </c>
      <c r="E674" t="inlineStr">
        <is>
          <t>RAGUNDA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12204-2025</t>
        </is>
      </c>
      <c r="B675" s="1" t="n">
        <v>45729.51074074074</v>
      </c>
      <c r="C675" s="1" t="n">
        <v>46041</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48742-2025</t>
        </is>
      </c>
      <c r="B676" s="1" t="n">
        <v>45936.67810185185</v>
      </c>
      <c r="C676" s="1" t="n">
        <v>46041</v>
      </c>
      <c r="D676" t="inlineStr">
        <is>
          <t>JÄMTLANDS LÄN</t>
        </is>
      </c>
      <c r="E676" t="inlineStr">
        <is>
          <t>RAGUNDA</t>
        </is>
      </c>
      <c r="F676" t="inlineStr">
        <is>
          <t>SCA</t>
        </is>
      </c>
      <c r="G676" t="n">
        <v>8.9</v>
      </c>
      <c r="H676" t="n">
        <v>0</v>
      </c>
      <c r="I676" t="n">
        <v>0</v>
      </c>
      <c r="J676" t="n">
        <v>0</v>
      </c>
      <c r="K676" t="n">
        <v>0</v>
      </c>
      <c r="L676" t="n">
        <v>0</v>
      </c>
      <c r="M676" t="n">
        <v>0</v>
      </c>
      <c r="N676" t="n">
        <v>0</v>
      </c>
      <c r="O676" t="n">
        <v>0</v>
      </c>
      <c r="P676" t="n">
        <v>0</v>
      </c>
      <c r="Q676" t="n">
        <v>0</v>
      </c>
      <c r="R676" s="2" t="inlineStr"/>
    </row>
    <row r="677" ht="15" customHeight="1">
      <c r="A677" t="inlineStr">
        <is>
          <t>A 11245-2025</t>
        </is>
      </c>
      <c r="B677" s="1" t="n">
        <v>45726.38575231482</v>
      </c>
      <c r="C677" s="1" t="n">
        <v>46041</v>
      </c>
      <c r="D677" t="inlineStr">
        <is>
          <t>JÄMTLANDS LÄN</t>
        </is>
      </c>
      <c r="E677" t="inlineStr">
        <is>
          <t>RAGUNDA</t>
        </is>
      </c>
      <c r="G677" t="n">
        <v>2.3</v>
      </c>
      <c r="H677" t="n">
        <v>0</v>
      </c>
      <c r="I677" t="n">
        <v>0</v>
      </c>
      <c r="J677" t="n">
        <v>0</v>
      </c>
      <c r="K677" t="n">
        <v>0</v>
      </c>
      <c r="L677" t="n">
        <v>0</v>
      </c>
      <c r="M677" t="n">
        <v>0</v>
      </c>
      <c r="N677" t="n">
        <v>0</v>
      </c>
      <c r="O677" t="n">
        <v>0</v>
      </c>
      <c r="P677" t="n">
        <v>0</v>
      </c>
      <c r="Q677" t="n">
        <v>0</v>
      </c>
      <c r="R677" s="2" t="inlineStr"/>
    </row>
    <row r="678" ht="15" customHeight="1">
      <c r="A678" t="inlineStr">
        <is>
          <t>A 13905-2025</t>
        </is>
      </c>
      <c r="B678" s="1" t="n">
        <v>45737.63574074074</v>
      </c>
      <c r="C678" s="1" t="n">
        <v>46041</v>
      </c>
      <c r="D678" t="inlineStr">
        <is>
          <t>JÄMTLANDS LÄN</t>
        </is>
      </c>
      <c r="E678" t="inlineStr">
        <is>
          <t>RAGUNDA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48748-2025</t>
        </is>
      </c>
      <c r="B679" s="1" t="n">
        <v>45936.67912037037</v>
      </c>
      <c r="C679" s="1" t="n">
        <v>46041</v>
      </c>
      <c r="D679" t="inlineStr">
        <is>
          <t>JÄMTLANDS LÄN</t>
        </is>
      </c>
      <c r="E679" t="inlineStr">
        <is>
          <t>RAGUNDA</t>
        </is>
      </c>
      <c r="F679" t="inlineStr">
        <is>
          <t>SCA</t>
        </is>
      </c>
      <c r="G679" t="n">
        <v>11.1</v>
      </c>
      <c r="H679" t="n">
        <v>0</v>
      </c>
      <c r="I679" t="n">
        <v>0</v>
      </c>
      <c r="J679" t="n">
        <v>0</v>
      </c>
      <c r="K679" t="n">
        <v>0</v>
      </c>
      <c r="L679" t="n">
        <v>0</v>
      </c>
      <c r="M679" t="n">
        <v>0</v>
      </c>
      <c r="N679" t="n">
        <v>0</v>
      </c>
      <c r="O679" t="n">
        <v>0</v>
      </c>
      <c r="P679" t="n">
        <v>0</v>
      </c>
      <c r="Q679" t="n">
        <v>0</v>
      </c>
      <c r="R679" s="2" t="inlineStr"/>
    </row>
    <row r="680" ht="15" customHeight="1">
      <c r="A680" t="inlineStr">
        <is>
          <t>A 22412-2024</t>
        </is>
      </c>
      <c r="B680" s="1" t="n">
        <v>45446.68947916666</v>
      </c>
      <c r="C680" s="1" t="n">
        <v>46041</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24196-2024</t>
        </is>
      </c>
      <c r="B681" s="1" t="n">
        <v>45456.96569444444</v>
      </c>
      <c r="C681" s="1" t="n">
        <v>46041</v>
      </c>
      <c r="D681" t="inlineStr">
        <is>
          <t>JÄMTLANDS LÄN</t>
        </is>
      </c>
      <c r="E681" t="inlineStr">
        <is>
          <t>RAGUNDA</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4125-2024</t>
        </is>
      </c>
      <c r="B682" s="1" t="n">
        <v>45323</v>
      </c>
      <c r="C682" s="1" t="n">
        <v>46041</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48746-2025</t>
        </is>
      </c>
      <c r="B683" s="1" t="n">
        <v>45936.67878472222</v>
      </c>
      <c r="C683" s="1" t="n">
        <v>46041</v>
      </c>
      <c r="D683" t="inlineStr">
        <is>
          <t>JÄMTLANDS LÄN</t>
        </is>
      </c>
      <c r="E683" t="inlineStr">
        <is>
          <t>RAGUNDA</t>
        </is>
      </c>
      <c r="F683" t="inlineStr">
        <is>
          <t>SCA</t>
        </is>
      </c>
      <c r="G683" t="n">
        <v>6.5</v>
      </c>
      <c r="H683" t="n">
        <v>0</v>
      </c>
      <c r="I683" t="n">
        <v>0</v>
      </c>
      <c r="J683" t="n">
        <v>0</v>
      </c>
      <c r="K683" t="n">
        <v>0</v>
      </c>
      <c r="L683" t="n">
        <v>0</v>
      </c>
      <c r="M683" t="n">
        <v>0</v>
      </c>
      <c r="N683" t="n">
        <v>0</v>
      </c>
      <c r="O683" t="n">
        <v>0</v>
      </c>
      <c r="P683" t="n">
        <v>0</v>
      </c>
      <c r="Q683" t="n">
        <v>0</v>
      </c>
      <c r="R683" s="2" t="inlineStr"/>
    </row>
    <row r="684" ht="15" customHeight="1">
      <c r="A684" t="inlineStr">
        <is>
          <t>A 44980-2023</t>
        </is>
      </c>
      <c r="B684" s="1" t="n">
        <v>45190</v>
      </c>
      <c r="C684" s="1" t="n">
        <v>46041</v>
      </c>
      <c r="D684" t="inlineStr">
        <is>
          <t>JÄMTLANDS LÄN</t>
        </is>
      </c>
      <c r="E684" t="inlineStr">
        <is>
          <t>RAGUNDA</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27777-2022</t>
        </is>
      </c>
      <c r="B685" s="1" t="n">
        <v>44743</v>
      </c>
      <c r="C685" s="1" t="n">
        <v>46041</v>
      </c>
      <c r="D685" t="inlineStr">
        <is>
          <t>JÄMTLANDS LÄN</t>
        </is>
      </c>
      <c r="E685" t="inlineStr">
        <is>
          <t>RAGUNDA</t>
        </is>
      </c>
      <c r="G685" t="n">
        <v>1.5</v>
      </c>
      <c r="H685" t="n">
        <v>0</v>
      </c>
      <c r="I685" t="n">
        <v>0</v>
      </c>
      <c r="J685" t="n">
        <v>0</v>
      </c>
      <c r="K685" t="n">
        <v>0</v>
      </c>
      <c r="L685" t="n">
        <v>0</v>
      </c>
      <c r="M685" t="n">
        <v>0</v>
      </c>
      <c r="N685" t="n">
        <v>0</v>
      </c>
      <c r="O685" t="n">
        <v>0</v>
      </c>
      <c r="P685" t="n">
        <v>0</v>
      </c>
      <c r="Q685" t="n">
        <v>0</v>
      </c>
      <c r="R685" s="2" t="inlineStr"/>
    </row>
    <row r="686" ht="15" customHeight="1">
      <c r="A686" t="inlineStr">
        <is>
          <t>A 51245-2024</t>
        </is>
      </c>
      <c r="B686" s="1" t="n">
        <v>45603.67850694444</v>
      </c>
      <c r="C686" s="1" t="n">
        <v>46041</v>
      </c>
      <c r="D686" t="inlineStr">
        <is>
          <t>JÄMTLANDS LÄN</t>
        </is>
      </c>
      <c r="E686" t="inlineStr">
        <is>
          <t>RAGUNDA</t>
        </is>
      </c>
      <c r="G686" t="n">
        <v>0.9</v>
      </c>
      <c r="H686" t="n">
        <v>0</v>
      </c>
      <c r="I686" t="n">
        <v>0</v>
      </c>
      <c r="J686" t="n">
        <v>0</v>
      </c>
      <c r="K686" t="n">
        <v>0</v>
      </c>
      <c r="L686" t="n">
        <v>0</v>
      </c>
      <c r="M686" t="n">
        <v>0</v>
      </c>
      <c r="N686" t="n">
        <v>0</v>
      </c>
      <c r="O686" t="n">
        <v>0</v>
      </c>
      <c r="P686" t="n">
        <v>0</v>
      </c>
      <c r="Q686" t="n">
        <v>0</v>
      </c>
      <c r="R686" s="2" t="inlineStr"/>
    </row>
    <row r="687" ht="15" customHeight="1">
      <c r="A687" t="inlineStr">
        <is>
          <t>A 49059-2025</t>
        </is>
      </c>
      <c r="B687" s="1" t="n">
        <v>45937.64123842592</v>
      </c>
      <c r="C687" s="1" t="n">
        <v>46041</v>
      </c>
      <c r="D687" t="inlineStr">
        <is>
          <t>JÄMTLANDS LÄN</t>
        </is>
      </c>
      <c r="E687" t="inlineStr">
        <is>
          <t>RAGUNDA</t>
        </is>
      </c>
      <c r="G687" t="n">
        <v>2.1</v>
      </c>
      <c r="H687" t="n">
        <v>0</v>
      </c>
      <c r="I687" t="n">
        <v>0</v>
      </c>
      <c r="J687" t="n">
        <v>0</v>
      </c>
      <c r="K687" t="n">
        <v>0</v>
      </c>
      <c r="L687" t="n">
        <v>0</v>
      </c>
      <c r="M687" t="n">
        <v>0</v>
      </c>
      <c r="N687" t="n">
        <v>0</v>
      </c>
      <c r="O687" t="n">
        <v>0</v>
      </c>
      <c r="P687" t="n">
        <v>0</v>
      </c>
      <c r="Q687" t="n">
        <v>0</v>
      </c>
      <c r="R687" s="2" t="inlineStr"/>
    </row>
    <row r="688" ht="15" customHeight="1">
      <c r="A688" t="inlineStr">
        <is>
          <t>A 49092-2025</t>
        </is>
      </c>
      <c r="B688" s="1" t="n">
        <v>45937.67792824074</v>
      </c>
      <c r="C688" s="1" t="n">
        <v>46041</v>
      </c>
      <c r="D688" t="inlineStr">
        <is>
          <t>JÄMTLANDS LÄN</t>
        </is>
      </c>
      <c r="E688" t="inlineStr">
        <is>
          <t>RAGUNDA</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49193-2025</t>
        </is>
      </c>
      <c r="B689" s="1" t="n">
        <v>45938.40831018519</v>
      </c>
      <c r="C689" s="1" t="n">
        <v>46041</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61923-2024</t>
        </is>
      </c>
      <c r="B690" s="1" t="n">
        <v>45653.44836805556</v>
      </c>
      <c r="C690" s="1" t="n">
        <v>46041</v>
      </c>
      <c r="D690" t="inlineStr">
        <is>
          <t>JÄMTLANDS LÄN</t>
        </is>
      </c>
      <c r="E690" t="inlineStr">
        <is>
          <t>RAGUNDA</t>
        </is>
      </c>
      <c r="F690" t="inlineStr">
        <is>
          <t>SCA</t>
        </is>
      </c>
      <c r="G690" t="n">
        <v>11.1</v>
      </c>
      <c r="H690" t="n">
        <v>0</v>
      </c>
      <c r="I690" t="n">
        <v>0</v>
      </c>
      <c r="J690" t="n">
        <v>0</v>
      </c>
      <c r="K690" t="n">
        <v>0</v>
      </c>
      <c r="L690" t="n">
        <v>0</v>
      </c>
      <c r="M690" t="n">
        <v>0</v>
      </c>
      <c r="N690" t="n">
        <v>0</v>
      </c>
      <c r="O690" t="n">
        <v>0</v>
      </c>
      <c r="P690" t="n">
        <v>0</v>
      </c>
      <c r="Q690" t="n">
        <v>0</v>
      </c>
      <c r="R690" s="2" t="inlineStr"/>
    </row>
    <row r="691" ht="15" customHeight="1">
      <c r="A691" t="inlineStr">
        <is>
          <t>A 50503-2024</t>
        </is>
      </c>
      <c r="B691" s="1" t="n">
        <v>45601.5315625</v>
      </c>
      <c r="C691" s="1" t="n">
        <v>46041</v>
      </c>
      <c r="D691" t="inlineStr">
        <is>
          <t>JÄMTLANDS LÄN</t>
        </is>
      </c>
      <c r="E691" t="inlineStr">
        <is>
          <t>RAGUNDA</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59556-2024</t>
        </is>
      </c>
      <c r="B692" s="1" t="n">
        <v>45638.63600694444</v>
      </c>
      <c r="C692" s="1" t="n">
        <v>46041</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13302-2022</t>
        </is>
      </c>
      <c r="B693" s="1" t="n">
        <v>44644</v>
      </c>
      <c r="C693" s="1" t="n">
        <v>46041</v>
      </c>
      <c r="D693" t="inlineStr">
        <is>
          <t>JÄMTLANDS LÄN</t>
        </is>
      </c>
      <c r="E693" t="inlineStr">
        <is>
          <t>RAGUNDA</t>
        </is>
      </c>
      <c r="F693" t="inlineStr">
        <is>
          <t>SCA</t>
        </is>
      </c>
      <c r="G693" t="n">
        <v>35.6</v>
      </c>
      <c r="H693" t="n">
        <v>0</v>
      </c>
      <c r="I693" t="n">
        <v>0</v>
      </c>
      <c r="J693" t="n">
        <v>0</v>
      </c>
      <c r="K693" t="n">
        <v>0</v>
      </c>
      <c r="L693" t="n">
        <v>0</v>
      </c>
      <c r="M693" t="n">
        <v>0</v>
      </c>
      <c r="N693" t="n">
        <v>0</v>
      </c>
      <c r="O693" t="n">
        <v>0</v>
      </c>
      <c r="P693" t="n">
        <v>0</v>
      </c>
      <c r="Q693" t="n">
        <v>0</v>
      </c>
      <c r="R693" s="2" t="inlineStr"/>
    </row>
    <row r="694" ht="15" customHeight="1">
      <c r="A694" t="inlineStr">
        <is>
          <t>A 49290-2025</t>
        </is>
      </c>
      <c r="B694" s="1" t="n">
        <v>45938.53168981482</v>
      </c>
      <c r="C694" s="1" t="n">
        <v>46041</v>
      </c>
      <c r="D694" t="inlineStr">
        <is>
          <t>JÄMTLANDS LÄN</t>
        </is>
      </c>
      <c r="E694" t="inlineStr">
        <is>
          <t>RAGUNDA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18225-2024</t>
        </is>
      </c>
      <c r="B695" s="1" t="n">
        <v>45420</v>
      </c>
      <c r="C695" s="1" t="n">
        <v>46041</v>
      </c>
      <c r="D695" t="inlineStr">
        <is>
          <t>JÄMTLANDS LÄN</t>
        </is>
      </c>
      <c r="E695" t="inlineStr">
        <is>
          <t>RAGUNDA</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49238-2025</t>
        </is>
      </c>
      <c r="B696" s="1" t="n">
        <v>45938.48231481481</v>
      </c>
      <c r="C696" s="1" t="n">
        <v>46041</v>
      </c>
      <c r="D696" t="inlineStr">
        <is>
          <t>JÄMTLANDS LÄN</t>
        </is>
      </c>
      <c r="E696" t="inlineStr">
        <is>
          <t>RAGUNDA</t>
        </is>
      </c>
      <c r="G696" t="n">
        <v>4.7</v>
      </c>
      <c r="H696" t="n">
        <v>0</v>
      </c>
      <c r="I696" t="n">
        <v>0</v>
      </c>
      <c r="J696" t="n">
        <v>0</v>
      </c>
      <c r="K696" t="n">
        <v>0</v>
      </c>
      <c r="L696" t="n">
        <v>0</v>
      </c>
      <c r="M696" t="n">
        <v>0</v>
      </c>
      <c r="N696" t="n">
        <v>0</v>
      </c>
      <c r="O696" t="n">
        <v>0</v>
      </c>
      <c r="P696" t="n">
        <v>0</v>
      </c>
      <c r="Q696" t="n">
        <v>0</v>
      </c>
      <c r="R696" s="2" t="inlineStr"/>
    </row>
    <row r="697" ht="15" customHeight="1">
      <c r="A697" t="inlineStr">
        <is>
          <t>A 55701-2021</t>
        </is>
      </c>
      <c r="B697" s="1" t="n">
        <v>44475</v>
      </c>
      <c r="C697" s="1" t="n">
        <v>46041</v>
      </c>
      <c r="D697" t="inlineStr">
        <is>
          <t>JÄMTLANDS LÄN</t>
        </is>
      </c>
      <c r="E697" t="inlineStr">
        <is>
          <t>RAGUNDA</t>
        </is>
      </c>
      <c r="G697" t="n">
        <v>5.6</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46041</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49639-2025</t>
        </is>
      </c>
      <c r="B699" s="1" t="n">
        <v>45939.61253472222</v>
      </c>
      <c r="C699" s="1" t="n">
        <v>46041</v>
      </c>
      <c r="D699" t="inlineStr">
        <is>
          <t>JÄMTLANDS LÄN</t>
        </is>
      </c>
      <c r="E699" t="inlineStr">
        <is>
          <t>RAGUNDA</t>
        </is>
      </c>
      <c r="F699" t="inlineStr">
        <is>
          <t>Kommuner</t>
        </is>
      </c>
      <c r="G699" t="n">
        <v>13.6</v>
      </c>
      <c r="H699" t="n">
        <v>0</v>
      </c>
      <c r="I699" t="n">
        <v>0</v>
      </c>
      <c r="J699" t="n">
        <v>0</v>
      </c>
      <c r="K699" t="n">
        <v>0</v>
      </c>
      <c r="L699" t="n">
        <v>0</v>
      </c>
      <c r="M699" t="n">
        <v>0</v>
      </c>
      <c r="N699" t="n">
        <v>0</v>
      </c>
      <c r="O699" t="n">
        <v>0</v>
      </c>
      <c r="P699" t="n">
        <v>0</v>
      </c>
      <c r="Q699" t="n">
        <v>0</v>
      </c>
      <c r="R699" s="2" t="inlineStr"/>
    </row>
    <row r="700" ht="15" customHeight="1">
      <c r="A700" t="inlineStr">
        <is>
          <t>A 7280-2024</t>
        </is>
      </c>
      <c r="B700" s="1" t="n">
        <v>45344</v>
      </c>
      <c r="C700" s="1" t="n">
        <v>46041</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21662-2023</t>
        </is>
      </c>
      <c r="B701" s="1" t="n">
        <v>45063</v>
      </c>
      <c r="C701" s="1" t="n">
        <v>46041</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61107-2024</t>
        </is>
      </c>
      <c r="B702" s="1" t="n">
        <v>45645.55665509259</v>
      </c>
      <c r="C702" s="1" t="n">
        <v>46041</v>
      </c>
      <c r="D702" t="inlineStr">
        <is>
          <t>JÄMTLANDS LÄN</t>
        </is>
      </c>
      <c r="E702" t="inlineStr">
        <is>
          <t>RAGUNDA</t>
        </is>
      </c>
      <c r="G702" t="n">
        <v>3.2</v>
      </c>
      <c r="H702" t="n">
        <v>0</v>
      </c>
      <c r="I702" t="n">
        <v>0</v>
      </c>
      <c r="J702" t="n">
        <v>0</v>
      </c>
      <c r="K702" t="n">
        <v>0</v>
      </c>
      <c r="L702" t="n">
        <v>0</v>
      </c>
      <c r="M702" t="n">
        <v>0</v>
      </c>
      <c r="N702" t="n">
        <v>0</v>
      </c>
      <c r="O702" t="n">
        <v>0</v>
      </c>
      <c r="P702" t="n">
        <v>0</v>
      </c>
      <c r="Q702" t="n">
        <v>0</v>
      </c>
      <c r="R702" s="2" t="inlineStr"/>
    </row>
    <row r="703" ht="15" customHeight="1">
      <c r="A703" t="inlineStr">
        <is>
          <t>A 5313-2025</t>
        </is>
      </c>
      <c r="B703" s="1" t="n">
        <v>45692.51069444444</v>
      </c>
      <c r="C703" s="1" t="n">
        <v>46041</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5357-2025</t>
        </is>
      </c>
      <c r="B704" s="1" t="n">
        <v>45692.57326388889</v>
      </c>
      <c r="C704" s="1" t="n">
        <v>46041</v>
      </c>
      <c r="D704" t="inlineStr">
        <is>
          <t>JÄMTLANDS LÄN</t>
        </is>
      </c>
      <c r="E704" t="inlineStr">
        <is>
          <t>RAGUNDA</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44494-2024</t>
        </is>
      </c>
      <c r="B705" s="1" t="n">
        <v>45574.39081018518</v>
      </c>
      <c r="C705" s="1" t="n">
        <v>46041</v>
      </c>
      <c r="D705" t="inlineStr">
        <is>
          <t>JÄMTLANDS LÄN</t>
        </is>
      </c>
      <c r="E705" t="inlineStr">
        <is>
          <t>RAGUNDA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12983-2025</t>
        </is>
      </c>
      <c r="B706" s="1" t="n">
        <v>45734.4633912037</v>
      </c>
      <c r="C706" s="1" t="n">
        <v>46041</v>
      </c>
      <c r="D706" t="inlineStr">
        <is>
          <t>JÄMTLANDS LÄN</t>
        </is>
      </c>
      <c r="E706" t="inlineStr">
        <is>
          <t>RAGUNDA</t>
        </is>
      </c>
      <c r="G706" t="n">
        <v>5.2</v>
      </c>
      <c r="H706" t="n">
        <v>0</v>
      </c>
      <c r="I706" t="n">
        <v>0</v>
      </c>
      <c r="J706" t="n">
        <v>0</v>
      </c>
      <c r="K706" t="n">
        <v>0</v>
      </c>
      <c r="L706" t="n">
        <v>0</v>
      </c>
      <c r="M706" t="n">
        <v>0</v>
      </c>
      <c r="N706" t="n">
        <v>0</v>
      </c>
      <c r="O706" t="n">
        <v>0</v>
      </c>
      <c r="P706" t="n">
        <v>0</v>
      </c>
      <c r="Q706" t="n">
        <v>0</v>
      </c>
      <c r="R706" s="2" t="inlineStr"/>
    </row>
    <row r="707" ht="15" customHeight="1">
      <c r="A707" t="inlineStr">
        <is>
          <t>A 24171-2021</t>
        </is>
      </c>
      <c r="B707" s="1" t="n">
        <v>44336</v>
      </c>
      <c r="C707" s="1" t="n">
        <v>46041</v>
      </c>
      <c r="D707" t="inlineStr">
        <is>
          <t>JÄMTLANDS LÄN</t>
        </is>
      </c>
      <c r="E707" t="inlineStr">
        <is>
          <t>RAGUNDA</t>
        </is>
      </c>
      <c r="G707" t="n">
        <v>3.6</v>
      </c>
      <c r="H707" t="n">
        <v>0</v>
      </c>
      <c r="I707" t="n">
        <v>0</v>
      </c>
      <c r="J707" t="n">
        <v>0</v>
      </c>
      <c r="K707" t="n">
        <v>0</v>
      </c>
      <c r="L707" t="n">
        <v>0</v>
      </c>
      <c r="M707" t="n">
        <v>0</v>
      </c>
      <c r="N707" t="n">
        <v>0</v>
      </c>
      <c r="O707" t="n">
        <v>0</v>
      </c>
      <c r="P707" t="n">
        <v>0</v>
      </c>
      <c r="Q707" t="n">
        <v>0</v>
      </c>
      <c r="R707" s="2" t="inlineStr"/>
    </row>
    <row r="708" ht="15" customHeight="1">
      <c r="A708" t="inlineStr">
        <is>
          <t>A 39626-2024</t>
        </is>
      </c>
      <c r="B708" s="1" t="n">
        <v>45552.44096064815</v>
      </c>
      <c r="C708" s="1" t="n">
        <v>46041</v>
      </c>
      <c r="D708" t="inlineStr">
        <is>
          <t>JÄMTLANDS LÄN</t>
        </is>
      </c>
      <c r="E708" t="inlineStr">
        <is>
          <t>RAGUNDA</t>
        </is>
      </c>
      <c r="G708" t="n">
        <v>23.5</v>
      </c>
      <c r="H708" t="n">
        <v>0</v>
      </c>
      <c r="I708" t="n">
        <v>0</v>
      </c>
      <c r="J708" t="n">
        <v>0</v>
      </c>
      <c r="K708" t="n">
        <v>0</v>
      </c>
      <c r="L708" t="n">
        <v>0</v>
      </c>
      <c r="M708" t="n">
        <v>0</v>
      </c>
      <c r="N708" t="n">
        <v>0</v>
      </c>
      <c r="O708" t="n">
        <v>0</v>
      </c>
      <c r="P708" t="n">
        <v>0</v>
      </c>
      <c r="Q708" t="n">
        <v>0</v>
      </c>
      <c r="R708" s="2" t="inlineStr"/>
    </row>
    <row r="709" ht="15" customHeight="1">
      <c r="A709" t="inlineStr">
        <is>
          <t>A 34088-2025</t>
        </is>
      </c>
      <c r="B709" s="1" t="n">
        <v>45845</v>
      </c>
      <c r="C709" s="1" t="n">
        <v>46041</v>
      </c>
      <c r="D709" t="inlineStr">
        <is>
          <t>JÄMTLANDS LÄN</t>
        </is>
      </c>
      <c r="E709" t="inlineStr">
        <is>
          <t>RAGUNDA</t>
        </is>
      </c>
      <c r="G709" t="n">
        <v>1.4</v>
      </c>
      <c r="H709" t="n">
        <v>0</v>
      </c>
      <c r="I709" t="n">
        <v>0</v>
      </c>
      <c r="J709" t="n">
        <v>0</v>
      </c>
      <c r="K709" t="n">
        <v>0</v>
      </c>
      <c r="L709" t="n">
        <v>0</v>
      </c>
      <c r="M709" t="n">
        <v>0</v>
      </c>
      <c r="N709" t="n">
        <v>0</v>
      </c>
      <c r="O709" t="n">
        <v>0</v>
      </c>
      <c r="P709" t="n">
        <v>0</v>
      </c>
      <c r="Q709" t="n">
        <v>0</v>
      </c>
      <c r="R709" s="2" t="inlineStr"/>
    </row>
    <row r="710" ht="15" customHeight="1">
      <c r="A710" t="inlineStr">
        <is>
          <t>A 45631-2024</t>
        </is>
      </c>
      <c r="B710" s="1" t="n">
        <v>45579.47052083333</v>
      </c>
      <c r="C710" s="1" t="n">
        <v>46041</v>
      </c>
      <c r="D710" t="inlineStr">
        <is>
          <t>JÄMTLANDS LÄN</t>
        </is>
      </c>
      <c r="E710" t="inlineStr">
        <is>
          <t>RAGUNDA</t>
        </is>
      </c>
      <c r="G710" t="n">
        <v>15.1</v>
      </c>
      <c r="H710" t="n">
        <v>0</v>
      </c>
      <c r="I710" t="n">
        <v>0</v>
      </c>
      <c r="J710" t="n">
        <v>0</v>
      </c>
      <c r="K710" t="n">
        <v>0</v>
      </c>
      <c r="L710" t="n">
        <v>0</v>
      </c>
      <c r="M710" t="n">
        <v>0</v>
      </c>
      <c r="N710" t="n">
        <v>0</v>
      </c>
      <c r="O710" t="n">
        <v>0</v>
      </c>
      <c r="P710" t="n">
        <v>0</v>
      </c>
      <c r="Q710" t="n">
        <v>0</v>
      </c>
      <c r="R710" s="2" t="inlineStr"/>
    </row>
    <row r="711" ht="15" customHeight="1">
      <c r="A711" t="inlineStr">
        <is>
          <t>A 62135-2024</t>
        </is>
      </c>
      <c r="B711" s="1" t="n">
        <v>45656.64223379629</v>
      </c>
      <c r="C711" s="1" t="n">
        <v>46041</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49994-2025</t>
        </is>
      </c>
      <c r="B712" s="1" t="n">
        <v>45942.96922453704</v>
      </c>
      <c r="C712" s="1" t="n">
        <v>46041</v>
      </c>
      <c r="D712" t="inlineStr">
        <is>
          <t>JÄMTLANDS LÄN</t>
        </is>
      </c>
      <c r="E712" t="inlineStr">
        <is>
          <t>RAGUNDA</t>
        </is>
      </c>
      <c r="G712" t="n">
        <v>4.5</v>
      </c>
      <c r="H712" t="n">
        <v>0</v>
      </c>
      <c r="I712" t="n">
        <v>0</v>
      </c>
      <c r="J712" t="n">
        <v>0</v>
      </c>
      <c r="K712" t="n">
        <v>0</v>
      </c>
      <c r="L712" t="n">
        <v>0</v>
      </c>
      <c r="M712" t="n">
        <v>0</v>
      </c>
      <c r="N712" t="n">
        <v>0</v>
      </c>
      <c r="O712" t="n">
        <v>0</v>
      </c>
      <c r="P712" t="n">
        <v>0</v>
      </c>
      <c r="Q712" t="n">
        <v>0</v>
      </c>
      <c r="R712" s="2" t="inlineStr"/>
    </row>
    <row r="713" ht="15" customHeight="1">
      <c r="A713" t="inlineStr">
        <is>
          <t>A 49995-2025</t>
        </is>
      </c>
      <c r="B713" s="1" t="n">
        <v>45943.00986111111</v>
      </c>
      <c r="C713" s="1" t="n">
        <v>46041</v>
      </c>
      <c r="D713" t="inlineStr">
        <is>
          <t>JÄMTLANDS LÄN</t>
        </is>
      </c>
      <c r="E713" t="inlineStr">
        <is>
          <t>RAGUNDA</t>
        </is>
      </c>
      <c r="G713" t="n">
        <v>2.5</v>
      </c>
      <c r="H713" t="n">
        <v>0</v>
      </c>
      <c r="I713" t="n">
        <v>0</v>
      </c>
      <c r="J713" t="n">
        <v>0</v>
      </c>
      <c r="K713" t="n">
        <v>0</v>
      </c>
      <c r="L713" t="n">
        <v>0</v>
      </c>
      <c r="M713" t="n">
        <v>0</v>
      </c>
      <c r="N713" t="n">
        <v>0</v>
      </c>
      <c r="O713" t="n">
        <v>0</v>
      </c>
      <c r="P713" t="n">
        <v>0</v>
      </c>
      <c r="Q713" t="n">
        <v>0</v>
      </c>
      <c r="R713" s="2" t="inlineStr"/>
    </row>
    <row r="714" ht="15" customHeight="1">
      <c r="A714" t="inlineStr">
        <is>
          <t>A 8802-2022</t>
        </is>
      </c>
      <c r="B714" s="1" t="n">
        <v>44614</v>
      </c>
      <c r="C714" s="1" t="n">
        <v>46041</v>
      </c>
      <c r="D714" t="inlineStr">
        <is>
          <t>JÄMTLANDS LÄN</t>
        </is>
      </c>
      <c r="E714" t="inlineStr">
        <is>
          <t>RAGUNDA</t>
        </is>
      </c>
      <c r="G714" t="n">
        <v>2.8</v>
      </c>
      <c r="H714" t="n">
        <v>0</v>
      </c>
      <c r="I714" t="n">
        <v>0</v>
      </c>
      <c r="J714" t="n">
        <v>0</v>
      </c>
      <c r="K714" t="n">
        <v>0</v>
      </c>
      <c r="L714" t="n">
        <v>0</v>
      </c>
      <c r="M714" t="n">
        <v>0</v>
      </c>
      <c r="N714" t="n">
        <v>0</v>
      </c>
      <c r="O714" t="n">
        <v>0</v>
      </c>
      <c r="P714" t="n">
        <v>0</v>
      </c>
      <c r="Q714" t="n">
        <v>0</v>
      </c>
      <c r="R714" s="2" t="inlineStr"/>
    </row>
    <row r="715" ht="15" customHeight="1">
      <c r="A715" t="inlineStr">
        <is>
          <t>A 50098-2025</t>
        </is>
      </c>
      <c r="B715" s="1" t="n">
        <v>45943.51086805556</v>
      </c>
      <c r="C715" s="1" t="n">
        <v>46041</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46041</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9823-2025</t>
        </is>
      </c>
      <c r="B717" s="1" t="n">
        <v>45716</v>
      </c>
      <c r="C717" s="1" t="n">
        <v>46041</v>
      </c>
      <c r="D717" t="inlineStr">
        <is>
          <t>JÄMTLANDS LÄN</t>
        </is>
      </c>
      <c r="E717" t="inlineStr">
        <is>
          <t>RAGUNDA</t>
        </is>
      </c>
      <c r="F717" t="inlineStr">
        <is>
          <t>SCA</t>
        </is>
      </c>
      <c r="G717" t="n">
        <v>6.2</v>
      </c>
      <c r="H717" t="n">
        <v>0</v>
      </c>
      <c r="I717" t="n">
        <v>0</v>
      </c>
      <c r="J717" t="n">
        <v>0</v>
      </c>
      <c r="K717" t="n">
        <v>0</v>
      </c>
      <c r="L717" t="n">
        <v>0</v>
      </c>
      <c r="M717" t="n">
        <v>0</v>
      </c>
      <c r="N717" t="n">
        <v>0</v>
      </c>
      <c r="O717" t="n">
        <v>0</v>
      </c>
      <c r="P717" t="n">
        <v>0</v>
      </c>
      <c r="Q717" t="n">
        <v>0</v>
      </c>
      <c r="R717" s="2" t="inlineStr"/>
    </row>
    <row r="718" ht="15" customHeight="1">
      <c r="A718" t="inlineStr">
        <is>
          <t>A 9847-2025</t>
        </is>
      </c>
      <c r="B718" s="1" t="n">
        <v>45716.61487268518</v>
      </c>
      <c r="C718" s="1" t="n">
        <v>46041</v>
      </c>
      <c r="D718" t="inlineStr">
        <is>
          <t>JÄMTLANDS LÄN</t>
        </is>
      </c>
      <c r="E718" t="inlineStr">
        <is>
          <t>RAGUNDA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50081-2025</t>
        </is>
      </c>
      <c r="B719" s="1" t="n">
        <v>45943.46954861111</v>
      </c>
      <c r="C719" s="1" t="n">
        <v>46041</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20987-2023</t>
        </is>
      </c>
      <c r="B720" s="1" t="n">
        <v>45056</v>
      </c>
      <c r="C720" s="1" t="n">
        <v>46041</v>
      </c>
      <c r="D720" t="inlineStr">
        <is>
          <t>JÄMTLANDS LÄN</t>
        </is>
      </c>
      <c r="E720" t="inlineStr">
        <is>
          <t>RAGUNDA</t>
        </is>
      </c>
      <c r="G720" t="n">
        <v>1.1</v>
      </c>
      <c r="H720" t="n">
        <v>0</v>
      </c>
      <c r="I720" t="n">
        <v>0</v>
      </c>
      <c r="J720" t="n">
        <v>0</v>
      </c>
      <c r="K720" t="n">
        <v>0</v>
      </c>
      <c r="L720" t="n">
        <v>0</v>
      </c>
      <c r="M720" t="n">
        <v>0</v>
      </c>
      <c r="N720" t="n">
        <v>0</v>
      </c>
      <c r="O720" t="n">
        <v>0</v>
      </c>
      <c r="P720" t="n">
        <v>0</v>
      </c>
      <c r="Q720" t="n">
        <v>0</v>
      </c>
      <c r="R720" s="2" t="inlineStr"/>
    </row>
    <row r="721" ht="15" customHeight="1">
      <c r="A721" t="inlineStr">
        <is>
          <t>A 20994-2023</t>
        </is>
      </c>
      <c r="B721" s="1" t="n">
        <v>45056</v>
      </c>
      <c r="C721" s="1" t="n">
        <v>46041</v>
      </c>
      <c r="D721" t="inlineStr">
        <is>
          <t>JÄMTLANDS LÄN</t>
        </is>
      </c>
      <c r="E721" t="inlineStr">
        <is>
          <t>RAGUNDA</t>
        </is>
      </c>
      <c r="G721" t="n">
        <v>1.3</v>
      </c>
      <c r="H721" t="n">
        <v>0</v>
      </c>
      <c r="I721" t="n">
        <v>0</v>
      </c>
      <c r="J721" t="n">
        <v>0</v>
      </c>
      <c r="K721" t="n">
        <v>0</v>
      </c>
      <c r="L721" t="n">
        <v>0</v>
      </c>
      <c r="M721" t="n">
        <v>0</v>
      </c>
      <c r="N721" t="n">
        <v>0</v>
      </c>
      <c r="O721" t="n">
        <v>0</v>
      </c>
      <c r="P721" t="n">
        <v>0</v>
      </c>
      <c r="Q721" t="n">
        <v>0</v>
      </c>
      <c r="R721" s="2" t="inlineStr"/>
    </row>
    <row r="722" ht="15" customHeight="1">
      <c r="A722" t="inlineStr">
        <is>
          <t>A 50260-2025</t>
        </is>
      </c>
      <c r="B722" s="1" t="n">
        <v>45944.34515046296</v>
      </c>
      <c r="C722" s="1" t="n">
        <v>46041</v>
      </c>
      <c r="D722" t="inlineStr">
        <is>
          <t>JÄMTLANDS LÄN</t>
        </is>
      </c>
      <c r="E722" t="inlineStr">
        <is>
          <t>RAGUNDA</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50215-2025</t>
        </is>
      </c>
      <c r="B723" s="1" t="n">
        <v>45943.67842592593</v>
      </c>
      <c r="C723" s="1" t="n">
        <v>46041</v>
      </c>
      <c r="D723" t="inlineStr">
        <is>
          <t>JÄMTLANDS LÄN</t>
        </is>
      </c>
      <c r="E723" t="inlineStr">
        <is>
          <t>RAGUNDA</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49991-2025</t>
        </is>
      </c>
      <c r="B724" s="1" t="n">
        <v>45942.91568287037</v>
      </c>
      <c r="C724" s="1" t="n">
        <v>46041</v>
      </c>
      <c r="D724" t="inlineStr">
        <is>
          <t>JÄMTLANDS LÄN</t>
        </is>
      </c>
      <c r="E724" t="inlineStr">
        <is>
          <t>RAGUNDA</t>
        </is>
      </c>
      <c r="G724" t="n">
        <v>9</v>
      </c>
      <c r="H724" t="n">
        <v>0</v>
      </c>
      <c r="I724" t="n">
        <v>0</v>
      </c>
      <c r="J724" t="n">
        <v>0</v>
      </c>
      <c r="K724" t="n">
        <v>0</v>
      </c>
      <c r="L724" t="n">
        <v>0</v>
      </c>
      <c r="M724" t="n">
        <v>0</v>
      </c>
      <c r="N724" t="n">
        <v>0</v>
      </c>
      <c r="O724" t="n">
        <v>0</v>
      </c>
      <c r="P724" t="n">
        <v>0</v>
      </c>
      <c r="Q724" t="n">
        <v>0</v>
      </c>
      <c r="R724" s="2" t="inlineStr"/>
    </row>
    <row r="725" ht="15" customHeight="1">
      <c r="A725" t="inlineStr">
        <is>
          <t>A 49993-2025</t>
        </is>
      </c>
      <c r="B725" s="1" t="n">
        <v>45942.94371527778</v>
      </c>
      <c r="C725" s="1" t="n">
        <v>46041</v>
      </c>
      <c r="D725" t="inlineStr">
        <is>
          <t>JÄMTLANDS LÄN</t>
        </is>
      </c>
      <c r="E725" t="inlineStr">
        <is>
          <t>RAGUNDA</t>
        </is>
      </c>
      <c r="G725" t="n">
        <v>1.5</v>
      </c>
      <c r="H725" t="n">
        <v>0</v>
      </c>
      <c r="I725" t="n">
        <v>0</v>
      </c>
      <c r="J725" t="n">
        <v>0</v>
      </c>
      <c r="K725" t="n">
        <v>0</v>
      </c>
      <c r="L725" t="n">
        <v>0</v>
      </c>
      <c r="M725" t="n">
        <v>0</v>
      </c>
      <c r="N725" t="n">
        <v>0</v>
      </c>
      <c r="O725" t="n">
        <v>0</v>
      </c>
      <c r="P725" t="n">
        <v>0</v>
      </c>
      <c r="Q725" t="n">
        <v>0</v>
      </c>
      <c r="R725" s="2" t="inlineStr"/>
    </row>
    <row r="726" ht="15" customHeight="1">
      <c r="A726" t="inlineStr">
        <is>
          <t>A 6490-2022</t>
        </is>
      </c>
      <c r="B726" s="1" t="n">
        <v>44601</v>
      </c>
      <c r="C726" s="1" t="n">
        <v>46041</v>
      </c>
      <c r="D726" t="inlineStr">
        <is>
          <t>JÄMTLANDS LÄN</t>
        </is>
      </c>
      <c r="E726" t="inlineStr">
        <is>
          <t>RAGUNDA</t>
        </is>
      </c>
      <c r="G726" t="n">
        <v>3.8</v>
      </c>
      <c r="H726" t="n">
        <v>0</v>
      </c>
      <c r="I726" t="n">
        <v>0</v>
      </c>
      <c r="J726" t="n">
        <v>0</v>
      </c>
      <c r="K726" t="n">
        <v>0</v>
      </c>
      <c r="L726" t="n">
        <v>0</v>
      </c>
      <c r="M726" t="n">
        <v>0</v>
      </c>
      <c r="N726" t="n">
        <v>0</v>
      </c>
      <c r="O726" t="n">
        <v>0</v>
      </c>
      <c r="P726" t="n">
        <v>0</v>
      </c>
      <c r="Q726" t="n">
        <v>0</v>
      </c>
      <c r="R726" s="2" t="inlineStr"/>
    </row>
    <row r="727" ht="15" customHeight="1">
      <c r="A727" t="inlineStr">
        <is>
          <t>A 23287-2024</t>
        </is>
      </c>
      <c r="B727" s="1" t="n">
        <v>45453.42041666667</v>
      </c>
      <c r="C727" s="1" t="n">
        <v>46041</v>
      </c>
      <c r="D727" t="inlineStr">
        <is>
          <t>JÄMTLANDS LÄN</t>
        </is>
      </c>
      <c r="E727" t="inlineStr">
        <is>
          <t>RAGUNDA</t>
        </is>
      </c>
      <c r="G727" t="n">
        <v>3.1</v>
      </c>
      <c r="H727" t="n">
        <v>0</v>
      </c>
      <c r="I727" t="n">
        <v>0</v>
      </c>
      <c r="J727" t="n">
        <v>0</v>
      </c>
      <c r="K727" t="n">
        <v>0</v>
      </c>
      <c r="L727" t="n">
        <v>0</v>
      </c>
      <c r="M727" t="n">
        <v>0</v>
      </c>
      <c r="N727" t="n">
        <v>0</v>
      </c>
      <c r="O727" t="n">
        <v>0</v>
      </c>
      <c r="P727" t="n">
        <v>0</v>
      </c>
      <c r="Q727" t="n">
        <v>0</v>
      </c>
      <c r="R727" s="2" t="inlineStr"/>
    </row>
    <row r="728" ht="15" customHeight="1">
      <c r="A728" t="inlineStr">
        <is>
          <t>A 53740-2024</t>
        </is>
      </c>
      <c r="B728" s="1" t="n">
        <v>45615.47091435185</v>
      </c>
      <c r="C728" s="1" t="n">
        <v>46041</v>
      </c>
      <c r="D728" t="inlineStr">
        <is>
          <t>JÄMTLANDS LÄN</t>
        </is>
      </c>
      <c r="E728" t="inlineStr">
        <is>
          <t>RAGUNDA</t>
        </is>
      </c>
      <c r="G728" t="n">
        <v>2.7</v>
      </c>
      <c r="H728" t="n">
        <v>0</v>
      </c>
      <c r="I728" t="n">
        <v>0</v>
      </c>
      <c r="J728" t="n">
        <v>0</v>
      </c>
      <c r="K728" t="n">
        <v>0</v>
      </c>
      <c r="L728" t="n">
        <v>0</v>
      </c>
      <c r="M728" t="n">
        <v>0</v>
      </c>
      <c r="N728" t="n">
        <v>0</v>
      </c>
      <c r="O728" t="n">
        <v>0</v>
      </c>
      <c r="P728" t="n">
        <v>0</v>
      </c>
      <c r="Q728" t="n">
        <v>0</v>
      </c>
      <c r="R728" s="2" t="inlineStr"/>
    </row>
    <row r="729" ht="15" customHeight="1">
      <c r="A729" t="inlineStr">
        <is>
          <t>A 50125-2025</t>
        </is>
      </c>
      <c r="B729" s="1" t="n">
        <v>45943.55262731481</v>
      </c>
      <c r="C729" s="1" t="n">
        <v>46041</v>
      </c>
      <c r="D729" t="inlineStr">
        <is>
          <t>JÄMTLANDS LÄN</t>
        </is>
      </c>
      <c r="E729" t="inlineStr">
        <is>
          <t>RAGUNDA</t>
        </is>
      </c>
      <c r="F729" t="inlineStr">
        <is>
          <t>Sveaskog</t>
        </is>
      </c>
      <c r="G729" t="n">
        <v>23.2</v>
      </c>
      <c r="H729" t="n">
        <v>0</v>
      </c>
      <c r="I729" t="n">
        <v>0</v>
      </c>
      <c r="J729" t="n">
        <v>0</v>
      </c>
      <c r="K729" t="n">
        <v>0</v>
      </c>
      <c r="L729" t="n">
        <v>0</v>
      </c>
      <c r="M729" t="n">
        <v>0</v>
      </c>
      <c r="N729" t="n">
        <v>0</v>
      </c>
      <c r="O729" t="n">
        <v>0</v>
      </c>
      <c r="P729" t="n">
        <v>0</v>
      </c>
      <c r="Q729" t="n">
        <v>0</v>
      </c>
      <c r="R729" s="2" t="inlineStr"/>
    </row>
    <row r="730" ht="15" customHeight="1">
      <c r="A730" t="inlineStr">
        <is>
          <t>A 1325-2025</t>
        </is>
      </c>
      <c r="B730" s="1" t="n">
        <v>45667.57342592593</v>
      </c>
      <c r="C730" s="1" t="n">
        <v>46041</v>
      </c>
      <c r="D730" t="inlineStr">
        <is>
          <t>JÄMTLANDS LÄN</t>
        </is>
      </c>
      <c r="E730" t="inlineStr">
        <is>
          <t>RAGUNDA</t>
        </is>
      </c>
      <c r="F730" t="inlineStr">
        <is>
          <t>SCA</t>
        </is>
      </c>
      <c r="G730" t="n">
        <v>20.2</v>
      </c>
      <c r="H730" t="n">
        <v>0</v>
      </c>
      <c r="I730" t="n">
        <v>0</v>
      </c>
      <c r="J730" t="n">
        <v>0</v>
      </c>
      <c r="K730" t="n">
        <v>0</v>
      </c>
      <c r="L730" t="n">
        <v>0</v>
      </c>
      <c r="M730" t="n">
        <v>0</v>
      </c>
      <c r="N730" t="n">
        <v>0</v>
      </c>
      <c r="O730" t="n">
        <v>0</v>
      </c>
      <c r="P730" t="n">
        <v>0</v>
      </c>
      <c r="Q730" t="n">
        <v>0</v>
      </c>
      <c r="R730" s="2" t="inlineStr"/>
    </row>
    <row r="731" ht="15" customHeight="1">
      <c r="A731" t="inlineStr">
        <is>
          <t>A 1326-2025</t>
        </is>
      </c>
      <c r="B731" s="1" t="n">
        <v>45667.57347222222</v>
      </c>
      <c r="C731" s="1" t="n">
        <v>46041</v>
      </c>
      <c r="D731" t="inlineStr">
        <is>
          <t>JÄMTLANDS LÄN</t>
        </is>
      </c>
      <c r="E731" t="inlineStr">
        <is>
          <t>RAGUNDA</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50080-2025</t>
        </is>
      </c>
      <c r="B732" s="1" t="n">
        <v>45943.469375</v>
      </c>
      <c r="C732" s="1" t="n">
        <v>46041</v>
      </c>
      <c r="D732" t="inlineStr">
        <is>
          <t>JÄMTLANDS LÄN</t>
        </is>
      </c>
      <c r="E732" t="inlineStr">
        <is>
          <t>RAGUNDA</t>
        </is>
      </c>
      <c r="F732" t="inlineStr">
        <is>
          <t>Naturvårdsverket</t>
        </is>
      </c>
      <c r="G732" t="n">
        <v>6.1</v>
      </c>
      <c r="H732" t="n">
        <v>0</v>
      </c>
      <c r="I732" t="n">
        <v>0</v>
      </c>
      <c r="J732" t="n">
        <v>0</v>
      </c>
      <c r="K732" t="n">
        <v>0</v>
      </c>
      <c r="L732" t="n">
        <v>0</v>
      </c>
      <c r="M732" t="n">
        <v>0</v>
      </c>
      <c r="N732" t="n">
        <v>0</v>
      </c>
      <c r="O732" t="n">
        <v>0</v>
      </c>
      <c r="P732" t="n">
        <v>0</v>
      </c>
      <c r="Q732" t="n">
        <v>0</v>
      </c>
      <c r="R732" s="2" t="inlineStr"/>
    </row>
    <row r="733" ht="15" customHeight="1">
      <c r="A733" t="inlineStr">
        <is>
          <t>A 50055-2025</t>
        </is>
      </c>
      <c r="B733" s="1" t="n">
        <v>45943.43287037037</v>
      </c>
      <c r="C733" s="1" t="n">
        <v>46041</v>
      </c>
      <c r="D733" t="inlineStr">
        <is>
          <t>JÄMTLANDS LÄN</t>
        </is>
      </c>
      <c r="E733" t="inlineStr">
        <is>
          <t>RAGUNDA</t>
        </is>
      </c>
      <c r="G733" t="n">
        <v>17.6</v>
      </c>
      <c r="H733" t="n">
        <v>0</v>
      </c>
      <c r="I733" t="n">
        <v>0</v>
      </c>
      <c r="J733" t="n">
        <v>0</v>
      </c>
      <c r="K733" t="n">
        <v>0</v>
      </c>
      <c r="L733" t="n">
        <v>0</v>
      </c>
      <c r="M733" t="n">
        <v>0</v>
      </c>
      <c r="N733" t="n">
        <v>0</v>
      </c>
      <c r="O733" t="n">
        <v>0</v>
      </c>
      <c r="P733" t="n">
        <v>0</v>
      </c>
      <c r="Q733" t="n">
        <v>0</v>
      </c>
      <c r="R733" s="2" t="inlineStr"/>
    </row>
    <row r="734" ht="15" customHeight="1">
      <c r="A734" t="inlineStr">
        <is>
          <t>A 33650-2025</t>
        </is>
      </c>
      <c r="B734" s="1" t="n">
        <v>45841</v>
      </c>
      <c r="C734" s="1" t="n">
        <v>46041</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14696-2022</t>
        </is>
      </c>
      <c r="B735" s="1" t="n">
        <v>44655</v>
      </c>
      <c r="C735" s="1" t="n">
        <v>46041</v>
      </c>
      <c r="D735" t="inlineStr">
        <is>
          <t>JÄMTLANDS LÄN</t>
        </is>
      </c>
      <c r="E735" t="inlineStr">
        <is>
          <t>RAGUNDA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50504-2025</t>
        </is>
      </c>
      <c r="B736" s="1" t="n">
        <v>45945.4284837963</v>
      </c>
      <c r="C736" s="1" t="n">
        <v>46041</v>
      </c>
      <c r="D736" t="inlineStr">
        <is>
          <t>JÄMTLANDS LÄN</t>
        </is>
      </c>
      <c r="E736" t="inlineStr">
        <is>
          <t>RAGUNDA</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50473-2025</t>
        </is>
      </c>
      <c r="B737" s="1" t="n">
        <v>45945.36520833334</v>
      </c>
      <c r="C737" s="1" t="n">
        <v>46041</v>
      </c>
      <c r="D737" t="inlineStr">
        <is>
          <t>JÄMTLANDS LÄN</t>
        </is>
      </c>
      <c r="E737" t="inlineStr">
        <is>
          <t>RAGUNDA</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50503-2025</t>
        </is>
      </c>
      <c r="B738" s="1" t="n">
        <v>45945.42746527777</v>
      </c>
      <c r="C738" s="1" t="n">
        <v>46041</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45952-2023</t>
        </is>
      </c>
      <c r="B739" s="1" t="n">
        <v>45195</v>
      </c>
      <c r="C739" s="1" t="n">
        <v>46041</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45954-2023</t>
        </is>
      </c>
      <c r="B740" s="1" t="n">
        <v>45195.94679398148</v>
      </c>
      <c r="C740" s="1" t="n">
        <v>46041</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45955-2023</t>
        </is>
      </c>
      <c r="B741" s="1" t="n">
        <v>45195.94685185186</v>
      </c>
      <c r="C741" s="1" t="n">
        <v>46041</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8787-2022</t>
        </is>
      </c>
      <c r="B742" s="1" t="n">
        <v>44614</v>
      </c>
      <c r="C742" s="1" t="n">
        <v>46041</v>
      </c>
      <c r="D742" t="inlineStr">
        <is>
          <t>JÄMTLANDS LÄN</t>
        </is>
      </c>
      <c r="E742" t="inlineStr">
        <is>
          <t>RAGUNDA</t>
        </is>
      </c>
      <c r="G742" t="n">
        <v>6.4</v>
      </c>
      <c r="H742" t="n">
        <v>0</v>
      </c>
      <c r="I742" t="n">
        <v>0</v>
      </c>
      <c r="J742" t="n">
        <v>0</v>
      </c>
      <c r="K742" t="n">
        <v>0</v>
      </c>
      <c r="L742" t="n">
        <v>0</v>
      </c>
      <c r="M742" t="n">
        <v>0</v>
      </c>
      <c r="N742" t="n">
        <v>0</v>
      </c>
      <c r="O742" t="n">
        <v>0</v>
      </c>
      <c r="P742" t="n">
        <v>0</v>
      </c>
      <c r="Q742" t="n">
        <v>0</v>
      </c>
      <c r="R742" s="2" t="inlineStr"/>
    </row>
    <row r="743" ht="15" customHeight="1">
      <c r="A743" t="inlineStr">
        <is>
          <t>A 5308-2025</t>
        </is>
      </c>
      <c r="B743" s="1" t="n">
        <v>45692.49008101852</v>
      </c>
      <c r="C743" s="1" t="n">
        <v>46041</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50719-2025</t>
        </is>
      </c>
      <c r="B744" s="1" t="n">
        <v>45946.34642361111</v>
      </c>
      <c r="C744" s="1" t="n">
        <v>46041</v>
      </c>
      <c r="D744" t="inlineStr">
        <is>
          <t>JÄMTLANDS LÄN</t>
        </is>
      </c>
      <c r="E744" t="inlineStr">
        <is>
          <t>RAGUNDA</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45253-2023</t>
        </is>
      </c>
      <c r="B745" s="1" t="n">
        <v>45187</v>
      </c>
      <c r="C745" s="1" t="n">
        <v>46041</v>
      </c>
      <c r="D745" t="inlineStr">
        <is>
          <t>JÄMTLANDS LÄN</t>
        </is>
      </c>
      <c r="E745" t="inlineStr">
        <is>
          <t>RAGUNDA</t>
        </is>
      </c>
      <c r="G745" t="n">
        <v>3.3</v>
      </c>
      <c r="H745" t="n">
        <v>0</v>
      </c>
      <c r="I745" t="n">
        <v>0</v>
      </c>
      <c r="J745" t="n">
        <v>0</v>
      </c>
      <c r="K745" t="n">
        <v>0</v>
      </c>
      <c r="L745" t="n">
        <v>0</v>
      </c>
      <c r="M745" t="n">
        <v>0</v>
      </c>
      <c r="N745" t="n">
        <v>0</v>
      </c>
      <c r="O745" t="n">
        <v>0</v>
      </c>
      <c r="P745" t="n">
        <v>0</v>
      </c>
      <c r="Q745" t="n">
        <v>0</v>
      </c>
      <c r="R745" s="2" t="inlineStr"/>
    </row>
    <row r="746" ht="15" customHeight="1">
      <c r="A746" t="inlineStr">
        <is>
          <t>A 50711-2025</t>
        </is>
      </c>
      <c r="B746" s="1" t="n">
        <v>45946.34431712963</v>
      </c>
      <c r="C746" s="1" t="n">
        <v>46041</v>
      </c>
      <c r="D746" t="inlineStr">
        <is>
          <t>JÄMTLANDS LÄN</t>
        </is>
      </c>
      <c r="E746" t="inlineStr">
        <is>
          <t>RAGUNDA</t>
        </is>
      </c>
      <c r="F746" t="inlineStr">
        <is>
          <t>SCA</t>
        </is>
      </c>
      <c r="G746" t="n">
        <v>8</v>
      </c>
      <c r="H746" t="n">
        <v>0</v>
      </c>
      <c r="I746" t="n">
        <v>0</v>
      </c>
      <c r="J746" t="n">
        <v>0</v>
      </c>
      <c r="K746" t="n">
        <v>0</v>
      </c>
      <c r="L746" t="n">
        <v>0</v>
      </c>
      <c r="M746" t="n">
        <v>0</v>
      </c>
      <c r="N746" t="n">
        <v>0</v>
      </c>
      <c r="O746" t="n">
        <v>0</v>
      </c>
      <c r="P746" t="n">
        <v>0</v>
      </c>
      <c r="Q746" t="n">
        <v>0</v>
      </c>
      <c r="R746" s="2" t="inlineStr"/>
    </row>
    <row r="747" ht="15" customHeight="1">
      <c r="A747" t="inlineStr">
        <is>
          <t>A 2224-2024</t>
        </is>
      </c>
      <c r="B747" s="1" t="n">
        <v>45309.92524305556</v>
      </c>
      <c r="C747" s="1" t="n">
        <v>46041</v>
      </c>
      <c r="D747" t="inlineStr">
        <is>
          <t>JÄMTLANDS LÄN</t>
        </is>
      </c>
      <c r="E747" t="inlineStr">
        <is>
          <t>RAGUNDA</t>
        </is>
      </c>
      <c r="G747" t="n">
        <v>0.9</v>
      </c>
      <c r="H747" t="n">
        <v>0</v>
      </c>
      <c r="I747" t="n">
        <v>0</v>
      </c>
      <c r="J747" t="n">
        <v>0</v>
      </c>
      <c r="K747" t="n">
        <v>0</v>
      </c>
      <c r="L747" t="n">
        <v>0</v>
      </c>
      <c r="M747" t="n">
        <v>0</v>
      </c>
      <c r="N747" t="n">
        <v>0</v>
      </c>
      <c r="O747" t="n">
        <v>0</v>
      </c>
      <c r="P747" t="n">
        <v>0</v>
      </c>
      <c r="Q747" t="n">
        <v>0</v>
      </c>
      <c r="R747" s="2" t="inlineStr"/>
    </row>
    <row r="748" ht="15" customHeight="1">
      <c r="A748" t="inlineStr">
        <is>
          <t>A 50716-2025</t>
        </is>
      </c>
      <c r="B748" s="1" t="n">
        <v>45946.34572916666</v>
      </c>
      <c r="C748" s="1" t="n">
        <v>46041</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51395-2025</t>
        </is>
      </c>
      <c r="B749" s="1" t="n">
        <v>45950.46989583333</v>
      </c>
      <c r="C749" s="1" t="n">
        <v>46041</v>
      </c>
      <c r="D749" t="inlineStr">
        <is>
          <t>JÄMTLANDS LÄN</t>
        </is>
      </c>
      <c r="E749" t="inlineStr">
        <is>
          <t>RAGUNDA</t>
        </is>
      </c>
      <c r="F749" t="inlineStr">
        <is>
          <t>SCA</t>
        </is>
      </c>
      <c r="G749" t="n">
        <v>30.7</v>
      </c>
      <c r="H749" t="n">
        <v>0</v>
      </c>
      <c r="I749" t="n">
        <v>0</v>
      </c>
      <c r="J749" t="n">
        <v>0</v>
      </c>
      <c r="K749" t="n">
        <v>0</v>
      </c>
      <c r="L749" t="n">
        <v>0</v>
      </c>
      <c r="M749" t="n">
        <v>0</v>
      </c>
      <c r="N749" t="n">
        <v>0</v>
      </c>
      <c r="O749" t="n">
        <v>0</v>
      </c>
      <c r="P749" t="n">
        <v>0</v>
      </c>
      <c r="Q749" t="n">
        <v>0</v>
      </c>
      <c r="R749" s="2" t="inlineStr"/>
    </row>
    <row r="750" ht="15" customHeight="1">
      <c r="A750" t="inlineStr">
        <is>
          <t>A 3104-2025</t>
        </is>
      </c>
      <c r="B750" s="1" t="n">
        <v>45678.67761574074</v>
      </c>
      <c r="C750" s="1" t="n">
        <v>46041</v>
      </c>
      <c r="D750" t="inlineStr">
        <is>
          <t>JÄMTLANDS LÄN</t>
        </is>
      </c>
      <c r="E750" t="inlineStr">
        <is>
          <t>RAGUNDA</t>
        </is>
      </c>
      <c r="F750" t="inlineStr">
        <is>
          <t>SCA</t>
        </is>
      </c>
      <c r="G750" t="n">
        <v>46.2</v>
      </c>
      <c r="H750" t="n">
        <v>0</v>
      </c>
      <c r="I750" t="n">
        <v>0</v>
      </c>
      <c r="J750" t="n">
        <v>0</v>
      </c>
      <c r="K750" t="n">
        <v>0</v>
      </c>
      <c r="L750" t="n">
        <v>0</v>
      </c>
      <c r="M750" t="n">
        <v>0</v>
      </c>
      <c r="N750" t="n">
        <v>0</v>
      </c>
      <c r="O750" t="n">
        <v>0</v>
      </c>
      <c r="P750" t="n">
        <v>0</v>
      </c>
      <c r="Q750" t="n">
        <v>0</v>
      </c>
      <c r="R750" s="2" t="inlineStr"/>
    </row>
    <row r="751" ht="15" customHeight="1">
      <c r="A751" t="inlineStr">
        <is>
          <t>A 50985-2025</t>
        </is>
      </c>
      <c r="B751" s="1" t="n">
        <v>45947.34506944445</v>
      </c>
      <c r="C751" s="1" t="n">
        <v>46041</v>
      </c>
      <c r="D751" t="inlineStr">
        <is>
          <t>JÄMTLANDS LÄN</t>
        </is>
      </c>
      <c r="E751" t="inlineStr">
        <is>
          <t>RAGUNDA</t>
        </is>
      </c>
      <c r="F751" t="inlineStr">
        <is>
          <t>SCA</t>
        </is>
      </c>
      <c r="G751" t="n">
        <v>8</v>
      </c>
      <c r="H751" t="n">
        <v>0</v>
      </c>
      <c r="I751" t="n">
        <v>0</v>
      </c>
      <c r="J751" t="n">
        <v>0</v>
      </c>
      <c r="K751" t="n">
        <v>0</v>
      </c>
      <c r="L751" t="n">
        <v>0</v>
      </c>
      <c r="M751" t="n">
        <v>0</v>
      </c>
      <c r="N751" t="n">
        <v>0</v>
      </c>
      <c r="O751" t="n">
        <v>0</v>
      </c>
      <c r="P751" t="n">
        <v>0</v>
      </c>
      <c r="Q751" t="n">
        <v>0</v>
      </c>
      <c r="R751" s="2" t="inlineStr"/>
    </row>
    <row r="752" ht="15" customHeight="1">
      <c r="A752" t="inlineStr">
        <is>
          <t>A 51034-2025</t>
        </is>
      </c>
      <c r="B752" s="1" t="n">
        <v>45947.40670138889</v>
      </c>
      <c r="C752" s="1" t="n">
        <v>46041</v>
      </c>
      <c r="D752" t="inlineStr">
        <is>
          <t>JÄMTLANDS LÄN</t>
        </is>
      </c>
      <c r="E752" t="inlineStr">
        <is>
          <t>RAGUNDA</t>
        </is>
      </c>
      <c r="F752" t="inlineStr">
        <is>
          <t>SCA</t>
        </is>
      </c>
      <c r="G752" t="n">
        <v>44.1</v>
      </c>
      <c r="H752" t="n">
        <v>0</v>
      </c>
      <c r="I752" t="n">
        <v>0</v>
      </c>
      <c r="J752" t="n">
        <v>0</v>
      </c>
      <c r="K752" t="n">
        <v>0</v>
      </c>
      <c r="L752" t="n">
        <v>0</v>
      </c>
      <c r="M752" t="n">
        <v>0</v>
      </c>
      <c r="N752" t="n">
        <v>0</v>
      </c>
      <c r="O752" t="n">
        <v>0</v>
      </c>
      <c r="P752" t="n">
        <v>0</v>
      </c>
      <c r="Q752" t="n">
        <v>0</v>
      </c>
      <c r="R752" s="2" t="inlineStr"/>
    </row>
    <row r="753" ht="15" customHeight="1">
      <c r="A753" t="inlineStr">
        <is>
          <t>A 51019-2025</t>
        </is>
      </c>
      <c r="B753" s="1" t="n">
        <v>45947.38623842593</v>
      </c>
      <c r="C753" s="1" t="n">
        <v>46041</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51394-2025</t>
        </is>
      </c>
      <c r="B754" s="1" t="n">
        <v>45950.46972222222</v>
      </c>
      <c r="C754" s="1" t="n">
        <v>46041</v>
      </c>
      <c r="D754" t="inlineStr">
        <is>
          <t>JÄMTLANDS LÄN</t>
        </is>
      </c>
      <c r="E754" t="inlineStr">
        <is>
          <t>RAGUNDA</t>
        </is>
      </c>
      <c r="F754" t="inlineStr">
        <is>
          <t>SCA</t>
        </is>
      </c>
      <c r="G754" t="n">
        <v>36.5</v>
      </c>
      <c r="H754" t="n">
        <v>0</v>
      </c>
      <c r="I754" t="n">
        <v>0</v>
      </c>
      <c r="J754" t="n">
        <v>0</v>
      </c>
      <c r="K754" t="n">
        <v>0</v>
      </c>
      <c r="L754" t="n">
        <v>0</v>
      </c>
      <c r="M754" t="n">
        <v>0</v>
      </c>
      <c r="N754" t="n">
        <v>0</v>
      </c>
      <c r="O754" t="n">
        <v>0</v>
      </c>
      <c r="P754" t="n">
        <v>0</v>
      </c>
      <c r="Q754" t="n">
        <v>0</v>
      </c>
      <c r="R754" s="2" t="inlineStr"/>
    </row>
    <row r="755" ht="15" customHeight="1">
      <c r="A755" t="inlineStr">
        <is>
          <t>A 51484-2025</t>
        </is>
      </c>
      <c r="B755" s="1" t="n">
        <v>45950.62196759259</v>
      </c>
      <c r="C755" s="1" t="n">
        <v>46041</v>
      </c>
      <c r="D755" t="inlineStr">
        <is>
          <t>JÄMTLANDS LÄN</t>
        </is>
      </c>
      <c r="E755" t="inlineStr">
        <is>
          <t>RAGUNDA</t>
        </is>
      </c>
      <c r="F755" t="inlineStr">
        <is>
          <t>SCA</t>
        </is>
      </c>
      <c r="G755" t="n">
        <v>23.1</v>
      </c>
      <c r="H755" t="n">
        <v>0</v>
      </c>
      <c r="I755" t="n">
        <v>0</v>
      </c>
      <c r="J755" t="n">
        <v>0</v>
      </c>
      <c r="K755" t="n">
        <v>0</v>
      </c>
      <c r="L755" t="n">
        <v>0</v>
      </c>
      <c r="M755" t="n">
        <v>0</v>
      </c>
      <c r="N755" t="n">
        <v>0</v>
      </c>
      <c r="O755" t="n">
        <v>0</v>
      </c>
      <c r="P755" t="n">
        <v>0</v>
      </c>
      <c r="Q755" t="n">
        <v>0</v>
      </c>
      <c r="R755" s="2" t="inlineStr"/>
    </row>
    <row r="756" ht="15" customHeight="1">
      <c r="A756" t="inlineStr">
        <is>
          <t>A 51491-2025</t>
        </is>
      </c>
      <c r="B756" s="1" t="n">
        <v>45950.63362268519</v>
      </c>
      <c r="C756" s="1" t="n">
        <v>46041</v>
      </c>
      <c r="D756" t="inlineStr">
        <is>
          <t>JÄMTLANDS LÄN</t>
        </is>
      </c>
      <c r="E756" t="inlineStr">
        <is>
          <t>RAGUNDA</t>
        </is>
      </c>
      <c r="G756" t="n">
        <v>1.1</v>
      </c>
      <c r="H756" t="n">
        <v>0</v>
      </c>
      <c r="I756" t="n">
        <v>0</v>
      </c>
      <c r="J756" t="n">
        <v>0</v>
      </c>
      <c r="K756" t="n">
        <v>0</v>
      </c>
      <c r="L756" t="n">
        <v>0</v>
      </c>
      <c r="M756" t="n">
        <v>0</v>
      </c>
      <c r="N756" t="n">
        <v>0</v>
      </c>
      <c r="O756" t="n">
        <v>0</v>
      </c>
      <c r="P756" t="n">
        <v>0</v>
      </c>
      <c r="Q756" t="n">
        <v>0</v>
      </c>
      <c r="R756" s="2" t="inlineStr"/>
    </row>
    <row r="757" ht="15" customHeight="1">
      <c r="A757" t="inlineStr">
        <is>
          <t>A 36046-2023</t>
        </is>
      </c>
      <c r="B757" s="1" t="n">
        <v>45148</v>
      </c>
      <c r="C757" s="1" t="n">
        <v>46041</v>
      </c>
      <c r="D757" t="inlineStr">
        <is>
          <t>JÄMTLANDS LÄN</t>
        </is>
      </c>
      <c r="E757" t="inlineStr">
        <is>
          <t>RAGUNDA</t>
        </is>
      </c>
      <c r="G757" t="n">
        <v>1.9</v>
      </c>
      <c r="H757" t="n">
        <v>0</v>
      </c>
      <c r="I757" t="n">
        <v>0</v>
      </c>
      <c r="J757" t="n">
        <v>0</v>
      </c>
      <c r="K757" t="n">
        <v>0</v>
      </c>
      <c r="L757" t="n">
        <v>0</v>
      </c>
      <c r="M757" t="n">
        <v>0</v>
      </c>
      <c r="N757" t="n">
        <v>0</v>
      </c>
      <c r="O757" t="n">
        <v>0</v>
      </c>
      <c r="P757" t="n">
        <v>0</v>
      </c>
      <c r="Q757" t="n">
        <v>0</v>
      </c>
      <c r="R757" s="2" t="inlineStr"/>
    </row>
    <row r="758" ht="15" customHeight="1">
      <c r="A758" t="inlineStr">
        <is>
          <t>A 18193-2022</t>
        </is>
      </c>
      <c r="B758" s="1" t="n">
        <v>44684.94032407407</v>
      </c>
      <c r="C758" s="1" t="n">
        <v>46041</v>
      </c>
      <c r="D758" t="inlineStr">
        <is>
          <t>JÄMTLANDS LÄN</t>
        </is>
      </c>
      <c r="E758" t="inlineStr">
        <is>
          <t>RAGUNDA</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34323-2023</t>
        </is>
      </c>
      <c r="B759" s="1" t="n">
        <v>45138.94925925926</v>
      </c>
      <c r="C759" s="1" t="n">
        <v>46041</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58843-2024</t>
        </is>
      </c>
      <c r="B760" s="1" t="n">
        <v>45636.38599537037</v>
      </c>
      <c r="C760" s="1" t="n">
        <v>46041</v>
      </c>
      <c r="D760" t="inlineStr">
        <is>
          <t>JÄMTLANDS LÄN</t>
        </is>
      </c>
      <c r="E760" t="inlineStr">
        <is>
          <t>RAGUNDA</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45953-2023</t>
        </is>
      </c>
      <c r="B761" s="1" t="n">
        <v>45195.94672453704</v>
      </c>
      <c r="C761" s="1" t="n">
        <v>46041</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56702-2023</t>
        </is>
      </c>
      <c r="B762" s="1" t="n">
        <v>45243</v>
      </c>
      <c r="C762" s="1" t="n">
        <v>46041</v>
      </c>
      <c r="D762" t="inlineStr">
        <is>
          <t>JÄMTLANDS LÄN</t>
        </is>
      </c>
      <c r="E762" t="inlineStr">
        <is>
          <t>RAGUNDA</t>
        </is>
      </c>
      <c r="F762" t="inlineStr">
        <is>
          <t>SCA</t>
        </is>
      </c>
      <c r="G762" t="n">
        <v>10.3</v>
      </c>
      <c r="H762" t="n">
        <v>0</v>
      </c>
      <c r="I762" t="n">
        <v>0</v>
      </c>
      <c r="J762" t="n">
        <v>0</v>
      </c>
      <c r="K762" t="n">
        <v>0</v>
      </c>
      <c r="L762" t="n">
        <v>0</v>
      </c>
      <c r="M762" t="n">
        <v>0</v>
      </c>
      <c r="N762" t="n">
        <v>0</v>
      </c>
      <c r="O762" t="n">
        <v>0</v>
      </c>
      <c r="P762" t="n">
        <v>0</v>
      </c>
      <c r="Q762" t="n">
        <v>0</v>
      </c>
      <c r="R762" s="2" t="inlineStr"/>
    </row>
    <row r="763" ht="15" customHeight="1">
      <c r="A763" t="inlineStr">
        <is>
          <t>A 51702-2025</t>
        </is>
      </c>
      <c r="B763" s="1" t="n">
        <v>45951.55305555555</v>
      </c>
      <c r="C763" s="1" t="n">
        <v>46041</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63708-2023</t>
        </is>
      </c>
      <c r="B764" s="1" t="n">
        <v>45275.95060185185</v>
      </c>
      <c r="C764" s="1" t="n">
        <v>46041</v>
      </c>
      <c r="D764" t="inlineStr">
        <is>
          <t>JÄMTLANDS LÄN</t>
        </is>
      </c>
      <c r="E764" t="inlineStr">
        <is>
          <t>RAGUNDA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51678-2025</t>
        </is>
      </c>
      <c r="B765" s="1" t="n">
        <v>45951.51106481482</v>
      </c>
      <c r="C765" s="1" t="n">
        <v>46041</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30824-2023</t>
        </is>
      </c>
      <c r="B766" s="1" t="n">
        <v>45112.94303240741</v>
      </c>
      <c r="C766" s="1" t="n">
        <v>46041</v>
      </c>
      <c r="D766" t="inlineStr">
        <is>
          <t>JÄMTLANDS LÄN</t>
        </is>
      </c>
      <c r="E766" t="inlineStr">
        <is>
          <t>RAGUNDA</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30825-2023</t>
        </is>
      </c>
      <c r="B767" s="1" t="n">
        <v>45112.94310185185</v>
      </c>
      <c r="C767" s="1" t="n">
        <v>46041</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51906-2025</t>
        </is>
      </c>
      <c r="B768" s="1" t="n">
        <v>45952.4615162037</v>
      </c>
      <c r="C768" s="1" t="n">
        <v>46041</v>
      </c>
      <c r="D768" t="inlineStr">
        <is>
          <t>JÄMTLANDS LÄN</t>
        </is>
      </c>
      <c r="E768" t="inlineStr">
        <is>
          <t>RAGUNDA</t>
        </is>
      </c>
      <c r="G768" t="n">
        <v>4.5</v>
      </c>
      <c r="H768" t="n">
        <v>0</v>
      </c>
      <c r="I768" t="n">
        <v>0</v>
      </c>
      <c r="J768" t="n">
        <v>0</v>
      </c>
      <c r="K768" t="n">
        <v>0</v>
      </c>
      <c r="L768" t="n">
        <v>0</v>
      </c>
      <c r="M768" t="n">
        <v>0</v>
      </c>
      <c r="N768" t="n">
        <v>0</v>
      </c>
      <c r="O768" t="n">
        <v>0</v>
      </c>
      <c r="P768" t="n">
        <v>0</v>
      </c>
      <c r="Q768" t="n">
        <v>0</v>
      </c>
      <c r="R768" s="2" t="inlineStr"/>
    </row>
    <row r="769" ht="15" customHeight="1">
      <c r="A769" t="inlineStr">
        <is>
          <t>A 26651-2024</t>
        </is>
      </c>
      <c r="B769" s="1" t="n">
        <v>45469.94876157407</v>
      </c>
      <c r="C769" s="1" t="n">
        <v>46041</v>
      </c>
      <c r="D769" t="inlineStr">
        <is>
          <t>JÄMTLANDS LÄN</t>
        </is>
      </c>
      <c r="E769" t="inlineStr">
        <is>
          <t>RAGUNDA</t>
        </is>
      </c>
      <c r="F769" t="inlineStr">
        <is>
          <t>SCA</t>
        </is>
      </c>
      <c r="G769" t="n">
        <v>10.4</v>
      </c>
      <c r="H769" t="n">
        <v>0</v>
      </c>
      <c r="I769" t="n">
        <v>0</v>
      </c>
      <c r="J769" t="n">
        <v>0</v>
      </c>
      <c r="K769" t="n">
        <v>0</v>
      </c>
      <c r="L769" t="n">
        <v>0</v>
      </c>
      <c r="M769" t="n">
        <v>0</v>
      </c>
      <c r="N769" t="n">
        <v>0</v>
      </c>
      <c r="O769" t="n">
        <v>0</v>
      </c>
      <c r="P769" t="n">
        <v>0</v>
      </c>
      <c r="Q769" t="n">
        <v>0</v>
      </c>
      <c r="R769" s="2" t="inlineStr"/>
    </row>
    <row r="770" ht="15" customHeight="1">
      <c r="A770" t="inlineStr">
        <is>
          <t>A 51791-2025</t>
        </is>
      </c>
      <c r="B770" s="1" t="n">
        <v>45951.69833333333</v>
      </c>
      <c r="C770" s="1" t="n">
        <v>46041</v>
      </c>
      <c r="D770" t="inlineStr">
        <is>
          <t>JÄMTLANDS LÄN</t>
        </is>
      </c>
      <c r="E770" t="inlineStr">
        <is>
          <t>RAGUNDA</t>
        </is>
      </c>
      <c r="F770" t="inlineStr">
        <is>
          <t>SCA</t>
        </is>
      </c>
      <c r="G770" t="n">
        <v>43.3</v>
      </c>
      <c r="H770" t="n">
        <v>0</v>
      </c>
      <c r="I770" t="n">
        <v>0</v>
      </c>
      <c r="J770" t="n">
        <v>0</v>
      </c>
      <c r="K770" t="n">
        <v>0</v>
      </c>
      <c r="L770" t="n">
        <v>0</v>
      </c>
      <c r="M770" t="n">
        <v>0</v>
      </c>
      <c r="N770" t="n">
        <v>0</v>
      </c>
      <c r="O770" t="n">
        <v>0</v>
      </c>
      <c r="P770" t="n">
        <v>0</v>
      </c>
      <c r="Q770" t="n">
        <v>0</v>
      </c>
      <c r="R770" s="2" t="inlineStr"/>
    </row>
    <row r="771" ht="15" customHeight="1">
      <c r="A771" t="inlineStr">
        <is>
          <t>A 51592-2025</t>
        </is>
      </c>
      <c r="B771" s="1" t="n">
        <v>45951.36541666667</v>
      </c>
      <c r="C771" s="1" t="n">
        <v>46041</v>
      </c>
      <c r="D771" t="inlineStr">
        <is>
          <t>JÄMTLANDS LÄN</t>
        </is>
      </c>
      <c r="E771" t="inlineStr">
        <is>
          <t>RAGUNDA</t>
        </is>
      </c>
      <c r="G771" t="n">
        <v>1.3</v>
      </c>
      <c r="H771" t="n">
        <v>0</v>
      </c>
      <c r="I771" t="n">
        <v>0</v>
      </c>
      <c r="J771" t="n">
        <v>0</v>
      </c>
      <c r="K771" t="n">
        <v>0</v>
      </c>
      <c r="L771" t="n">
        <v>0</v>
      </c>
      <c r="M771" t="n">
        <v>0</v>
      </c>
      <c r="N771" t="n">
        <v>0</v>
      </c>
      <c r="O771" t="n">
        <v>0</v>
      </c>
      <c r="P771" t="n">
        <v>0</v>
      </c>
      <c r="Q771" t="n">
        <v>0</v>
      </c>
      <c r="R771" s="2" t="inlineStr"/>
    </row>
    <row r="772" ht="15" customHeight="1">
      <c r="A772" t="inlineStr">
        <is>
          <t>A 51593-2025</t>
        </is>
      </c>
      <c r="B772" s="1" t="n">
        <v>45951.36548611111</v>
      </c>
      <c r="C772" s="1" t="n">
        <v>46041</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31506-2024</t>
        </is>
      </c>
      <c r="B773" s="1" t="n">
        <v>45505</v>
      </c>
      <c r="C773" s="1" t="n">
        <v>46041</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55222-2024</t>
        </is>
      </c>
      <c r="B774" s="1" t="n">
        <v>45621.57395833333</v>
      </c>
      <c r="C774" s="1" t="n">
        <v>46041</v>
      </c>
      <c r="D774" t="inlineStr">
        <is>
          <t>JÄMTLANDS LÄN</t>
        </is>
      </c>
      <c r="E774" t="inlineStr">
        <is>
          <t>RAGUNDA</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52093-2025</t>
        </is>
      </c>
      <c r="B775" s="1" t="n">
        <v>45952.67865740741</v>
      </c>
      <c r="C775" s="1" t="n">
        <v>46041</v>
      </c>
      <c r="D775" t="inlineStr">
        <is>
          <t>JÄMTLANDS LÄN</t>
        </is>
      </c>
      <c r="E775" t="inlineStr">
        <is>
          <t>RAGUNDA</t>
        </is>
      </c>
      <c r="F775" t="inlineStr">
        <is>
          <t>SCA</t>
        </is>
      </c>
      <c r="G775" t="n">
        <v>22.7</v>
      </c>
      <c r="H775" t="n">
        <v>0</v>
      </c>
      <c r="I775" t="n">
        <v>0</v>
      </c>
      <c r="J775" t="n">
        <v>0</v>
      </c>
      <c r="K775" t="n">
        <v>0</v>
      </c>
      <c r="L775" t="n">
        <v>0</v>
      </c>
      <c r="M775" t="n">
        <v>0</v>
      </c>
      <c r="N775" t="n">
        <v>0</v>
      </c>
      <c r="O775" t="n">
        <v>0</v>
      </c>
      <c r="P775" t="n">
        <v>0</v>
      </c>
      <c r="Q775" t="n">
        <v>0</v>
      </c>
      <c r="R775" s="2" t="inlineStr"/>
    </row>
    <row r="776" ht="15" customHeight="1">
      <c r="A776" t="inlineStr">
        <is>
          <t>A 52122-2025</t>
        </is>
      </c>
      <c r="B776" s="1" t="n">
        <v>45952.71946759259</v>
      </c>
      <c r="C776" s="1" t="n">
        <v>46041</v>
      </c>
      <c r="D776" t="inlineStr">
        <is>
          <t>JÄMTLANDS LÄN</t>
        </is>
      </c>
      <c r="E776" t="inlineStr">
        <is>
          <t>RAGUNDA</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51882-2025</t>
        </is>
      </c>
      <c r="B777" s="1" t="n">
        <v>45952.40685185185</v>
      </c>
      <c r="C777" s="1" t="n">
        <v>46041</v>
      </c>
      <c r="D777" t="inlineStr">
        <is>
          <t>JÄMTLANDS LÄN</t>
        </is>
      </c>
      <c r="E777" t="inlineStr">
        <is>
          <t>RAGUNDA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51903-2025</t>
        </is>
      </c>
      <c r="B778" s="1" t="n">
        <v>45952.44857638889</v>
      </c>
      <c r="C778" s="1" t="n">
        <v>46041</v>
      </c>
      <c r="D778" t="inlineStr">
        <is>
          <t>JÄMTLANDS LÄN</t>
        </is>
      </c>
      <c r="E778" t="inlineStr">
        <is>
          <t>RAGUNDA</t>
        </is>
      </c>
      <c r="F778" t="inlineStr">
        <is>
          <t>SCA</t>
        </is>
      </c>
      <c r="G778" t="n">
        <v>20.8</v>
      </c>
      <c r="H778" t="n">
        <v>0</v>
      </c>
      <c r="I778" t="n">
        <v>0</v>
      </c>
      <c r="J778" t="n">
        <v>0</v>
      </c>
      <c r="K778" t="n">
        <v>0</v>
      </c>
      <c r="L778" t="n">
        <v>0</v>
      </c>
      <c r="M778" t="n">
        <v>0</v>
      </c>
      <c r="N778" t="n">
        <v>0</v>
      </c>
      <c r="O778" t="n">
        <v>0</v>
      </c>
      <c r="P778" t="n">
        <v>0</v>
      </c>
      <c r="Q778" t="n">
        <v>0</v>
      </c>
      <c r="R778" s="2" t="inlineStr"/>
    </row>
    <row r="779" ht="15" customHeight="1">
      <c r="A779" t="inlineStr">
        <is>
          <t>A 51932-2025</t>
        </is>
      </c>
      <c r="B779" s="1" t="n">
        <v>45952.51094907407</v>
      </c>
      <c r="C779" s="1" t="n">
        <v>46041</v>
      </c>
      <c r="D779" t="inlineStr">
        <is>
          <t>JÄMTLANDS LÄN</t>
        </is>
      </c>
      <c r="E779" t="inlineStr">
        <is>
          <t>RAGUNDA</t>
        </is>
      </c>
      <c r="F779" t="inlineStr">
        <is>
          <t>SCA</t>
        </is>
      </c>
      <c r="G779" t="n">
        <v>39.2</v>
      </c>
      <c r="H779" t="n">
        <v>0</v>
      </c>
      <c r="I779" t="n">
        <v>0</v>
      </c>
      <c r="J779" t="n">
        <v>0</v>
      </c>
      <c r="K779" t="n">
        <v>0</v>
      </c>
      <c r="L779" t="n">
        <v>0</v>
      </c>
      <c r="M779" t="n">
        <v>0</v>
      </c>
      <c r="N779" t="n">
        <v>0</v>
      </c>
      <c r="O779" t="n">
        <v>0</v>
      </c>
      <c r="P779" t="n">
        <v>0</v>
      </c>
      <c r="Q779" t="n">
        <v>0</v>
      </c>
      <c r="R779" s="2" t="inlineStr"/>
    </row>
    <row r="780" ht="15" customHeight="1">
      <c r="A780" t="inlineStr">
        <is>
          <t>A 44755-2024</t>
        </is>
      </c>
      <c r="B780" s="1" t="n">
        <v>45574.61184027778</v>
      </c>
      <c r="C780" s="1" t="n">
        <v>46041</v>
      </c>
      <c r="D780" t="inlineStr">
        <is>
          <t>JÄMTLANDS LÄN</t>
        </is>
      </c>
      <c r="E780" t="inlineStr">
        <is>
          <t>RAGUNDA</t>
        </is>
      </c>
      <c r="G780" t="n">
        <v>4.4</v>
      </c>
      <c r="H780" t="n">
        <v>0</v>
      </c>
      <c r="I780" t="n">
        <v>0</v>
      </c>
      <c r="J780" t="n">
        <v>0</v>
      </c>
      <c r="K780" t="n">
        <v>0</v>
      </c>
      <c r="L780" t="n">
        <v>0</v>
      </c>
      <c r="M780" t="n">
        <v>0</v>
      </c>
      <c r="N780" t="n">
        <v>0</v>
      </c>
      <c r="O780" t="n">
        <v>0</v>
      </c>
      <c r="P780" t="n">
        <v>0</v>
      </c>
      <c r="Q780" t="n">
        <v>0</v>
      </c>
      <c r="R780" s="2" t="inlineStr"/>
    </row>
    <row r="781" ht="15" customHeight="1">
      <c r="A781" t="inlineStr">
        <is>
          <t>A 44766-2024</t>
        </is>
      </c>
      <c r="B781" s="1" t="n">
        <v>45574.62297453704</v>
      </c>
      <c r="C781" s="1" t="n">
        <v>46041</v>
      </c>
      <c r="D781" t="inlineStr">
        <is>
          <t>JÄMTLANDS LÄN</t>
        </is>
      </c>
      <c r="E781" t="inlineStr">
        <is>
          <t>RAGUNDA</t>
        </is>
      </c>
      <c r="G781" t="n">
        <v>3.2</v>
      </c>
      <c r="H781" t="n">
        <v>0</v>
      </c>
      <c r="I781" t="n">
        <v>0</v>
      </c>
      <c r="J781" t="n">
        <v>0</v>
      </c>
      <c r="K781" t="n">
        <v>0</v>
      </c>
      <c r="L781" t="n">
        <v>0</v>
      </c>
      <c r="M781" t="n">
        <v>0</v>
      </c>
      <c r="N781" t="n">
        <v>0</v>
      </c>
      <c r="O781" t="n">
        <v>0</v>
      </c>
      <c r="P781" t="n">
        <v>0</v>
      </c>
      <c r="Q781" t="n">
        <v>0</v>
      </c>
      <c r="R781" s="2" t="inlineStr"/>
    </row>
    <row r="782" ht="15" customHeight="1">
      <c r="A782" t="inlineStr">
        <is>
          <t>A 44778-2024</t>
        </is>
      </c>
      <c r="B782" s="1" t="n">
        <v>45574.63355324074</v>
      </c>
      <c r="C782" s="1" t="n">
        <v>46041</v>
      </c>
      <c r="D782" t="inlineStr">
        <is>
          <t>JÄMTLANDS LÄN</t>
        </is>
      </c>
      <c r="E782" t="inlineStr">
        <is>
          <t>RAGUNDA</t>
        </is>
      </c>
      <c r="G782" t="n">
        <v>5.5</v>
      </c>
      <c r="H782" t="n">
        <v>0</v>
      </c>
      <c r="I782" t="n">
        <v>0</v>
      </c>
      <c r="J782" t="n">
        <v>0</v>
      </c>
      <c r="K782" t="n">
        <v>0</v>
      </c>
      <c r="L782" t="n">
        <v>0</v>
      </c>
      <c r="M782" t="n">
        <v>0</v>
      </c>
      <c r="N782" t="n">
        <v>0</v>
      </c>
      <c r="O782" t="n">
        <v>0</v>
      </c>
      <c r="P782" t="n">
        <v>0</v>
      </c>
      <c r="Q782" t="n">
        <v>0</v>
      </c>
      <c r="R782" s="2" t="inlineStr"/>
    </row>
    <row r="783" ht="15" customHeight="1">
      <c r="A783" t="inlineStr">
        <is>
          <t>A 8795-2022</t>
        </is>
      </c>
      <c r="B783" s="1" t="n">
        <v>44614</v>
      </c>
      <c r="C783" s="1" t="n">
        <v>46041</v>
      </c>
      <c r="D783" t="inlineStr">
        <is>
          <t>JÄMTLANDS LÄN</t>
        </is>
      </c>
      <c r="E783" t="inlineStr">
        <is>
          <t>RAGUNDA</t>
        </is>
      </c>
      <c r="G783" t="n">
        <v>3.9</v>
      </c>
      <c r="H783" t="n">
        <v>0</v>
      </c>
      <c r="I783" t="n">
        <v>0</v>
      </c>
      <c r="J783" t="n">
        <v>0</v>
      </c>
      <c r="K783" t="n">
        <v>0</v>
      </c>
      <c r="L783" t="n">
        <v>0</v>
      </c>
      <c r="M783" t="n">
        <v>0</v>
      </c>
      <c r="N783" t="n">
        <v>0</v>
      </c>
      <c r="O783" t="n">
        <v>0</v>
      </c>
      <c r="P783" t="n">
        <v>0</v>
      </c>
      <c r="Q783" t="n">
        <v>0</v>
      </c>
      <c r="R783" s="2" t="inlineStr"/>
    </row>
    <row r="784" ht="15" customHeight="1">
      <c r="A784" t="inlineStr">
        <is>
          <t>A 52317-2025</t>
        </is>
      </c>
      <c r="B784" s="1" t="n">
        <v>45953.65675925926</v>
      </c>
      <c r="C784" s="1" t="n">
        <v>46041</v>
      </c>
      <c r="D784" t="inlineStr">
        <is>
          <t>JÄMTLANDS LÄN</t>
        </is>
      </c>
      <c r="E784" t="inlineStr">
        <is>
          <t>RAGUNDA</t>
        </is>
      </c>
      <c r="F784" t="inlineStr">
        <is>
          <t>SCA</t>
        </is>
      </c>
      <c r="G784" t="n">
        <v>27.2</v>
      </c>
      <c r="H784" t="n">
        <v>0</v>
      </c>
      <c r="I784" t="n">
        <v>0</v>
      </c>
      <c r="J784" t="n">
        <v>0</v>
      </c>
      <c r="K784" t="n">
        <v>0</v>
      </c>
      <c r="L784" t="n">
        <v>0</v>
      </c>
      <c r="M784" t="n">
        <v>0</v>
      </c>
      <c r="N784" t="n">
        <v>0</v>
      </c>
      <c r="O784" t="n">
        <v>0</v>
      </c>
      <c r="P784" t="n">
        <v>0</v>
      </c>
      <c r="Q784" t="n">
        <v>0</v>
      </c>
      <c r="R784" s="2" t="inlineStr"/>
    </row>
    <row r="785" ht="15" customHeight="1">
      <c r="A785" t="inlineStr">
        <is>
          <t>A 52330-2025</t>
        </is>
      </c>
      <c r="B785" s="1" t="n">
        <v>45953.67752314815</v>
      </c>
      <c r="C785" s="1" t="n">
        <v>46041</v>
      </c>
      <c r="D785" t="inlineStr">
        <is>
          <t>JÄMTLANDS LÄN</t>
        </is>
      </c>
      <c r="E785" t="inlineStr">
        <is>
          <t>RAGUNDA</t>
        </is>
      </c>
      <c r="F785" t="inlineStr">
        <is>
          <t>SCA</t>
        </is>
      </c>
      <c r="G785" t="n">
        <v>10.1</v>
      </c>
      <c r="H785" t="n">
        <v>0</v>
      </c>
      <c r="I785" t="n">
        <v>0</v>
      </c>
      <c r="J785" t="n">
        <v>0</v>
      </c>
      <c r="K785" t="n">
        <v>0</v>
      </c>
      <c r="L785" t="n">
        <v>0</v>
      </c>
      <c r="M785" t="n">
        <v>0</v>
      </c>
      <c r="N785" t="n">
        <v>0</v>
      </c>
      <c r="O785" t="n">
        <v>0</v>
      </c>
      <c r="P785" t="n">
        <v>0</v>
      </c>
      <c r="Q785" t="n">
        <v>0</v>
      </c>
      <c r="R785" s="2" t="inlineStr"/>
    </row>
    <row r="786" ht="15" customHeight="1">
      <c r="A786" t="inlineStr">
        <is>
          <t>A 14905-2022</t>
        </is>
      </c>
      <c r="B786" s="1" t="n">
        <v>44656.94708333333</v>
      </c>
      <c r="C786" s="1" t="n">
        <v>46041</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52395-2025</t>
        </is>
      </c>
      <c r="B787" s="1" t="n">
        <v>45954.34487268519</v>
      </c>
      <c r="C787" s="1" t="n">
        <v>46041</v>
      </c>
      <c r="D787" t="inlineStr">
        <is>
          <t>JÄMTLANDS LÄN</t>
        </is>
      </c>
      <c r="E787" t="inlineStr">
        <is>
          <t>RAGUNDA</t>
        </is>
      </c>
      <c r="F787" t="inlineStr">
        <is>
          <t>SCA</t>
        </is>
      </c>
      <c r="G787" t="n">
        <v>14.2</v>
      </c>
      <c r="H787" t="n">
        <v>0</v>
      </c>
      <c r="I787" t="n">
        <v>0</v>
      </c>
      <c r="J787" t="n">
        <v>0</v>
      </c>
      <c r="K787" t="n">
        <v>0</v>
      </c>
      <c r="L787" t="n">
        <v>0</v>
      </c>
      <c r="M787" t="n">
        <v>0</v>
      </c>
      <c r="N787" t="n">
        <v>0</v>
      </c>
      <c r="O787" t="n">
        <v>0</v>
      </c>
      <c r="P787" t="n">
        <v>0</v>
      </c>
      <c r="Q787" t="n">
        <v>0</v>
      </c>
      <c r="R787" s="2" t="inlineStr"/>
    </row>
    <row r="788" ht="15" customHeight="1">
      <c r="A788" t="inlineStr">
        <is>
          <t>A 53032-2025</t>
        </is>
      </c>
      <c r="B788" s="1" t="n">
        <v>45958.34462962963</v>
      </c>
      <c r="C788" s="1" t="n">
        <v>46041</v>
      </c>
      <c r="D788" t="inlineStr">
        <is>
          <t>JÄMTLANDS LÄN</t>
        </is>
      </c>
      <c r="E788" t="inlineStr">
        <is>
          <t>RAGUNDA</t>
        </is>
      </c>
      <c r="G788" t="n">
        <v>2.6</v>
      </c>
      <c r="H788" t="n">
        <v>0</v>
      </c>
      <c r="I788" t="n">
        <v>0</v>
      </c>
      <c r="J788" t="n">
        <v>0</v>
      </c>
      <c r="K788" t="n">
        <v>0</v>
      </c>
      <c r="L788" t="n">
        <v>0</v>
      </c>
      <c r="M788" t="n">
        <v>0</v>
      </c>
      <c r="N788" t="n">
        <v>0</v>
      </c>
      <c r="O788" t="n">
        <v>0</v>
      </c>
      <c r="P788" t="n">
        <v>0</v>
      </c>
      <c r="Q788" t="n">
        <v>0</v>
      </c>
      <c r="R788" s="2" t="inlineStr"/>
    </row>
    <row r="789" ht="15" customHeight="1">
      <c r="A789" t="inlineStr">
        <is>
          <t>A 53076-2025</t>
        </is>
      </c>
      <c r="B789" s="1" t="n">
        <v>45958.38604166666</v>
      </c>
      <c r="C789" s="1" t="n">
        <v>46041</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60775-2025</t>
        </is>
      </c>
      <c r="B790" s="1" t="n">
        <v>45999.3905787037</v>
      </c>
      <c r="C790" s="1" t="n">
        <v>46041</v>
      </c>
      <c r="D790" t="inlineStr">
        <is>
          <t>JÄMTLANDS LÄN</t>
        </is>
      </c>
      <c r="E790" t="inlineStr">
        <is>
          <t>RAGUNDA</t>
        </is>
      </c>
      <c r="G790" t="n">
        <v>15.7</v>
      </c>
      <c r="H790" t="n">
        <v>0</v>
      </c>
      <c r="I790" t="n">
        <v>0</v>
      </c>
      <c r="J790" t="n">
        <v>0</v>
      </c>
      <c r="K790" t="n">
        <v>0</v>
      </c>
      <c r="L790" t="n">
        <v>0</v>
      </c>
      <c r="M790" t="n">
        <v>0</v>
      </c>
      <c r="N790" t="n">
        <v>0</v>
      </c>
      <c r="O790" t="n">
        <v>0</v>
      </c>
      <c r="P790" t="n">
        <v>0</v>
      </c>
      <c r="Q790" t="n">
        <v>0</v>
      </c>
      <c r="R790" s="2" t="inlineStr"/>
    </row>
    <row r="791" ht="15" customHeight="1">
      <c r="A791" t="inlineStr">
        <is>
          <t>A 6257-2025</t>
        </is>
      </c>
      <c r="B791" s="1" t="n">
        <v>45698.59409722222</v>
      </c>
      <c r="C791" s="1" t="n">
        <v>46041</v>
      </c>
      <c r="D791" t="inlineStr">
        <is>
          <t>JÄMTLANDS LÄN</t>
        </is>
      </c>
      <c r="E791" t="inlineStr">
        <is>
          <t>RAGUNDA</t>
        </is>
      </c>
      <c r="F791" t="inlineStr">
        <is>
          <t>SCA</t>
        </is>
      </c>
      <c r="G791" t="n">
        <v>7</v>
      </c>
      <c r="H791" t="n">
        <v>0</v>
      </c>
      <c r="I791" t="n">
        <v>0</v>
      </c>
      <c r="J791" t="n">
        <v>0</v>
      </c>
      <c r="K791" t="n">
        <v>0</v>
      </c>
      <c r="L791" t="n">
        <v>0</v>
      </c>
      <c r="M791" t="n">
        <v>0</v>
      </c>
      <c r="N791" t="n">
        <v>0</v>
      </c>
      <c r="O791" t="n">
        <v>0</v>
      </c>
      <c r="P791" t="n">
        <v>0</v>
      </c>
      <c r="Q791" t="n">
        <v>0</v>
      </c>
      <c r="R791" s="2" t="inlineStr"/>
    </row>
    <row r="792" ht="15" customHeight="1">
      <c r="A792" t="inlineStr">
        <is>
          <t>A 42508-2023</t>
        </is>
      </c>
      <c r="B792" s="1" t="n">
        <v>45180.95907407408</v>
      </c>
      <c r="C792" s="1" t="n">
        <v>46041</v>
      </c>
      <c r="D792" t="inlineStr">
        <is>
          <t>JÄMTLANDS LÄN</t>
        </is>
      </c>
      <c r="E792" t="inlineStr">
        <is>
          <t>RAGUNDA</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52394-2025</t>
        </is>
      </c>
      <c r="B793" s="1" t="n">
        <v>45954.34466435185</v>
      </c>
      <c r="C793" s="1" t="n">
        <v>46041</v>
      </c>
      <c r="D793" t="inlineStr">
        <is>
          <t>JÄMTLANDS LÄN</t>
        </is>
      </c>
      <c r="E793" t="inlineStr">
        <is>
          <t>RAGUNDA</t>
        </is>
      </c>
      <c r="F793" t="inlineStr">
        <is>
          <t>SCA</t>
        </is>
      </c>
      <c r="G793" t="n">
        <v>53.8</v>
      </c>
      <c r="H793" t="n">
        <v>0</v>
      </c>
      <c r="I793" t="n">
        <v>0</v>
      </c>
      <c r="J793" t="n">
        <v>0</v>
      </c>
      <c r="K793" t="n">
        <v>0</v>
      </c>
      <c r="L793" t="n">
        <v>0</v>
      </c>
      <c r="M793" t="n">
        <v>0</v>
      </c>
      <c r="N793" t="n">
        <v>0</v>
      </c>
      <c r="O793" t="n">
        <v>0</v>
      </c>
      <c r="P793" t="n">
        <v>0</v>
      </c>
      <c r="Q793" t="n">
        <v>0</v>
      </c>
      <c r="R793" s="2" t="inlineStr"/>
    </row>
    <row r="794" ht="15" customHeight="1">
      <c r="A794" t="inlineStr">
        <is>
          <t>A 61233-2025</t>
        </is>
      </c>
      <c r="B794" s="1" t="n">
        <v>46000.6359837963</v>
      </c>
      <c r="C794" s="1" t="n">
        <v>46041</v>
      </c>
      <c r="D794" t="inlineStr">
        <is>
          <t>JÄMTLANDS LÄN</t>
        </is>
      </c>
      <c r="E794" t="inlineStr">
        <is>
          <t>RAGUNDA</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60760-2025</t>
        </is>
      </c>
      <c r="B795" s="1" t="n">
        <v>45999.38597222222</v>
      </c>
      <c r="C795" s="1" t="n">
        <v>46041</v>
      </c>
      <c r="D795" t="inlineStr">
        <is>
          <t>JÄMTLANDS LÄN</t>
        </is>
      </c>
      <c r="E795" t="inlineStr">
        <is>
          <t>RAGUNDA</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59286-2023</t>
        </is>
      </c>
      <c r="B796" s="1" t="n">
        <v>45253</v>
      </c>
      <c r="C796" s="1" t="n">
        <v>46041</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52430-2025</t>
        </is>
      </c>
      <c r="B797" s="1" t="n">
        <v>45954.38592592593</v>
      </c>
      <c r="C797" s="1" t="n">
        <v>46041</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7284-2025</t>
        </is>
      </c>
      <c r="B798" s="1" t="n">
        <v>45702.63604166666</v>
      </c>
      <c r="C798" s="1" t="n">
        <v>46041</v>
      </c>
      <c r="D798" t="inlineStr">
        <is>
          <t>JÄMTLANDS LÄN</t>
        </is>
      </c>
      <c r="E798" t="inlineStr">
        <is>
          <t>RAGUNDA</t>
        </is>
      </c>
      <c r="F798" t="inlineStr">
        <is>
          <t>SCA</t>
        </is>
      </c>
      <c r="G798" t="n">
        <v>0.3</v>
      </c>
      <c r="H798" t="n">
        <v>0</v>
      </c>
      <c r="I798" t="n">
        <v>0</v>
      </c>
      <c r="J798" t="n">
        <v>0</v>
      </c>
      <c r="K798" t="n">
        <v>0</v>
      </c>
      <c r="L798" t="n">
        <v>0</v>
      </c>
      <c r="M798" t="n">
        <v>0</v>
      </c>
      <c r="N798" t="n">
        <v>0</v>
      </c>
      <c r="O798" t="n">
        <v>0</v>
      </c>
      <c r="P798" t="n">
        <v>0</v>
      </c>
      <c r="Q798" t="n">
        <v>0</v>
      </c>
      <c r="R798" s="2" t="inlineStr"/>
    </row>
    <row r="799" ht="15" customHeight="1">
      <c r="A799" t="inlineStr">
        <is>
          <t>A 52875-2025</t>
        </is>
      </c>
      <c r="B799" s="1" t="n">
        <v>45957.53211805555</v>
      </c>
      <c r="C799" s="1" t="n">
        <v>46041</v>
      </c>
      <c r="D799" t="inlineStr">
        <is>
          <t>JÄMTLANDS LÄN</t>
        </is>
      </c>
      <c r="E799" t="inlineStr">
        <is>
          <t>RAGUNDA</t>
        </is>
      </c>
      <c r="F799" t="inlineStr">
        <is>
          <t>SCA</t>
        </is>
      </c>
      <c r="G799" t="n">
        <v>34.3</v>
      </c>
      <c r="H799" t="n">
        <v>0</v>
      </c>
      <c r="I799" t="n">
        <v>0</v>
      </c>
      <c r="J799" t="n">
        <v>0</v>
      </c>
      <c r="K799" t="n">
        <v>0</v>
      </c>
      <c r="L799" t="n">
        <v>0</v>
      </c>
      <c r="M799" t="n">
        <v>0</v>
      </c>
      <c r="N799" t="n">
        <v>0</v>
      </c>
      <c r="O799" t="n">
        <v>0</v>
      </c>
      <c r="P799" t="n">
        <v>0</v>
      </c>
      <c r="Q799" t="n">
        <v>0</v>
      </c>
      <c r="R799" s="2" t="inlineStr"/>
    </row>
    <row r="800" ht="15" customHeight="1">
      <c r="A800" t="inlineStr">
        <is>
          <t>A 61266-2025</t>
        </is>
      </c>
      <c r="B800" s="1" t="n">
        <v>46000.67784722222</v>
      </c>
      <c r="C800" s="1" t="n">
        <v>46041</v>
      </c>
      <c r="D800" t="inlineStr">
        <is>
          <t>JÄMTLANDS LÄN</t>
        </is>
      </c>
      <c r="E800" t="inlineStr">
        <is>
          <t>RAGUNDA</t>
        </is>
      </c>
      <c r="G800" t="n">
        <v>7.9</v>
      </c>
      <c r="H800" t="n">
        <v>0</v>
      </c>
      <c r="I800" t="n">
        <v>0</v>
      </c>
      <c r="J800" t="n">
        <v>0</v>
      </c>
      <c r="K800" t="n">
        <v>0</v>
      </c>
      <c r="L800" t="n">
        <v>0</v>
      </c>
      <c r="M800" t="n">
        <v>0</v>
      </c>
      <c r="N800" t="n">
        <v>0</v>
      </c>
      <c r="O800" t="n">
        <v>0</v>
      </c>
      <c r="P800" t="n">
        <v>0</v>
      </c>
      <c r="Q800" t="n">
        <v>0</v>
      </c>
      <c r="R800" s="2" t="inlineStr"/>
    </row>
    <row r="801" ht="15" customHeight="1">
      <c r="A801" t="inlineStr">
        <is>
          <t>A 60012-2023</t>
        </is>
      </c>
      <c r="B801" s="1" t="n">
        <v>45257</v>
      </c>
      <c r="C801" s="1" t="n">
        <v>46041</v>
      </c>
      <c r="D801" t="inlineStr">
        <is>
          <t>JÄMTLANDS LÄN</t>
        </is>
      </c>
      <c r="E801" t="inlineStr">
        <is>
          <t>RAGUNDA</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53211-2025</t>
        </is>
      </c>
      <c r="B802" s="1" t="n">
        <v>45958.59490740741</v>
      </c>
      <c r="C802" s="1" t="n">
        <v>46041</v>
      </c>
      <c r="D802" t="inlineStr">
        <is>
          <t>JÄMTLANDS LÄN</t>
        </is>
      </c>
      <c r="E802" t="inlineStr">
        <is>
          <t>RAGUNDA</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20221-2025</t>
        </is>
      </c>
      <c r="B803" s="1" t="n">
        <v>45772.6565625</v>
      </c>
      <c r="C803" s="1" t="n">
        <v>46041</v>
      </c>
      <c r="D803" t="inlineStr">
        <is>
          <t>JÄMTLANDS LÄN</t>
        </is>
      </c>
      <c r="E803" t="inlineStr">
        <is>
          <t>RAGUNDA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52972-2025</t>
        </is>
      </c>
      <c r="B804" s="1" t="n">
        <v>45957.67783564814</v>
      </c>
      <c r="C804" s="1" t="n">
        <v>46041</v>
      </c>
      <c r="D804" t="inlineStr">
        <is>
          <t>JÄMTLANDS LÄN</t>
        </is>
      </c>
      <c r="E804" t="inlineStr">
        <is>
          <t>RAGUNDA</t>
        </is>
      </c>
      <c r="F804" t="inlineStr">
        <is>
          <t>SCA</t>
        </is>
      </c>
      <c r="G804" t="n">
        <v>53.4</v>
      </c>
      <c r="H804" t="n">
        <v>0</v>
      </c>
      <c r="I804" t="n">
        <v>0</v>
      </c>
      <c r="J804" t="n">
        <v>0</v>
      </c>
      <c r="K804" t="n">
        <v>0</v>
      </c>
      <c r="L804" t="n">
        <v>0</v>
      </c>
      <c r="M804" t="n">
        <v>0</v>
      </c>
      <c r="N804" t="n">
        <v>0</v>
      </c>
      <c r="O804" t="n">
        <v>0</v>
      </c>
      <c r="P804" t="n">
        <v>0</v>
      </c>
      <c r="Q804" t="n">
        <v>0</v>
      </c>
      <c r="R804" s="2" t="inlineStr"/>
    </row>
    <row r="805" ht="15" customHeight="1">
      <c r="A805" t="inlineStr">
        <is>
          <t>A 50486-2023</t>
        </is>
      </c>
      <c r="B805" s="1" t="n">
        <v>45216.92424768519</v>
      </c>
      <c r="C805" s="1" t="n">
        <v>46041</v>
      </c>
      <c r="D805" t="inlineStr">
        <is>
          <t>JÄMTLANDS LÄN</t>
        </is>
      </c>
      <c r="E805" t="inlineStr">
        <is>
          <t>RAGUNDA</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53075-2025</t>
        </is>
      </c>
      <c r="B806" s="1" t="n">
        <v>45958.38584490741</v>
      </c>
      <c r="C806" s="1" t="n">
        <v>46041</v>
      </c>
      <c r="D806" t="inlineStr">
        <is>
          <t>JÄMTLANDS LÄN</t>
        </is>
      </c>
      <c r="E806" t="inlineStr">
        <is>
          <t>RAGUNDA</t>
        </is>
      </c>
      <c r="F806" t="inlineStr">
        <is>
          <t>SCA</t>
        </is>
      </c>
      <c r="G806" t="n">
        <v>28.9</v>
      </c>
      <c r="H806" t="n">
        <v>0</v>
      </c>
      <c r="I806" t="n">
        <v>0</v>
      </c>
      <c r="J806" t="n">
        <v>0</v>
      </c>
      <c r="K806" t="n">
        <v>0</v>
      </c>
      <c r="L806" t="n">
        <v>0</v>
      </c>
      <c r="M806" t="n">
        <v>0</v>
      </c>
      <c r="N806" t="n">
        <v>0</v>
      </c>
      <c r="O806" t="n">
        <v>0</v>
      </c>
      <c r="P806" t="n">
        <v>0</v>
      </c>
      <c r="Q806" t="n">
        <v>0</v>
      </c>
      <c r="R806" s="2" t="inlineStr"/>
    </row>
    <row r="807" ht="15" customHeight="1">
      <c r="A807" t="inlineStr">
        <is>
          <t>A 35265-2023</t>
        </is>
      </c>
      <c r="B807" s="1" t="n">
        <v>45145.95326388889</v>
      </c>
      <c r="C807" s="1" t="n">
        <v>46041</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31435-2022</t>
        </is>
      </c>
      <c r="B808" s="1" t="n">
        <v>44774</v>
      </c>
      <c r="C808" s="1" t="n">
        <v>46041</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50211-2023</t>
        </is>
      </c>
      <c r="B809" s="1" t="n">
        <v>45215.94657407407</v>
      </c>
      <c r="C809" s="1" t="n">
        <v>46041</v>
      </c>
      <c r="D809" t="inlineStr">
        <is>
          <t>JÄMTLANDS LÄN</t>
        </is>
      </c>
      <c r="E809" t="inlineStr">
        <is>
          <t>RAGUNDA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9084-2023</t>
        </is>
      </c>
      <c r="B810" s="1" t="n">
        <v>44979</v>
      </c>
      <c r="C810" s="1" t="n">
        <v>46041</v>
      </c>
      <c r="D810" t="inlineStr">
        <is>
          <t>JÄMTLANDS LÄN</t>
        </is>
      </c>
      <c r="E810" t="inlineStr">
        <is>
          <t>RAGUNDA</t>
        </is>
      </c>
      <c r="G810" t="n">
        <v>1.9</v>
      </c>
      <c r="H810" t="n">
        <v>0</v>
      </c>
      <c r="I810" t="n">
        <v>0</v>
      </c>
      <c r="J810" t="n">
        <v>0</v>
      </c>
      <c r="K810" t="n">
        <v>0</v>
      </c>
      <c r="L810" t="n">
        <v>0</v>
      </c>
      <c r="M810" t="n">
        <v>0</v>
      </c>
      <c r="N810" t="n">
        <v>0</v>
      </c>
      <c r="O810" t="n">
        <v>0</v>
      </c>
      <c r="P810" t="n">
        <v>0</v>
      </c>
      <c r="Q810" t="n">
        <v>0</v>
      </c>
      <c r="R810" s="2" t="inlineStr"/>
    </row>
    <row r="811" ht="15" customHeight="1">
      <c r="A811" t="inlineStr">
        <is>
          <t>A 9360-2023</t>
        </is>
      </c>
      <c r="B811" s="1" t="n">
        <v>44980.93865740741</v>
      </c>
      <c r="C811" s="1" t="n">
        <v>46041</v>
      </c>
      <c r="D811" t="inlineStr">
        <is>
          <t>JÄMTLANDS LÄN</t>
        </is>
      </c>
      <c r="E811" t="inlineStr">
        <is>
          <t>RAGUNDA</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66706-2021</t>
        </is>
      </c>
      <c r="B812" s="1" t="n">
        <v>44519.94440972222</v>
      </c>
      <c r="C812" s="1" t="n">
        <v>46041</v>
      </c>
      <c r="D812" t="inlineStr">
        <is>
          <t>JÄMTLANDS LÄN</t>
        </is>
      </c>
      <c r="E812" t="inlineStr">
        <is>
          <t>RAGUNDA</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32259-2024</t>
        </is>
      </c>
      <c r="B813" s="1" t="n">
        <v>45511</v>
      </c>
      <c r="C813" s="1" t="n">
        <v>46041</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16529-2022</t>
        </is>
      </c>
      <c r="B814" s="1" t="n">
        <v>44671</v>
      </c>
      <c r="C814" s="1" t="n">
        <v>46041</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40269-2022</t>
        </is>
      </c>
      <c r="B815" s="1" t="n">
        <v>44820</v>
      </c>
      <c r="C815" s="1" t="n">
        <v>46041</v>
      </c>
      <c r="D815" t="inlineStr">
        <is>
          <t>JÄMTLANDS LÄN</t>
        </is>
      </c>
      <c r="E815" t="inlineStr">
        <is>
          <t>RAGUNDA</t>
        </is>
      </c>
      <c r="F815" t="inlineStr">
        <is>
          <t>SCA</t>
        </is>
      </c>
      <c r="G815" t="n">
        <v>77.8</v>
      </c>
      <c r="H815" t="n">
        <v>0</v>
      </c>
      <c r="I815" t="n">
        <v>0</v>
      </c>
      <c r="J815" t="n">
        <v>0</v>
      </c>
      <c r="K815" t="n">
        <v>0</v>
      </c>
      <c r="L815" t="n">
        <v>0</v>
      </c>
      <c r="M815" t="n">
        <v>0</v>
      </c>
      <c r="N815" t="n">
        <v>0</v>
      </c>
      <c r="O815" t="n">
        <v>0</v>
      </c>
      <c r="P815" t="n">
        <v>0</v>
      </c>
      <c r="Q815" t="n">
        <v>0</v>
      </c>
      <c r="R815" s="2" t="inlineStr"/>
    </row>
    <row r="816" ht="15" customHeight="1">
      <c r="A816" t="inlineStr">
        <is>
          <t>A 44536-2022</t>
        </is>
      </c>
      <c r="B816" s="1" t="n">
        <v>44839</v>
      </c>
      <c r="C816" s="1" t="n">
        <v>46041</v>
      </c>
      <c r="D816" t="inlineStr">
        <is>
          <t>JÄMTLANDS LÄN</t>
        </is>
      </c>
      <c r="E816" t="inlineStr">
        <is>
          <t>RAGUNDA</t>
        </is>
      </c>
      <c r="G816" t="n">
        <v>4</v>
      </c>
      <c r="H816" t="n">
        <v>0</v>
      </c>
      <c r="I816" t="n">
        <v>0</v>
      </c>
      <c r="J816" t="n">
        <v>0</v>
      </c>
      <c r="K816" t="n">
        <v>0</v>
      </c>
      <c r="L816" t="n">
        <v>0</v>
      </c>
      <c r="M816" t="n">
        <v>0</v>
      </c>
      <c r="N816" t="n">
        <v>0</v>
      </c>
      <c r="O816" t="n">
        <v>0</v>
      </c>
      <c r="P816" t="n">
        <v>0</v>
      </c>
      <c r="Q816" t="n">
        <v>0</v>
      </c>
      <c r="R816" s="2" t="inlineStr"/>
    </row>
    <row r="817" ht="15" customHeight="1">
      <c r="A817" t="inlineStr">
        <is>
          <t>A 61509-2025</t>
        </is>
      </c>
      <c r="B817" s="1" t="n">
        <v>46001.68189814815</v>
      </c>
      <c r="C817" s="1" t="n">
        <v>46041</v>
      </c>
      <c r="D817" t="inlineStr">
        <is>
          <t>JÄMTLANDS LÄN</t>
        </is>
      </c>
      <c r="E817" t="inlineStr">
        <is>
          <t>RAGUNDA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18778-2024</t>
        </is>
      </c>
      <c r="B818" s="1" t="n">
        <v>45426</v>
      </c>
      <c r="C818" s="1" t="n">
        <v>46041</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18781-2024</t>
        </is>
      </c>
      <c r="B819" s="1" t="n">
        <v>45426</v>
      </c>
      <c r="C819" s="1" t="n">
        <v>46041</v>
      </c>
      <c r="D819" t="inlineStr">
        <is>
          <t>JÄMTLANDS LÄN</t>
        </is>
      </c>
      <c r="E819" t="inlineStr">
        <is>
          <t>RAGUNDA</t>
        </is>
      </c>
      <c r="G819" t="n">
        <v>0.9</v>
      </c>
      <c r="H819" t="n">
        <v>0</v>
      </c>
      <c r="I819" t="n">
        <v>0</v>
      </c>
      <c r="J819" t="n">
        <v>0</v>
      </c>
      <c r="K819" t="n">
        <v>0</v>
      </c>
      <c r="L819" t="n">
        <v>0</v>
      </c>
      <c r="M819" t="n">
        <v>0</v>
      </c>
      <c r="N819" t="n">
        <v>0</v>
      </c>
      <c r="O819" t="n">
        <v>0</v>
      </c>
      <c r="P819" t="n">
        <v>0</v>
      </c>
      <c r="Q819" t="n">
        <v>0</v>
      </c>
      <c r="R819" s="2" t="inlineStr"/>
    </row>
    <row r="820" ht="15" customHeight="1">
      <c r="A820" t="inlineStr">
        <is>
          <t>A 53726-2025</t>
        </is>
      </c>
      <c r="B820" s="1" t="n">
        <v>45960.63597222222</v>
      </c>
      <c r="C820" s="1" t="n">
        <v>46041</v>
      </c>
      <c r="D820" t="inlineStr">
        <is>
          <t>JÄMTLANDS LÄN</t>
        </is>
      </c>
      <c r="E820" t="inlineStr">
        <is>
          <t>RAGUNDA</t>
        </is>
      </c>
      <c r="F820" t="inlineStr">
        <is>
          <t>SCA</t>
        </is>
      </c>
      <c r="G820" t="n">
        <v>10.9</v>
      </c>
      <c r="H820" t="n">
        <v>0</v>
      </c>
      <c r="I820" t="n">
        <v>0</v>
      </c>
      <c r="J820" t="n">
        <v>0</v>
      </c>
      <c r="K820" t="n">
        <v>0</v>
      </c>
      <c r="L820" t="n">
        <v>0</v>
      </c>
      <c r="M820" t="n">
        <v>0</v>
      </c>
      <c r="N820" t="n">
        <v>0</v>
      </c>
      <c r="O820" t="n">
        <v>0</v>
      </c>
      <c r="P820" t="n">
        <v>0</v>
      </c>
      <c r="Q820" t="n">
        <v>0</v>
      </c>
      <c r="R820" s="2" t="inlineStr"/>
    </row>
    <row r="821" ht="15" customHeight="1">
      <c r="A821" t="inlineStr">
        <is>
          <t>A 17248-2023</t>
        </is>
      </c>
      <c r="B821" s="1" t="n">
        <v>45033</v>
      </c>
      <c r="C821" s="1" t="n">
        <v>46041</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36212-2023</t>
        </is>
      </c>
      <c r="B822" s="1" t="n">
        <v>45149.95241898148</v>
      </c>
      <c r="C822" s="1" t="n">
        <v>46041</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61697-2025</t>
        </is>
      </c>
      <c r="B823" s="1" t="n">
        <v>46002</v>
      </c>
      <c r="C823" s="1" t="n">
        <v>46041</v>
      </c>
      <c r="D823" t="inlineStr">
        <is>
          <t>JÄMTLANDS LÄN</t>
        </is>
      </c>
      <c r="E823" t="inlineStr">
        <is>
          <t>RAGUNDA</t>
        </is>
      </c>
      <c r="G823" t="n">
        <v>1.3</v>
      </c>
      <c r="H823" t="n">
        <v>0</v>
      </c>
      <c r="I823" t="n">
        <v>0</v>
      </c>
      <c r="J823" t="n">
        <v>0</v>
      </c>
      <c r="K823" t="n">
        <v>0</v>
      </c>
      <c r="L823" t="n">
        <v>0</v>
      </c>
      <c r="M823" t="n">
        <v>0</v>
      </c>
      <c r="N823" t="n">
        <v>0</v>
      </c>
      <c r="O823" t="n">
        <v>0</v>
      </c>
      <c r="P823" t="n">
        <v>0</v>
      </c>
      <c r="Q823" t="n">
        <v>0</v>
      </c>
      <c r="R823" s="2" t="inlineStr"/>
    </row>
    <row r="824" ht="15" customHeight="1">
      <c r="A824" t="inlineStr">
        <is>
          <t>A 53860-2023</t>
        </is>
      </c>
      <c r="B824" s="1" t="n">
        <v>45224</v>
      </c>
      <c r="C824" s="1" t="n">
        <v>46041</v>
      </c>
      <c r="D824" t="inlineStr">
        <is>
          <t>JÄMTLANDS LÄN</t>
        </is>
      </c>
      <c r="E824" t="inlineStr">
        <is>
          <t>RAGUNDA</t>
        </is>
      </c>
      <c r="G824" t="n">
        <v>3.3</v>
      </c>
      <c r="H824" t="n">
        <v>0</v>
      </c>
      <c r="I824" t="n">
        <v>0</v>
      </c>
      <c r="J824" t="n">
        <v>0</v>
      </c>
      <c r="K824" t="n">
        <v>0</v>
      </c>
      <c r="L824" t="n">
        <v>0</v>
      </c>
      <c r="M824" t="n">
        <v>0</v>
      </c>
      <c r="N824" t="n">
        <v>0</v>
      </c>
      <c r="O824" t="n">
        <v>0</v>
      </c>
      <c r="P824" t="n">
        <v>0</v>
      </c>
      <c r="Q824" t="n">
        <v>0</v>
      </c>
      <c r="R824" s="2" t="inlineStr"/>
    </row>
    <row r="825" ht="15" customHeight="1">
      <c r="A825" t="inlineStr">
        <is>
          <t>A 54599-2023</t>
        </is>
      </c>
      <c r="B825" s="1" t="n">
        <v>45233.92591435185</v>
      </c>
      <c r="C825" s="1" t="n">
        <v>46041</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53263-2024</t>
        </is>
      </c>
      <c r="B826" s="1" t="n">
        <v>45614.34541666666</v>
      </c>
      <c r="C826" s="1" t="n">
        <v>46041</v>
      </c>
      <c r="D826" t="inlineStr">
        <is>
          <t>JÄMTLANDS LÄN</t>
        </is>
      </c>
      <c r="E826" t="inlineStr">
        <is>
          <t>RAGUNDA</t>
        </is>
      </c>
      <c r="G826" t="n">
        <v>1.9</v>
      </c>
      <c r="H826" t="n">
        <v>0</v>
      </c>
      <c r="I826" t="n">
        <v>0</v>
      </c>
      <c r="J826" t="n">
        <v>0</v>
      </c>
      <c r="K826" t="n">
        <v>0</v>
      </c>
      <c r="L826" t="n">
        <v>0</v>
      </c>
      <c r="M826" t="n">
        <v>0</v>
      </c>
      <c r="N826" t="n">
        <v>0</v>
      </c>
      <c r="O826" t="n">
        <v>0</v>
      </c>
      <c r="P826" t="n">
        <v>0</v>
      </c>
      <c r="Q826" t="n">
        <v>0</v>
      </c>
      <c r="R826" s="2" t="inlineStr"/>
    </row>
    <row r="827" ht="15" customHeight="1">
      <c r="A827" t="inlineStr">
        <is>
          <t>A 25304-2023</t>
        </is>
      </c>
      <c r="B827" s="1" t="n">
        <v>45086</v>
      </c>
      <c r="C827" s="1" t="n">
        <v>46041</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58630-2024</t>
        </is>
      </c>
      <c r="B828" s="1" t="n">
        <v>45635.57331018519</v>
      </c>
      <c r="C828" s="1" t="n">
        <v>46041</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10610-2024</t>
        </is>
      </c>
      <c r="B829" s="1" t="n">
        <v>45367.04693287037</v>
      </c>
      <c r="C829" s="1" t="n">
        <v>46041</v>
      </c>
      <c r="D829" t="inlineStr">
        <is>
          <t>JÄMTLANDS LÄN</t>
        </is>
      </c>
      <c r="E829" t="inlineStr">
        <is>
          <t>RAGUNDA</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52578-2025</t>
        </is>
      </c>
      <c r="B830" s="1" t="n">
        <v>45954.61508101852</v>
      </c>
      <c r="C830" s="1" t="n">
        <v>46041</v>
      </c>
      <c r="D830" t="inlineStr">
        <is>
          <t>JÄMTLANDS LÄN</t>
        </is>
      </c>
      <c r="E830" t="inlineStr">
        <is>
          <t>RAGUNDA</t>
        </is>
      </c>
      <c r="F830" t="inlineStr">
        <is>
          <t>SCA</t>
        </is>
      </c>
      <c r="G830" t="n">
        <v>25.2</v>
      </c>
      <c r="H830" t="n">
        <v>0</v>
      </c>
      <c r="I830" t="n">
        <v>0</v>
      </c>
      <c r="J830" t="n">
        <v>0</v>
      </c>
      <c r="K830" t="n">
        <v>0</v>
      </c>
      <c r="L830" t="n">
        <v>0</v>
      </c>
      <c r="M830" t="n">
        <v>0</v>
      </c>
      <c r="N830" t="n">
        <v>0</v>
      </c>
      <c r="O830" t="n">
        <v>0</v>
      </c>
      <c r="P830" t="n">
        <v>0</v>
      </c>
      <c r="Q830" t="n">
        <v>0</v>
      </c>
      <c r="R830" s="2" t="inlineStr"/>
    </row>
    <row r="831" ht="15" customHeight="1">
      <c r="A831" t="inlineStr">
        <is>
          <t>A 8779-2025</t>
        </is>
      </c>
      <c r="B831" s="1" t="n">
        <v>45712.61552083334</v>
      </c>
      <c r="C831" s="1" t="n">
        <v>46041</v>
      </c>
      <c r="D831" t="inlineStr">
        <is>
          <t>JÄMTLANDS LÄN</t>
        </is>
      </c>
      <c r="E831" t="inlineStr">
        <is>
          <t>RAGUNDA</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53727-2025</t>
        </is>
      </c>
      <c r="B832" s="1" t="n">
        <v>45960.63630787037</v>
      </c>
      <c r="C832" s="1" t="n">
        <v>46041</v>
      </c>
      <c r="D832" t="inlineStr">
        <is>
          <t>JÄMTLANDS LÄN</t>
        </is>
      </c>
      <c r="E832" t="inlineStr">
        <is>
          <t>RAGUNDA</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53748-2025</t>
        </is>
      </c>
      <c r="B833" s="1" t="n">
        <v>45960.65673611111</v>
      </c>
      <c r="C833" s="1" t="n">
        <v>46041</v>
      </c>
      <c r="D833" t="inlineStr">
        <is>
          <t>JÄMTLANDS LÄN</t>
        </is>
      </c>
      <c r="E833" t="inlineStr">
        <is>
          <t>RAGUNDA</t>
        </is>
      </c>
      <c r="F833" t="inlineStr">
        <is>
          <t>SCA</t>
        </is>
      </c>
      <c r="G833" t="n">
        <v>14.9</v>
      </c>
      <c r="H833" t="n">
        <v>0</v>
      </c>
      <c r="I833" t="n">
        <v>0</v>
      </c>
      <c r="J833" t="n">
        <v>0</v>
      </c>
      <c r="K833" t="n">
        <v>0</v>
      </c>
      <c r="L833" t="n">
        <v>0</v>
      </c>
      <c r="M833" t="n">
        <v>0</v>
      </c>
      <c r="N833" t="n">
        <v>0</v>
      </c>
      <c r="O833" t="n">
        <v>0</v>
      </c>
      <c r="P833" t="n">
        <v>0</v>
      </c>
      <c r="Q833" t="n">
        <v>0</v>
      </c>
      <c r="R833" s="2" t="inlineStr"/>
    </row>
    <row r="834" ht="15" customHeight="1">
      <c r="A834" t="inlineStr">
        <is>
          <t>A 20574-2025</t>
        </is>
      </c>
      <c r="B834" s="1" t="n">
        <v>45775.67747685185</v>
      </c>
      <c r="C834" s="1" t="n">
        <v>46041</v>
      </c>
      <c r="D834" t="inlineStr">
        <is>
          <t>JÄMTLANDS LÄN</t>
        </is>
      </c>
      <c r="E834" t="inlineStr">
        <is>
          <t>RAGUNDA</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14896-2022</t>
        </is>
      </c>
      <c r="B835" s="1" t="n">
        <v>44656</v>
      </c>
      <c r="C835" s="1" t="n">
        <v>46041</v>
      </c>
      <c r="D835" t="inlineStr">
        <is>
          <t>JÄMTLANDS LÄN</t>
        </is>
      </c>
      <c r="E835" t="inlineStr">
        <is>
          <t>RAGUNDA</t>
        </is>
      </c>
      <c r="F835" t="inlineStr">
        <is>
          <t>SCA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16676-2022</t>
        </is>
      </c>
      <c r="B836" s="1" t="n">
        <v>44672.94018518519</v>
      </c>
      <c r="C836" s="1" t="n">
        <v>46041</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11551-2024</t>
        </is>
      </c>
      <c r="B837" s="1" t="n">
        <v>45372.95762731481</v>
      </c>
      <c r="C837" s="1" t="n">
        <v>46041</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57078-2023</t>
        </is>
      </c>
      <c r="B838" s="1" t="n">
        <v>45244.96774305555</v>
      </c>
      <c r="C838" s="1" t="n">
        <v>46041</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53549-2025</t>
        </is>
      </c>
      <c r="B839" s="1" t="n">
        <v>45960.38576388889</v>
      </c>
      <c r="C839" s="1" t="n">
        <v>46041</v>
      </c>
      <c r="D839" t="inlineStr">
        <is>
          <t>JÄMTLANDS LÄN</t>
        </is>
      </c>
      <c r="E839" t="inlineStr">
        <is>
          <t>RAGUNDA</t>
        </is>
      </c>
      <c r="G839" t="n">
        <v>5.4</v>
      </c>
      <c r="H839" t="n">
        <v>0</v>
      </c>
      <c r="I839" t="n">
        <v>0</v>
      </c>
      <c r="J839" t="n">
        <v>0</v>
      </c>
      <c r="K839" t="n">
        <v>0</v>
      </c>
      <c r="L839" t="n">
        <v>0</v>
      </c>
      <c r="M839" t="n">
        <v>0</v>
      </c>
      <c r="N839" t="n">
        <v>0</v>
      </c>
      <c r="O839" t="n">
        <v>0</v>
      </c>
      <c r="P839" t="n">
        <v>0</v>
      </c>
      <c r="Q839" t="n">
        <v>0</v>
      </c>
      <c r="R839" s="2" t="inlineStr"/>
    </row>
    <row r="840" ht="15" customHeight="1">
      <c r="A840" t="inlineStr">
        <is>
          <t>A 53765-2025</t>
        </is>
      </c>
      <c r="B840" s="1" t="n">
        <v>45960.67753472222</v>
      </c>
      <c r="C840" s="1" t="n">
        <v>46041</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12976-2025</t>
        </is>
      </c>
      <c r="B841" s="1" t="n">
        <v>45734.45268518518</v>
      </c>
      <c r="C841" s="1" t="n">
        <v>46041</v>
      </c>
      <c r="D841" t="inlineStr">
        <is>
          <t>JÄMTLANDS LÄN</t>
        </is>
      </c>
      <c r="E841" t="inlineStr">
        <is>
          <t>RAGUNDA</t>
        </is>
      </c>
      <c r="G841" t="n">
        <v>24.2</v>
      </c>
      <c r="H841" t="n">
        <v>0</v>
      </c>
      <c r="I841" t="n">
        <v>0</v>
      </c>
      <c r="J841" t="n">
        <v>0</v>
      </c>
      <c r="K841" t="n">
        <v>0</v>
      </c>
      <c r="L841" t="n">
        <v>0</v>
      </c>
      <c r="M841" t="n">
        <v>0</v>
      </c>
      <c r="N841" t="n">
        <v>0</v>
      </c>
      <c r="O841" t="n">
        <v>0</v>
      </c>
      <c r="P841" t="n">
        <v>0</v>
      </c>
      <c r="Q841" t="n">
        <v>0</v>
      </c>
      <c r="R841" s="2" t="inlineStr"/>
    </row>
    <row r="842" ht="15" customHeight="1">
      <c r="A842" t="inlineStr">
        <is>
          <t>A 53986-2025</t>
        </is>
      </c>
      <c r="B842" s="1" t="n">
        <v>45961.57381944444</v>
      </c>
      <c r="C842" s="1" t="n">
        <v>46041</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56286-2023</t>
        </is>
      </c>
      <c r="B843" s="1" t="n">
        <v>45241.95741898148</v>
      </c>
      <c r="C843" s="1" t="n">
        <v>46041</v>
      </c>
      <c r="D843" t="inlineStr">
        <is>
          <t>JÄMTLANDS LÄN</t>
        </is>
      </c>
      <c r="E843" t="inlineStr">
        <is>
          <t>RAGUNDA</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56287-2023</t>
        </is>
      </c>
      <c r="B844" s="1" t="n">
        <v>45241</v>
      </c>
      <c r="C844" s="1" t="n">
        <v>46041</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53951-2025</t>
        </is>
      </c>
      <c r="B845" s="1" t="n">
        <v>45961.50200231482</v>
      </c>
      <c r="C845" s="1" t="n">
        <v>46041</v>
      </c>
      <c r="D845" t="inlineStr">
        <is>
          <t>JÄMTLANDS LÄN</t>
        </is>
      </c>
      <c r="E845" t="inlineStr">
        <is>
          <t>RAGUNDA</t>
        </is>
      </c>
      <c r="G845" t="n">
        <v>1.8</v>
      </c>
      <c r="H845" t="n">
        <v>0</v>
      </c>
      <c r="I845" t="n">
        <v>0</v>
      </c>
      <c r="J845" t="n">
        <v>0</v>
      </c>
      <c r="K845" t="n">
        <v>0</v>
      </c>
      <c r="L845" t="n">
        <v>0</v>
      </c>
      <c r="M845" t="n">
        <v>0</v>
      </c>
      <c r="N845" t="n">
        <v>0</v>
      </c>
      <c r="O845" t="n">
        <v>0</v>
      </c>
      <c r="P845" t="n">
        <v>0</v>
      </c>
      <c r="Q845" t="n">
        <v>0</v>
      </c>
      <c r="R845" s="2" t="inlineStr"/>
    </row>
    <row r="846" ht="15" customHeight="1">
      <c r="A846" t="inlineStr">
        <is>
          <t>A 59658-2023</t>
        </is>
      </c>
      <c r="B846" s="1" t="n">
        <v>45254.96402777778</v>
      </c>
      <c r="C846" s="1" t="n">
        <v>46041</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28081-2022</t>
        </is>
      </c>
      <c r="B847" s="1" t="n">
        <v>44746</v>
      </c>
      <c r="C847" s="1" t="n">
        <v>46041</v>
      </c>
      <c r="D847" t="inlineStr">
        <is>
          <t>JÄMTLANDS LÄN</t>
        </is>
      </c>
      <c r="E847" t="inlineStr">
        <is>
          <t>RAGUNDA</t>
        </is>
      </c>
      <c r="G847" t="n">
        <v>7.2</v>
      </c>
      <c r="H847" t="n">
        <v>0</v>
      </c>
      <c r="I847" t="n">
        <v>0</v>
      </c>
      <c r="J847" t="n">
        <v>0</v>
      </c>
      <c r="K847" t="n">
        <v>0</v>
      </c>
      <c r="L847" t="n">
        <v>0</v>
      </c>
      <c r="M847" t="n">
        <v>0</v>
      </c>
      <c r="N847" t="n">
        <v>0</v>
      </c>
      <c r="O847" t="n">
        <v>0</v>
      </c>
      <c r="P847" t="n">
        <v>0</v>
      </c>
      <c r="Q847" t="n">
        <v>0</v>
      </c>
      <c r="R847" s="2" t="inlineStr"/>
    </row>
    <row r="848" ht="15" customHeight="1">
      <c r="A848" t="inlineStr">
        <is>
          <t>A 53975-2025</t>
        </is>
      </c>
      <c r="B848" s="1" t="n">
        <v>45961.55277777778</v>
      </c>
      <c r="C848" s="1" t="n">
        <v>46041</v>
      </c>
      <c r="D848" t="inlineStr">
        <is>
          <t>JÄMTLANDS LÄN</t>
        </is>
      </c>
      <c r="E848" t="inlineStr">
        <is>
          <t>RAGUNDA</t>
        </is>
      </c>
      <c r="F848" t="inlineStr">
        <is>
          <t>SCA</t>
        </is>
      </c>
      <c r="G848" t="n">
        <v>21.9</v>
      </c>
      <c r="H848" t="n">
        <v>0</v>
      </c>
      <c r="I848" t="n">
        <v>0</v>
      </c>
      <c r="J848" t="n">
        <v>0</v>
      </c>
      <c r="K848" t="n">
        <v>0</v>
      </c>
      <c r="L848" t="n">
        <v>0</v>
      </c>
      <c r="M848" t="n">
        <v>0</v>
      </c>
      <c r="N848" t="n">
        <v>0</v>
      </c>
      <c r="O848" t="n">
        <v>0</v>
      </c>
      <c r="P848" t="n">
        <v>0</v>
      </c>
      <c r="Q848" t="n">
        <v>0</v>
      </c>
      <c r="R848" s="2" t="inlineStr"/>
    </row>
    <row r="849" ht="15" customHeight="1">
      <c r="A849" t="inlineStr">
        <is>
          <t>A 54195-2025</t>
        </is>
      </c>
      <c r="B849" s="1" t="n">
        <v>45964.57413194444</v>
      </c>
      <c r="C849" s="1" t="n">
        <v>46041</v>
      </c>
      <c r="D849" t="inlineStr">
        <is>
          <t>JÄMTLANDS LÄN</t>
        </is>
      </c>
      <c r="E849" t="inlineStr">
        <is>
          <t>RAGUNDA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57839-2022</t>
        </is>
      </c>
      <c r="B850" s="1" t="n">
        <v>44897</v>
      </c>
      <c r="C850" s="1" t="n">
        <v>46041</v>
      </c>
      <c r="D850" t="inlineStr">
        <is>
          <t>JÄMTLANDS LÄN</t>
        </is>
      </c>
      <c r="E850" t="inlineStr">
        <is>
          <t>RAGUNDA</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37324-2022</t>
        </is>
      </c>
      <c r="B851" s="1" t="n">
        <v>44806</v>
      </c>
      <c r="C851" s="1" t="n">
        <v>46041</v>
      </c>
      <c r="D851" t="inlineStr">
        <is>
          <t>JÄMTLANDS LÄN</t>
        </is>
      </c>
      <c r="E851" t="inlineStr">
        <is>
          <t>RAGUNDA</t>
        </is>
      </c>
      <c r="G851" t="n">
        <v>2.3</v>
      </c>
      <c r="H851" t="n">
        <v>0</v>
      </c>
      <c r="I851" t="n">
        <v>0</v>
      </c>
      <c r="J851" t="n">
        <v>0</v>
      </c>
      <c r="K851" t="n">
        <v>0</v>
      </c>
      <c r="L851" t="n">
        <v>0</v>
      </c>
      <c r="M851" t="n">
        <v>0</v>
      </c>
      <c r="N851" t="n">
        <v>0</v>
      </c>
      <c r="O851" t="n">
        <v>0</v>
      </c>
      <c r="P851" t="n">
        <v>0</v>
      </c>
      <c r="Q851" t="n">
        <v>0</v>
      </c>
      <c r="R851" s="2" t="inlineStr"/>
    </row>
    <row r="852" ht="15" customHeight="1">
      <c r="A852" t="inlineStr">
        <is>
          <t>A 60663-2022</t>
        </is>
      </c>
      <c r="B852" s="1" t="n">
        <v>44911.93846064815</v>
      </c>
      <c r="C852" s="1" t="n">
        <v>46041</v>
      </c>
      <c r="D852" t="inlineStr">
        <is>
          <t>JÄMTLANDS LÄN</t>
        </is>
      </c>
      <c r="E852" t="inlineStr">
        <is>
          <t>RAGUNDA</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53948-2025</t>
        </is>
      </c>
      <c r="B853" s="1" t="n">
        <v>45961.50033564815</v>
      </c>
      <c r="C853" s="1" t="n">
        <v>46041</v>
      </c>
      <c r="D853" t="inlineStr">
        <is>
          <t>JÄMTLANDS LÄN</t>
        </is>
      </c>
      <c r="E853" t="inlineStr">
        <is>
          <t>RAGUNDA</t>
        </is>
      </c>
      <c r="G853" t="n">
        <v>7.9</v>
      </c>
      <c r="H853" t="n">
        <v>0</v>
      </c>
      <c r="I853" t="n">
        <v>0</v>
      </c>
      <c r="J853" t="n">
        <v>0</v>
      </c>
      <c r="K853" t="n">
        <v>0</v>
      </c>
      <c r="L853" t="n">
        <v>0</v>
      </c>
      <c r="M853" t="n">
        <v>0</v>
      </c>
      <c r="N853" t="n">
        <v>0</v>
      </c>
      <c r="O853" t="n">
        <v>0</v>
      </c>
      <c r="P853" t="n">
        <v>0</v>
      </c>
      <c r="Q853" t="n">
        <v>0</v>
      </c>
      <c r="R853" s="2" t="inlineStr"/>
    </row>
    <row r="854" ht="15" customHeight="1">
      <c r="A854" t="inlineStr">
        <is>
          <t>A 53973-2025</t>
        </is>
      </c>
      <c r="B854" s="1" t="n">
        <v>45961.55246527777</v>
      </c>
      <c r="C854" s="1" t="n">
        <v>46041</v>
      </c>
      <c r="D854" t="inlineStr">
        <is>
          <t>JÄMTLANDS LÄN</t>
        </is>
      </c>
      <c r="E854" t="inlineStr">
        <is>
          <t>RAGUNDA</t>
        </is>
      </c>
      <c r="G854" t="n">
        <v>2.4</v>
      </c>
      <c r="H854" t="n">
        <v>0</v>
      </c>
      <c r="I854" t="n">
        <v>0</v>
      </c>
      <c r="J854" t="n">
        <v>0</v>
      </c>
      <c r="K854" t="n">
        <v>0</v>
      </c>
      <c r="L854" t="n">
        <v>0</v>
      </c>
      <c r="M854" t="n">
        <v>0</v>
      </c>
      <c r="N854" t="n">
        <v>0</v>
      </c>
      <c r="O854" t="n">
        <v>0</v>
      </c>
      <c r="P854" t="n">
        <v>0</v>
      </c>
      <c r="Q854" t="n">
        <v>0</v>
      </c>
      <c r="R854" s="2" t="inlineStr"/>
    </row>
    <row r="855" ht="15" customHeight="1">
      <c r="A855" t="inlineStr">
        <is>
          <t>A 62819-2025</t>
        </is>
      </c>
      <c r="B855" s="1" t="n">
        <v>46008</v>
      </c>
      <c r="C855" s="1" t="n">
        <v>46041</v>
      </c>
      <c r="D855" t="inlineStr">
        <is>
          <t>JÄMTLANDS LÄN</t>
        </is>
      </c>
      <c r="E855" t="inlineStr">
        <is>
          <t>RAGUNDA</t>
        </is>
      </c>
      <c r="G855" t="n">
        <v>3.5</v>
      </c>
      <c r="H855" t="n">
        <v>0</v>
      </c>
      <c r="I855" t="n">
        <v>0</v>
      </c>
      <c r="J855" t="n">
        <v>0</v>
      </c>
      <c r="K855" t="n">
        <v>0</v>
      </c>
      <c r="L855" t="n">
        <v>0</v>
      </c>
      <c r="M855" t="n">
        <v>0</v>
      </c>
      <c r="N855" t="n">
        <v>0</v>
      </c>
      <c r="O855" t="n">
        <v>0</v>
      </c>
      <c r="P855" t="n">
        <v>0</v>
      </c>
      <c r="Q855" t="n">
        <v>0</v>
      </c>
      <c r="R855" s="2" t="inlineStr"/>
    </row>
    <row r="856" ht="15" customHeight="1">
      <c r="A856" t="inlineStr">
        <is>
          <t>A 62432-2025</t>
        </is>
      </c>
      <c r="B856" s="1" t="n">
        <v>46007</v>
      </c>
      <c r="C856" s="1" t="n">
        <v>46041</v>
      </c>
      <c r="D856" t="inlineStr">
        <is>
          <t>JÄMTLANDS LÄN</t>
        </is>
      </c>
      <c r="E856" t="inlineStr">
        <is>
          <t>RAGUNDA</t>
        </is>
      </c>
      <c r="G856" t="n">
        <v>4.7</v>
      </c>
      <c r="H856" t="n">
        <v>0</v>
      </c>
      <c r="I856" t="n">
        <v>0</v>
      </c>
      <c r="J856" t="n">
        <v>0</v>
      </c>
      <c r="K856" t="n">
        <v>0</v>
      </c>
      <c r="L856" t="n">
        <v>0</v>
      </c>
      <c r="M856" t="n">
        <v>0</v>
      </c>
      <c r="N856" t="n">
        <v>0</v>
      </c>
      <c r="O856" t="n">
        <v>0</v>
      </c>
      <c r="P856" t="n">
        <v>0</v>
      </c>
      <c r="Q856" t="n">
        <v>0</v>
      </c>
      <c r="R856" s="2" t="inlineStr"/>
    </row>
    <row r="857" ht="15" customHeight="1">
      <c r="A857" t="inlineStr">
        <is>
          <t>A 62436-2025</t>
        </is>
      </c>
      <c r="B857" s="1" t="n">
        <v>46007</v>
      </c>
      <c r="C857" s="1" t="n">
        <v>46041</v>
      </c>
      <c r="D857" t="inlineStr">
        <is>
          <t>JÄMTLANDS LÄN</t>
        </is>
      </c>
      <c r="E857" t="inlineStr">
        <is>
          <t>RAGUNDA</t>
        </is>
      </c>
      <c r="G857" t="n">
        <v>0.7</v>
      </c>
      <c r="H857" t="n">
        <v>0</v>
      </c>
      <c r="I857" t="n">
        <v>0</v>
      </c>
      <c r="J857" t="n">
        <v>0</v>
      </c>
      <c r="K857" t="n">
        <v>0</v>
      </c>
      <c r="L857" t="n">
        <v>0</v>
      </c>
      <c r="M857" t="n">
        <v>0</v>
      </c>
      <c r="N857" t="n">
        <v>0</v>
      </c>
      <c r="O857" t="n">
        <v>0</v>
      </c>
      <c r="P857" t="n">
        <v>0</v>
      </c>
      <c r="Q857" t="n">
        <v>0</v>
      </c>
      <c r="R857" s="2" t="inlineStr"/>
    </row>
    <row r="858" ht="15" customHeight="1">
      <c r="A858" t="inlineStr">
        <is>
          <t>A 62106-2023</t>
        </is>
      </c>
      <c r="B858" s="1" t="n">
        <v>45266.95082175926</v>
      </c>
      <c r="C858" s="1" t="n">
        <v>46041</v>
      </c>
      <c r="D858" t="inlineStr">
        <is>
          <t>JÄMTLANDS LÄN</t>
        </is>
      </c>
      <c r="E858" t="inlineStr">
        <is>
          <t>RAGUNDA</t>
        </is>
      </c>
      <c r="F858" t="inlineStr">
        <is>
          <t>SCA</t>
        </is>
      </c>
      <c r="G858" t="n">
        <v>6.6</v>
      </c>
      <c r="H858" t="n">
        <v>0</v>
      </c>
      <c r="I858" t="n">
        <v>0</v>
      </c>
      <c r="J858" t="n">
        <v>0</v>
      </c>
      <c r="K858" t="n">
        <v>0</v>
      </c>
      <c r="L858" t="n">
        <v>0</v>
      </c>
      <c r="M858" t="n">
        <v>0</v>
      </c>
      <c r="N858" t="n">
        <v>0</v>
      </c>
      <c r="O858" t="n">
        <v>0</v>
      </c>
      <c r="P858" t="n">
        <v>0</v>
      </c>
      <c r="Q858" t="n">
        <v>0</v>
      </c>
      <c r="R858" s="2" t="inlineStr"/>
    </row>
    <row r="859" ht="15" customHeight="1">
      <c r="A859" t="inlineStr">
        <is>
          <t>A 54396-2025</t>
        </is>
      </c>
      <c r="B859" s="1" t="n">
        <v>45965.44849537037</v>
      </c>
      <c r="C859" s="1" t="n">
        <v>46041</v>
      </c>
      <c r="D859" t="inlineStr">
        <is>
          <t>JÄMTLANDS LÄN</t>
        </is>
      </c>
      <c r="E859" t="inlineStr">
        <is>
          <t>RAGUNDA</t>
        </is>
      </c>
      <c r="F859" t="inlineStr">
        <is>
          <t>SCA</t>
        </is>
      </c>
      <c r="G859" t="n">
        <v>35.2</v>
      </c>
      <c r="H859" t="n">
        <v>0</v>
      </c>
      <c r="I859" t="n">
        <v>0</v>
      </c>
      <c r="J859" t="n">
        <v>0</v>
      </c>
      <c r="K859" t="n">
        <v>0</v>
      </c>
      <c r="L859" t="n">
        <v>0</v>
      </c>
      <c r="M859" t="n">
        <v>0</v>
      </c>
      <c r="N859" t="n">
        <v>0</v>
      </c>
      <c r="O859" t="n">
        <v>0</v>
      </c>
      <c r="P859" t="n">
        <v>0</v>
      </c>
      <c r="Q859" t="n">
        <v>0</v>
      </c>
      <c r="R859" s="2" t="inlineStr"/>
    </row>
    <row r="860" ht="15" customHeight="1">
      <c r="A860" t="inlineStr">
        <is>
          <t>A 4592-2024</t>
        </is>
      </c>
      <c r="B860" s="1" t="n">
        <v>45327.94443287037</v>
      </c>
      <c r="C860" s="1" t="n">
        <v>46041</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50157-2023</t>
        </is>
      </c>
      <c r="B861" s="1" t="n">
        <v>45208</v>
      </c>
      <c r="C861" s="1" t="n">
        <v>46041</v>
      </c>
      <c r="D861" t="inlineStr">
        <is>
          <t>JÄMTLANDS LÄN</t>
        </is>
      </c>
      <c r="E861" t="inlineStr">
        <is>
          <t>RAGUNDA</t>
        </is>
      </c>
      <c r="G861" t="n">
        <v>0.9</v>
      </c>
      <c r="H861" t="n">
        <v>0</v>
      </c>
      <c r="I861" t="n">
        <v>0</v>
      </c>
      <c r="J861" t="n">
        <v>0</v>
      </c>
      <c r="K861" t="n">
        <v>0</v>
      </c>
      <c r="L861" t="n">
        <v>0</v>
      </c>
      <c r="M861" t="n">
        <v>0</v>
      </c>
      <c r="N861" t="n">
        <v>0</v>
      </c>
      <c r="O861" t="n">
        <v>0</v>
      </c>
      <c r="P861" t="n">
        <v>0</v>
      </c>
      <c r="Q861" t="n">
        <v>0</v>
      </c>
      <c r="R861" s="2" t="inlineStr"/>
    </row>
    <row r="862" ht="15" customHeight="1">
      <c r="A862" t="inlineStr">
        <is>
          <t>A 18984-2023</t>
        </is>
      </c>
      <c r="B862" s="1" t="n">
        <v>45044</v>
      </c>
      <c r="C862" s="1" t="n">
        <v>46041</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8241-2024</t>
        </is>
      </c>
      <c r="B863" s="1" t="n">
        <v>45351.98496527778</v>
      </c>
      <c r="C863" s="1" t="n">
        <v>46041</v>
      </c>
      <c r="D863" t="inlineStr">
        <is>
          <t>JÄMTLANDS LÄN</t>
        </is>
      </c>
      <c r="E863" t="inlineStr">
        <is>
          <t>RAGUNDA</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14512-2025</t>
        </is>
      </c>
      <c r="B864" s="1" t="n">
        <v>45741.63659722222</v>
      </c>
      <c r="C864" s="1" t="n">
        <v>46041</v>
      </c>
      <c r="D864" t="inlineStr">
        <is>
          <t>JÄMTLANDS LÄN</t>
        </is>
      </c>
      <c r="E864" t="inlineStr">
        <is>
          <t>RAGUNDA</t>
        </is>
      </c>
      <c r="F864" t="inlineStr">
        <is>
          <t>SCA</t>
        </is>
      </c>
      <c r="G864" t="n">
        <v>8.9</v>
      </c>
      <c r="H864" t="n">
        <v>0</v>
      </c>
      <c r="I864" t="n">
        <v>0</v>
      </c>
      <c r="J864" t="n">
        <v>0</v>
      </c>
      <c r="K864" t="n">
        <v>0</v>
      </c>
      <c r="L864" t="n">
        <v>0</v>
      </c>
      <c r="M864" t="n">
        <v>0</v>
      </c>
      <c r="N864" t="n">
        <v>0</v>
      </c>
      <c r="O864" t="n">
        <v>0</v>
      </c>
      <c r="P864" t="n">
        <v>0</v>
      </c>
      <c r="Q864" t="n">
        <v>0</v>
      </c>
      <c r="R864" s="2" t="inlineStr"/>
    </row>
    <row r="865" ht="15" customHeight="1">
      <c r="A865" t="inlineStr">
        <is>
          <t>A 58909-2025</t>
        </is>
      </c>
      <c r="B865" s="1" t="n">
        <v>45987</v>
      </c>
      <c r="C865" s="1" t="n">
        <v>46041</v>
      </c>
      <c r="D865" t="inlineStr">
        <is>
          <t>JÄMTLANDS LÄN</t>
        </is>
      </c>
      <c r="E865" t="inlineStr">
        <is>
          <t>RAGUNDA</t>
        </is>
      </c>
      <c r="G865" t="n">
        <v>9.5</v>
      </c>
      <c r="H865" t="n">
        <v>0</v>
      </c>
      <c r="I865" t="n">
        <v>0</v>
      </c>
      <c r="J865" t="n">
        <v>0</v>
      </c>
      <c r="K865" t="n">
        <v>0</v>
      </c>
      <c r="L865" t="n">
        <v>0</v>
      </c>
      <c r="M865" t="n">
        <v>0</v>
      </c>
      <c r="N865" t="n">
        <v>0</v>
      </c>
      <c r="O865" t="n">
        <v>0</v>
      </c>
      <c r="P865" t="n">
        <v>0</v>
      </c>
      <c r="Q865" t="n">
        <v>0</v>
      </c>
      <c r="R865" s="2" t="inlineStr"/>
    </row>
    <row r="866" ht="15" customHeight="1">
      <c r="A866" t="inlineStr">
        <is>
          <t>A 59496-2024</t>
        </is>
      </c>
      <c r="B866" s="1" t="n">
        <v>45638</v>
      </c>
      <c r="C866" s="1" t="n">
        <v>46041</v>
      </c>
      <c r="D866" t="inlineStr">
        <is>
          <t>JÄMTLANDS LÄN</t>
        </is>
      </c>
      <c r="E866" t="inlineStr">
        <is>
          <t>RAGUNDA</t>
        </is>
      </c>
      <c r="G866" t="n">
        <v>13.1</v>
      </c>
      <c r="H866" t="n">
        <v>0</v>
      </c>
      <c r="I866" t="n">
        <v>0</v>
      </c>
      <c r="J866" t="n">
        <v>0</v>
      </c>
      <c r="K866" t="n">
        <v>0</v>
      </c>
      <c r="L866" t="n">
        <v>0</v>
      </c>
      <c r="M866" t="n">
        <v>0</v>
      </c>
      <c r="N866" t="n">
        <v>0</v>
      </c>
      <c r="O866" t="n">
        <v>0</v>
      </c>
      <c r="P866" t="n">
        <v>0</v>
      </c>
      <c r="Q866" t="n">
        <v>0</v>
      </c>
      <c r="R866" s="2" t="inlineStr"/>
    </row>
    <row r="867" ht="15" customHeight="1">
      <c r="A867" t="inlineStr">
        <is>
          <t>A 62638-2025</t>
        </is>
      </c>
      <c r="B867" s="1" t="n">
        <v>46008.36564814814</v>
      </c>
      <c r="C867" s="1" t="n">
        <v>46041</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53019-2023</t>
        </is>
      </c>
      <c r="B868" s="1" t="n">
        <v>45222</v>
      </c>
      <c r="C868" s="1" t="n">
        <v>46041</v>
      </c>
      <c r="D868" t="inlineStr">
        <is>
          <t>JÄMTLANDS LÄN</t>
        </is>
      </c>
      <c r="E868" t="inlineStr">
        <is>
          <t>RAGUNDA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62467-2025</t>
        </is>
      </c>
      <c r="B869" s="1" t="n">
        <v>46007.5108912037</v>
      </c>
      <c r="C869" s="1" t="n">
        <v>46041</v>
      </c>
      <c r="D869" t="inlineStr">
        <is>
          <t>JÄMTLANDS LÄN</t>
        </is>
      </c>
      <c r="E869" t="inlineStr">
        <is>
          <t>RAGUNDA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59996-2023</t>
        </is>
      </c>
      <c r="B870" s="1" t="n">
        <v>45257.92826388889</v>
      </c>
      <c r="C870" s="1" t="n">
        <v>46041</v>
      </c>
      <c r="D870" t="inlineStr">
        <is>
          <t>JÄMTLANDS LÄN</t>
        </is>
      </c>
      <c r="E870" t="inlineStr">
        <is>
          <t>RAGUNDA</t>
        </is>
      </c>
      <c r="G870" t="n">
        <v>2.7</v>
      </c>
      <c r="H870" t="n">
        <v>0</v>
      </c>
      <c r="I870" t="n">
        <v>0</v>
      </c>
      <c r="J870" t="n">
        <v>0</v>
      </c>
      <c r="K870" t="n">
        <v>0</v>
      </c>
      <c r="L870" t="n">
        <v>0</v>
      </c>
      <c r="M870" t="n">
        <v>0</v>
      </c>
      <c r="N870" t="n">
        <v>0</v>
      </c>
      <c r="O870" t="n">
        <v>0</v>
      </c>
      <c r="P870" t="n">
        <v>0</v>
      </c>
      <c r="Q870" t="n">
        <v>0</v>
      </c>
      <c r="R870" s="2" t="inlineStr"/>
    </row>
    <row r="871" ht="15" customHeight="1">
      <c r="A871" t="inlineStr">
        <is>
          <t>A 1537-2024</t>
        </is>
      </c>
      <c r="B871" s="1" t="n">
        <v>45306</v>
      </c>
      <c r="C871" s="1" t="n">
        <v>46041</v>
      </c>
      <c r="D871" t="inlineStr">
        <is>
          <t>JÄMTLANDS LÄN</t>
        </is>
      </c>
      <c r="E871" t="inlineStr">
        <is>
          <t>RAGUNDA</t>
        </is>
      </c>
      <c r="G871" t="n">
        <v>0.2</v>
      </c>
      <c r="H871" t="n">
        <v>0</v>
      </c>
      <c r="I871" t="n">
        <v>0</v>
      </c>
      <c r="J871" t="n">
        <v>0</v>
      </c>
      <c r="K871" t="n">
        <v>0</v>
      </c>
      <c r="L871" t="n">
        <v>0</v>
      </c>
      <c r="M871" t="n">
        <v>0</v>
      </c>
      <c r="N871" t="n">
        <v>0</v>
      </c>
      <c r="O871" t="n">
        <v>0</v>
      </c>
      <c r="P871" t="n">
        <v>0</v>
      </c>
      <c r="Q871" t="n">
        <v>0</v>
      </c>
      <c r="R871" s="2" t="inlineStr"/>
    </row>
    <row r="872" ht="15" customHeight="1">
      <c r="A872" t="inlineStr">
        <is>
          <t>A 37265-2024</t>
        </is>
      </c>
      <c r="B872" s="1" t="n">
        <v>45540.38564814815</v>
      </c>
      <c r="C872" s="1" t="n">
        <v>46041</v>
      </c>
      <c r="D872" t="inlineStr">
        <is>
          <t>JÄMTLANDS LÄN</t>
        </is>
      </c>
      <c r="E872" t="inlineStr">
        <is>
          <t>RAGUNDA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18612-2024</t>
        </is>
      </c>
      <c r="B873" s="1" t="n">
        <v>45425.96239583333</v>
      </c>
      <c r="C873" s="1" t="n">
        <v>46041</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54820-2025</t>
        </is>
      </c>
      <c r="B874" s="1" t="n">
        <v>45966.65728009259</v>
      </c>
      <c r="C874" s="1" t="n">
        <v>46041</v>
      </c>
      <c r="D874" t="inlineStr">
        <is>
          <t>JÄMTLANDS LÄN</t>
        </is>
      </c>
      <c r="E874" t="inlineStr">
        <is>
          <t>RAGUNDA</t>
        </is>
      </c>
      <c r="G874" t="n">
        <v>15.3</v>
      </c>
      <c r="H874" t="n">
        <v>0</v>
      </c>
      <c r="I874" t="n">
        <v>0</v>
      </c>
      <c r="J874" t="n">
        <v>0</v>
      </c>
      <c r="K874" t="n">
        <v>0</v>
      </c>
      <c r="L874" t="n">
        <v>0</v>
      </c>
      <c r="M874" t="n">
        <v>0</v>
      </c>
      <c r="N874" t="n">
        <v>0</v>
      </c>
      <c r="O874" t="n">
        <v>0</v>
      </c>
      <c r="P874" t="n">
        <v>0</v>
      </c>
      <c r="Q874" t="n">
        <v>0</v>
      </c>
      <c r="R874" s="2" t="inlineStr"/>
    </row>
    <row r="875" ht="15" customHeight="1">
      <c r="A875" t="inlineStr">
        <is>
          <t>A 48249-2024</t>
        </is>
      </c>
      <c r="B875" s="1" t="n">
        <v>45590.40675925926</v>
      </c>
      <c r="C875" s="1" t="n">
        <v>46041</v>
      </c>
      <c r="D875" t="inlineStr">
        <is>
          <t>JÄMTLANDS LÄN</t>
        </is>
      </c>
      <c r="E875" t="inlineStr">
        <is>
          <t>RAGUNDA</t>
        </is>
      </c>
      <c r="F875" t="inlineStr">
        <is>
          <t>SCA</t>
        </is>
      </c>
      <c r="G875" t="n">
        <v>14.4</v>
      </c>
      <c r="H875" t="n">
        <v>0</v>
      </c>
      <c r="I875" t="n">
        <v>0</v>
      </c>
      <c r="J875" t="n">
        <v>0</v>
      </c>
      <c r="K875" t="n">
        <v>0</v>
      </c>
      <c r="L875" t="n">
        <v>0</v>
      </c>
      <c r="M875" t="n">
        <v>0</v>
      </c>
      <c r="N875" t="n">
        <v>0</v>
      </c>
      <c r="O875" t="n">
        <v>0</v>
      </c>
      <c r="P875" t="n">
        <v>0</v>
      </c>
      <c r="Q875" t="n">
        <v>0</v>
      </c>
      <c r="R875" s="2" t="inlineStr"/>
    </row>
    <row r="876" ht="15" customHeight="1">
      <c r="A876" t="inlineStr">
        <is>
          <t>A 50160-2023</t>
        </is>
      </c>
      <c r="B876" s="1" t="n">
        <v>45208</v>
      </c>
      <c r="C876" s="1" t="n">
        <v>46041</v>
      </c>
      <c r="D876" t="inlineStr">
        <is>
          <t>JÄMTLANDS LÄN</t>
        </is>
      </c>
      <c r="E876" t="inlineStr">
        <is>
          <t>RAGUNDA</t>
        </is>
      </c>
      <c r="G876" t="n">
        <v>4.6</v>
      </c>
      <c r="H876" t="n">
        <v>0</v>
      </c>
      <c r="I876" t="n">
        <v>0</v>
      </c>
      <c r="J876" t="n">
        <v>0</v>
      </c>
      <c r="K876" t="n">
        <v>0</v>
      </c>
      <c r="L876" t="n">
        <v>0</v>
      </c>
      <c r="M876" t="n">
        <v>0</v>
      </c>
      <c r="N876" t="n">
        <v>0</v>
      </c>
      <c r="O876" t="n">
        <v>0</v>
      </c>
      <c r="P876" t="n">
        <v>0</v>
      </c>
      <c r="Q876" t="n">
        <v>0</v>
      </c>
      <c r="R876" s="2" t="inlineStr"/>
    </row>
    <row r="877" ht="15" customHeight="1">
      <c r="A877" t="inlineStr">
        <is>
          <t>A 62691-2025</t>
        </is>
      </c>
      <c r="B877" s="1" t="n">
        <v>46008.4759837963</v>
      </c>
      <c r="C877" s="1" t="n">
        <v>46041</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29257-2024</t>
        </is>
      </c>
      <c r="B878" s="1" t="n">
        <v>45482.94815972223</v>
      </c>
      <c r="C878" s="1" t="n">
        <v>46041</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54794-2025</t>
        </is>
      </c>
      <c r="B879" s="1" t="n">
        <v>45966.63592592593</v>
      </c>
      <c r="C879" s="1" t="n">
        <v>46041</v>
      </c>
      <c r="D879" t="inlineStr">
        <is>
          <t>JÄMTLANDS LÄN</t>
        </is>
      </c>
      <c r="E879" t="inlineStr">
        <is>
          <t>RAGUNDA</t>
        </is>
      </c>
      <c r="G879" t="n">
        <v>4</v>
      </c>
      <c r="H879" t="n">
        <v>0</v>
      </c>
      <c r="I879" t="n">
        <v>0</v>
      </c>
      <c r="J879" t="n">
        <v>0</v>
      </c>
      <c r="K879" t="n">
        <v>0</v>
      </c>
      <c r="L879" t="n">
        <v>0</v>
      </c>
      <c r="M879" t="n">
        <v>0</v>
      </c>
      <c r="N879" t="n">
        <v>0</v>
      </c>
      <c r="O879" t="n">
        <v>0</v>
      </c>
      <c r="P879" t="n">
        <v>0</v>
      </c>
      <c r="Q879" t="n">
        <v>0</v>
      </c>
      <c r="R879" s="2" t="inlineStr"/>
    </row>
    <row r="880" ht="15" customHeight="1">
      <c r="A880" t="inlineStr">
        <is>
          <t>A 55487-2023</t>
        </is>
      </c>
      <c r="B880" s="1" t="n">
        <v>45238</v>
      </c>
      <c r="C880" s="1" t="n">
        <v>46041</v>
      </c>
      <c r="D880" t="inlineStr">
        <is>
          <t>JÄMTLANDS LÄN</t>
        </is>
      </c>
      <c r="E880" t="inlineStr">
        <is>
          <t>RAGUNDA</t>
        </is>
      </c>
      <c r="G880" t="n">
        <v>3</v>
      </c>
      <c r="H880" t="n">
        <v>0</v>
      </c>
      <c r="I880" t="n">
        <v>0</v>
      </c>
      <c r="J880" t="n">
        <v>0</v>
      </c>
      <c r="K880" t="n">
        <v>0</v>
      </c>
      <c r="L880" t="n">
        <v>0</v>
      </c>
      <c r="M880" t="n">
        <v>0</v>
      </c>
      <c r="N880" t="n">
        <v>0</v>
      </c>
      <c r="O880" t="n">
        <v>0</v>
      </c>
      <c r="P880" t="n">
        <v>0</v>
      </c>
      <c r="Q880" t="n">
        <v>0</v>
      </c>
      <c r="R880" s="2" t="inlineStr"/>
    </row>
    <row r="881" ht="15" customHeight="1">
      <c r="A881" t="inlineStr">
        <is>
          <t>A 61934-2022</t>
        </is>
      </c>
      <c r="B881" s="1" t="n">
        <v>44917</v>
      </c>
      <c r="C881" s="1" t="n">
        <v>46041</v>
      </c>
      <c r="D881" t="inlineStr">
        <is>
          <t>JÄMTLANDS LÄN</t>
        </is>
      </c>
      <c r="E881" t="inlineStr">
        <is>
          <t>RAGUNDA</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20770-2024</t>
        </is>
      </c>
      <c r="B882" s="1" t="n">
        <v>45436.94613425926</v>
      </c>
      <c r="C882" s="1" t="n">
        <v>46041</v>
      </c>
      <c r="D882" t="inlineStr">
        <is>
          <t>JÄMTLANDS LÄN</t>
        </is>
      </c>
      <c r="E882" t="inlineStr">
        <is>
          <t>RAGUNDA</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11558-2023</t>
        </is>
      </c>
      <c r="B883" s="1" t="n">
        <v>44993.94958333333</v>
      </c>
      <c r="C883" s="1" t="n">
        <v>46041</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19383-2025</t>
        </is>
      </c>
      <c r="B884" s="1" t="n">
        <v>45769.65688657408</v>
      </c>
      <c r="C884" s="1" t="n">
        <v>46041</v>
      </c>
      <c r="D884" t="inlineStr">
        <is>
          <t>JÄMTLANDS LÄN</t>
        </is>
      </c>
      <c r="E884" t="inlineStr">
        <is>
          <t>RAGUNDA</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49648-2023</t>
        </is>
      </c>
      <c r="B885" s="1" t="n">
        <v>45211.95061342593</v>
      </c>
      <c r="C885" s="1" t="n">
        <v>46041</v>
      </c>
      <c r="D885" t="inlineStr">
        <is>
          <t>JÄMTLANDS LÄN</t>
        </is>
      </c>
      <c r="E885" t="inlineStr">
        <is>
          <t>RAGUNDA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12783-2023</t>
        </is>
      </c>
      <c r="B886" s="1" t="n">
        <v>45000</v>
      </c>
      <c r="C886" s="1" t="n">
        <v>46041</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35153-2024</t>
        </is>
      </c>
      <c r="B887" s="1" t="n">
        <v>45530</v>
      </c>
      <c r="C887" s="1" t="n">
        <v>46041</v>
      </c>
      <c r="D887" t="inlineStr">
        <is>
          <t>JÄMTLANDS LÄN</t>
        </is>
      </c>
      <c r="E887" t="inlineStr">
        <is>
          <t>RAGUNDA</t>
        </is>
      </c>
      <c r="G887" t="n">
        <v>2.7</v>
      </c>
      <c r="H887" t="n">
        <v>0</v>
      </c>
      <c r="I887" t="n">
        <v>0</v>
      </c>
      <c r="J887" t="n">
        <v>0</v>
      </c>
      <c r="K887" t="n">
        <v>0</v>
      </c>
      <c r="L887" t="n">
        <v>0</v>
      </c>
      <c r="M887" t="n">
        <v>0</v>
      </c>
      <c r="N887" t="n">
        <v>0</v>
      </c>
      <c r="O887" t="n">
        <v>0</v>
      </c>
      <c r="P887" t="n">
        <v>0</v>
      </c>
      <c r="Q887" t="n">
        <v>0</v>
      </c>
      <c r="R887" s="2" t="inlineStr"/>
    </row>
    <row r="888" ht="15" customHeight="1">
      <c r="A888" t="inlineStr">
        <is>
          <t>A 63060-2025</t>
        </is>
      </c>
      <c r="B888" s="1" t="n">
        <v>46009.64414351852</v>
      </c>
      <c r="C888" s="1" t="n">
        <v>46041</v>
      </c>
      <c r="D888" t="inlineStr">
        <is>
          <t>JÄMTLANDS LÄN</t>
        </is>
      </c>
      <c r="E888" t="inlineStr">
        <is>
          <t>RAGUNDA</t>
        </is>
      </c>
      <c r="G888" t="n">
        <v>6.5</v>
      </c>
      <c r="H888" t="n">
        <v>0</v>
      </c>
      <c r="I888" t="n">
        <v>0</v>
      </c>
      <c r="J888" t="n">
        <v>0</v>
      </c>
      <c r="K888" t="n">
        <v>0</v>
      </c>
      <c r="L888" t="n">
        <v>0</v>
      </c>
      <c r="M888" t="n">
        <v>0</v>
      </c>
      <c r="N888" t="n">
        <v>0</v>
      </c>
      <c r="O888" t="n">
        <v>0</v>
      </c>
      <c r="P888" t="n">
        <v>0</v>
      </c>
      <c r="Q888" t="n">
        <v>0</v>
      </c>
      <c r="R888" s="2" t="inlineStr"/>
    </row>
    <row r="889" ht="15" customHeight="1">
      <c r="A889" t="inlineStr">
        <is>
          <t>A 63057-2025</t>
        </is>
      </c>
      <c r="B889" s="1" t="n">
        <v>46009.63837962963</v>
      </c>
      <c r="C889" s="1" t="n">
        <v>46041</v>
      </c>
      <c r="D889" t="inlineStr">
        <is>
          <t>JÄMTLANDS LÄN</t>
        </is>
      </c>
      <c r="E889" t="inlineStr">
        <is>
          <t>RAGUNDA</t>
        </is>
      </c>
      <c r="G889" t="n">
        <v>13.7</v>
      </c>
      <c r="H889" t="n">
        <v>0</v>
      </c>
      <c r="I889" t="n">
        <v>0</v>
      </c>
      <c r="J889" t="n">
        <v>0</v>
      </c>
      <c r="K889" t="n">
        <v>0</v>
      </c>
      <c r="L889" t="n">
        <v>0</v>
      </c>
      <c r="M889" t="n">
        <v>0</v>
      </c>
      <c r="N889" t="n">
        <v>0</v>
      </c>
      <c r="O889" t="n">
        <v>0</v>
      </c>
      <c r="P889" t="n">
        <v>0</v>
      </c>
      <c r="Q889" t="n">
        <v>0</v>
      </c>
      <c r="R889" s="2" t="inlineStr"/>
    </row>
    <row r="890" ht="15" customHeight="1">
      <c r="A890" t="inlineStr">
        <is>
          <t>A 61197-2023</t>
        </is>
      </c>
      <c r="B890" s="1" t="n">
        <v>45260</v>
      </c>
      <c r="C890" s="1" t="n">
        <v>46041</v>
      </c>
      <c r="D890" t="inlineStr">
        <is>
          <t>JÄMTLANDS LÄN</t>
        </is>
      </c>
      <c r="E890" t="inlineStr">
        <is>
          <t>RAGUNDA</t>
        </is>
      </c>
      <c r="G890" t="n">
        <v>2.5</v>
      </c>
      <c r="H890" t="n">
        <v>0</v>
      </c>
      <c r="I890" t="n">
        <v>0</v>
      </c>
      <c r="J890" t="n">
        <v>0</v>
      </c>
      <c r="K890" t="n">
        <v>0</v>
      </c>
      <c r="L890" t="n">
        <v>0</v>
      </c>
      <c r="M890" t="n">
        <v>0</v>
      </c>
      <c r="N890" t="n">
        <v>0</v>
      </c>
      <c r="O890" t="n">
        <v>0</v>
      </c>
      <c r="P890" t="n">
        <v>0</v>
      </c>
      <c r="Q890" t="n">
        <v>0</v>
      </c>
      <c r="R890" s="2" t="inlineStr"/>
    </row>
    <row r="891" ht="15" customHeight="1">
      <c r="A891" t="inlineStr">
        <is>
          <t>A 62927-2025</t>
        </is>
      </c>
      <c r="B891" s="1" t="n">
        <v>46009.38609953703</v>
      </c>
      <c r="C891" s="1" t="n">
        <v>46041</v>
      </c>
      <c r="D891" t="inlineStr">
        <is>
          <t>JÄMTLANDS LÄN</t>
        </is>
      </c>
      <c r="E891" t="inlineStr">
        <is>
          <t>RAGUNDA</t>
        </is>
      </c>
      <c r="G891" t="n">
        <v>6.3</v>
      </c>
      <c r="H891" t="n">
        <v>0</v>
      </c>
      <c r="I891" t="n">
        <v>0</v>
      </c>
      <c r="J891" t="n">
        <v>0</v>
      </c>
      <c r="K891" t="n">
        <v>0</v>
      </c>
      <c r="L891" t="n">
        <v>0</v>
      </c>
      <c r="M891" t="n">
        <v>0</v>
      </c>
      <c r="N891" t="n">
        <v>0</v>
      </c>
      <c r="O891" t="n">
        <v>0</v>
      </c>
      <c r="P891" t="n">
        <v>0</v>
      </c>
      <c r="Q891" t="n">
        <v>0</v>
      </c>
      <c r="R891" s="2" t="inlineStr"/>
      <c r="U891">
        <f>HYPERLINK("https://klasma.github.io/Logging_2303/knärot/A 62927-2025 karta knärot.png", "A 62927-2025")</f>
        <v/>
      </c>
      <c r="V891">
        <f>HYPERLINK("https://klasma.github.io/Logging_2303/klagomål/A 62927-2025 FSC-klagomål.docx", "A 62927-2025")</f>
        <v/>
      </c>
      <c r="W891">
        <f>HYPERLINK("https://klasma.github.io/Logging_2303/klagomålsmail/A 62927-2025 FSC-klagomål mail.docx", "A 62927-2025")</f>
        <v/>
      </c>
      <c r="X891">
        <f>HYPERLINK("https://klasma.github.io/Logging_2303/tillsyn/A 62927-2025 tillsynsbegäran.docx", "A 62927-2025")</f>
        <v/>
      </c>
      <c r="Y891">
        <f>HYPERLINK("https://klasma.github.io/Logging_2303/tillsynsmail/A 62927-2025 tillsynsbegäran mail.docx", "A 62927-2025")</f>
        <v/>
      </c>
    </row>
    <row r="892" ht="15" customHeight="1">
      <c r="A892" t="inlineStr">
        <is>
          <t>A 63141-2025</t>
        </is>
      </c>
      <c r="B892" s="1" t="n">
        <v>46010.34440972222</v>
      </c>
      <c r="C892" s="1" t="n">
        <v>46041</v>
      </c>
      <c r="D892" t="inlineStr">
        <is>
          <t>JÄMTLANDS LÄN</t>
        </is>
      </c>
      <c r="E892" t="inlineStr">
        <is>
          <t>RAGUNDA</t>
        </is>
      </c>
      <c r="F892" t="inlineStr">
        <is>
          <t>SCA</t>
        </is>
      </c>
      <c r="G892" t="n">
        <v>24.4</v>
      </c>
      <c r="H892" t="n">
        <v>0</v>
      </c>
      <c r="I892" t="n">
        <v>0</v>
      </c>
      <c r="J892" t="n">
        <v>0</v>
      </c>
      <c r="K892" t="n">
        <v>0</v>
      </c>
      <c r="L892" t="n">
        <v>0</v>
      </c>
      <c r="M892" t="n">
        <v>0</v>
      </c>
      <c r="N892" t="n">
        <v>0</v>
      </c>
      <c r="O892" t="n">
        <v>0</v>
      </c>
      <c r="P892" t="n">
        <v>0</v>
      </c>
      <c r="Q892" t="n">
        <v>0</v>
      </c>
      <c r="R892" s="2" t="inlineStr"/>
    </row>
    <row r="893" ht="15" customHeight="1">
      <c r="A893" t="inlineStr">
        <is>
          <t>A 58194-2022</t>
        </is>
      </c>
      <c r="B893" s="1" t="n">
        <v>44900</v>
      </c>
      <c r="C893" s="1" t="n">
        <v>46041</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42875-2024</t>
        </is>
      </c>
      <c r="B894" s="1" t="n">
        <v>45566.68125</v>
      </c>
      <c r="C894" s="1" t="n">
        <v>46041</v>
      </c>
      <c r="D894" t="inlineStr">
        <is>
          <t>JÄMTLANDS LÄN</t>
        </is>
      </c>
      <c r="E894" t="inlineStr">
        <is>
          <t>RAGUNDA</t>
        </is>
      </c>
      <c r="G894" t="n">
        <v>0.5</v>
      </c>
      <c r="H894" t="n">
        <v>0</v>
      </c>
      <c r="I894" t="n">
        <v>0</v>
      </c>
      <c r="J894" t="n">
        <v>0</v>
      </c>
      <c r="K894" t="n">
        <v>0</v>
      </c>
      <c r="L894" t="n">
        <v>0</v>
      </c>
      <c r="M894" t="n">
        <v>0</v>
      </c>
      <c r="N894" t="n">
        <v>0</v>
      </c>
      <c r="O894" t="n">
        <v>0</v>
      </c>
      <c r="P894" t="n">
        <v>0</v>
      </c>
      <c r="Q894" t="n">
        <v>0</v>
      </c>
      <c r="R894" s="2" t="inlineStr"/>
    </row>
    <row r="895" ht="15" customHeight="1">
      <c r="A895" t="inlineStr">
        <is>
          <t>A 55633-2025</t>
        </is>
      </c>
      <c r="B895" s="1" t="n">
        <v>45972</v>
      </c>
      <c r="C895" s="1" t="n">
        <v>46041</v>
      </c>
      <c r="D895" t="inlineStr">
        <is>
          <t>JÄMTLANDS LÄN</t>
        </is>
      </c>
      <c r="E895" t="inlineStr">
        <is>
          <t>RAGUNDA</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55547-2025</t>
        </is>
      </c>
      <c r="B896" s="1" t="n">
        <v>45971</v>
      </c>
      <c r="C896" s="1" t="n">
        <v>46041</v>
      </c>
      <c r="D896" t="inlineStr">
        <is>
          <t>JÄMTLANDS LÄN</t>
        </is>
      </c>
      <c r="E896" t="inlineStr">
        <is>
          <t>RAGUNDA</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15864-2024</t>
        </is>
      </c>
      <c r="B897" s="1" t="n">
        <v>45404.99792824074</v>
      </c>
      <c r="C897" s="1" t="n">
        <v>46041</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c r="U897">
        <f>HYPERLINK("https://klasma.github.io/Logging_2303/knärot/A 15864-2024 karta knärot.png", "A 15864-2024")</f>
        <v/>
      </c>
      <c r="V897">
        <f>HYPERLINK("https://klasma.github.io/Logging_2303/klagomål/A 15864-2024 FSC-klagomål.docx", "A 15864-2024")</f>
        <v/>
      </c>
      <c r="W897">
        <f>HYPERLINK("https://klasma.github.io/Logging_2303/klagomålsmail/A 15864-2024 FSC-klagomål mail.docx", "A 15864-2024")</f>
        <v/>
      </c>
      <c r="X897">
        <f>HYPERLINK("https://klasma.github.io/Logging_2303/tillsyn/A 15864-2024 tillsynsbegäran.docx", "A 15864-2024")</f>
        <v/>
      </c>
      <c r="Y897">
        <f>HYPERLINK("https://klasma.github.io/Logging_2303/tillsynsmail/A 15864-2024 tillsynsbegäran mail.docx", "A 15864-2024")</f>
        <v/>
      </c>
    </row>
    <row r="898" ht="15" customHeight="1">
      <c r="A898" t="inlineStr">
        <is>
          <t>A 4015-2022</t>
        </is>
      </c>
      <c r="B898" s="1" t="n">
        <v>44587.92149305555</v>
      </c>
      <c r="C898" s="1" t="n">
        <v>46041</v>
      </c>
      <c r="D898" t="inlineStr">
        <is>
          <t>JÄMTLANDS LÄN</t>
        </is>
      </c>
      <c r="E898" t="inlineStr">
        <is>
          <t>RAGUNDA</t>
        </is>
      </c>
      <c r="G898" t="n">
        <v>3.9</v>
      </c>
      <c r="H898" t="n">
        <v>0</v>
      </c>
      <c r="I898" t="n">
        <v>0</v>
      </c>
      <c r="J898" t="n">
        <v>0</v>
      </c>
      <c r="K898" t="n">
        <v>0</v>
      </c>
      <c r="L898" t="n">
        <v>0</v>
      </c>
      <c r="M898" t="n">
        <v>0</v>
      </c>
      <c r="N898" t="n">
        <v>0</v>
      </c>
      <c r="O898" t="n">
        <v>0</v>
      </c>
      <c r="P898" t="n">
        <v>0</v>
      </c>
      <c r="Q898" t="n">
        <v>0</v>
      </c>
      <c r="R898" s="2" t="inlineStr"/>
    </row>
    <row r="899" ht="15" customHeight="1">
      <c r="A899" t="inlineStr">
        <is>
          <t>A 31135-2023</t>
        </is>
      </c>
      <c r="B899" s="1" t="n">
        <v>45103</v>
      </c>
      <c r="C899" s="1" t="n">
        <v>46041</v>
      </c>
      <c r="D899" t="inlineStr">
        <is>
          <t>JÄMTLANDS LÄN</t>
        </is>
      </c>
      <c r="E899" t="inlineStr">
        <is>
          <t>RAGUNDA</t>
        </is>
      </c>
      <c r="G899" t="n">
        <v>0.9</v>
      </c>
      <c r="H899" t="n">
        <v>0</v>
      </c>
      <c r="I899" t="n">
        <v>0</v>
      </c>
      <c r="J899" t="n">
        <v>0</v>
      </c>
      <c r="K899" t="n">
        <v>0</v>
      </c>
      <c r="L899" t="n">
        <v>0</v>
      </c>
      <c r="M899" t="n">
        <v>0</v>
      </c>
      <c r="N899" t="n">
        <v>0</v>
      </c>
      <c r="O899" t="n">
        <v>0</v>
      </c>
      <c r="P899" t="n">
        <v>0</v>
      </c>
      <c r="Q899" t="n">
        <v>0</v>
      </c>
      <c r="R899" s="2" t="inlineStr"/>
    </row>
    <row r="900" ht="15" customHeight="1">
      <c r="A900" t="inlineStr">
        <is>
          <t>A 2599-2023</t>
        </is>
      </c>
      <c r="B900" s="1" t="n">
        <v>44943.94802083333</v>
      </c>
      <c r="C900" s="1" t="n">
        <v>46041</v>
      </c>
      <c r="D900" t="inlineStr">
        <is>
          <t>JÄMTLANDS LÄN</t>
        </is>
      </c>
      <c r="E900" t="inlineStr">
        <is>
          <t>RAGUNDA</t>
        </is>
      </c>
      <c r="F900" t="inlineStr">
        <is>
          <t>SCA</t>
        </is>
      </c>
      <c r="G900" t="n">
        <v>5.9</v>
      </c>
      <c r="H900" t="n">
        <v>0</v>
      </c>
      <c r="I900" t="n">
        <v>0</v>
      </c>
      <c r="J900" t="n">
        <v>0</v>
      </c>
      <c r="K900" t="n">
        <v>0</v>
      </c>
      <c r="L900" t="n">
        <v>0</v>
      </c>
      <c r="M900" t="n">
        <v>0</v>
      </c>
      <c r="N900" t="n">
        <v>0</v>
      </c>
      <c r="O900" t="n">
        <v>0</v>
      </c>
      <c r="P900" t="n">
        <v>0</v>
      </c>
      <c r="Q900" t="n">
        <v>0</v>
      </c>
      <c r="R900" s="2" t="inlineStr"/>
    </row>
    <row r="901" ht="15" customHeight="1">
      <c r="A901" t="inlineStr">
        <is>
          <t>A 59044-2022</t>
        </is>
      </c>
      <c r="B901" s="1" t="n">
        <v>44903</v>
      </c>
      <c r="C901" s="1" t="n">
        <v>46041</v>
      </c>
      <c r="D901" t="inlineStr">
        <is>
          <t>JÄMTLANDS LÄN</t>
        </is>
      </c>
      <c r="E901" t="inlineStr">
        <is>
          <t>RAGUNDA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13767-2022</t>
        </is>
      </c>
      <c r="B902" s="1" t="n">
        <v>44649.47048611111</v>
      </c>
      <c r="C902" s="1" t="n">
        <v>46041</v>
      </c>
      <c r="D902" t="inlineStr">
        <is>
          <t>JÄMTLANDS LÄN</t>
        </is>
      </c>
      <c r="E902" t="inlineStr">
        <is>
          <t>RAGUNDA</t>
        </is>
      </c>
      <c r="F902" t="inlineStr">
        <is>
          <t>Kommuner</t>
        </is>
      </c>
      <c r="G902" t="n">
        <v>3.1</v>
      </c>
      <c r="H902" t="n">
        <v>0</v>
      </c>
      <c r="I902" t="n">
        <v>0</v>
      </c>
      <c r="J902" t="n">
        <v>0</v>
      </c>
      <c r="K902" t="n">
        <v>0</v>
      </c>
      <c r="L902" t="n">
        <v>0</v>
      </c>
      <c r="M902" t="n">
        <v>0</v>
      </c>
      <c r="N902" t="n">
        <v>0</v>
      </c>
      <c r="O902" t="n">
        <v>0</v>
      </c>
      <c r="P902" t="n">
        <v>0</v>
      </c>
      <c r="Q902" t="n">
        <v>0</v>
      </c>
      <c r="R902" s="2" t="inlineStr"/>
    </row>
    <row r="903" ht="15" customHeight="1">
      <c r="A903" t="inlineStr">
        <is>
          <t>A 63578-2025</t>
        </is>
      </c>
      <c r="B903" s="1" t="n">
        <v>46013.67690972222</v>
      </c>
      <c r="C903" s="1" t="n">
        <v>46041</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63672-2025</t>
        </is>
      </c>
      <c r="B904" s="1" t="n">
        <v>46014.47575231481</v>
      </c>
      <c r="C904" s="1" t="n">
        <v>46041</v>
      </c>
      <c r="D904" t="inlineStr">
        <is>
          <t>JÄMTLANDS LÄN</t>
        </is>
      </c>
      <c r="E904" t="inlineStr">
        <is>
          <t>RAGUNDA</t>
        </is>
      </c>
      <c r="G904" t="n">
        <v>0.8</v>
      </c>
      <c r="H904" t="n">
        <v>0</v>
      </c>
      <c r="I904" t="n">
        <v>0</v>
      </c>
      <c r="J904" t="n">
        <v>0</v>
      </c>
      <c r="K904" t="n">
        <v>0</v>
      </c>
      <c r="L904" t="n">
        <v>0</v>
      </c>
      <c r="M904" t="n">
        <v>0</v>
      </c>
      <c r="N904" t="n">
        <v>0</v>
      </c>
      <c r="O904" t="n">
        <v>0</v>
      </c>
      <c r="P904" t="n">
        <v>0</v>
      </c>
      <c r="Q904" t="n">
        <v>0</v>
      </c>
      <c r="R904" s="2" t="inlineStr"/>
    </row>
    <row r="905" ht="15" customHeight="1">
      <c r="A905" t="inlineStr">
        <is>
          <t>A 22569-2023</t>
        </is>
      </c>
      <c r="B905" s="1" t="n">
        <v>45069</v>
      </c>
      <c r="C905" s="1" t="n">
        <v>46041</v>
      </c>
      <c r="D905" t="inlineStr">
        <is>
          <t>JÄMTLANDS LÄN</t>
        </is>
      </c>
      <c r="E905" t="inlineStr">
        <is>
          <t>RAGUNDA</t>
        </is>
      </c>
      <c r="G905" t="n">
        <v>6.6</v>
      </c>
      <c r="H905" t="n">
        <v>0</v>
      </c>
      <c r="I905" t="n">
        <v>0</v>
      </c>
      <c r="J905" t="n">
        <v>0</v>
      </c>
      <c r="K905" t="n">
        <v>0</v>
      </c>
      <c r="L905" t="n">
        <v>0</v>
      </c>
      <c r="M905" t="n">
        <v>0</v>
      </c>
      <c r="N905" t="n">
        <v>0</v>
      </c>
      <c r="O905" t="n">
        <v>0</v>
      </c>
      <c r="P905" t="n">
        <v>0</v>
      </c>
      <c r="Q905" t="n">
        <v>0</v>
      </c>
      <c r="R905" s="2" t="inlineStr"/>
    </row>
    <row r="906" ht="15" customHeight="1">
      <c r="A906" t="inlineStr">
        <is>
          <t>A 4014-2022</t>
        </is>
      </c>
      <c r="B906" s="1" t="n">
        <v>44587.92144675926</v>
      </c>
      <c r="C906" s="1" t="n">
        <v>46041</v>
      </c>
      <c r="D906" t="inlineStr">
        <is>
          <t>JÄMTLANDS LÄN</t>
        </is>
      </c>
      <c r="E906" t="inlineStr">
        <is>
          <t>RAGUNDA</t>
        </is>
      </c>
      <c r="G906" t="n">
        <v>3.6</v>
      </c>
      <c r="H906" t="n">
        <v>0</v>
      </c>
      <c r="I906" t="n">
        <v>0</v>
      </c>
      <c r="J906" t="n">
        <v>0</v>
      </c>
      <c r="K906" t="n">
        <v>0</v>
      </c>
      <c r="L906" t="n">
        <v>0</v>
      </c>
      <c r="M906" t="n">
        <v>0</v>
      </c>
      <c r="N906" t="n">
        <v>0</v>
      </c>
      <c r="O906" t="n">
        <v>0</v>
      </c>
      <c r="P906" t="n">
        <v>0</v>
      </c>
      <c r="Q906" t="n">
        <v>0</v>
      </c>
      <c r="R906" s="2" t="inlineStr"/>
    </row>
    <row r="907" ht="15" customHeight="1">
      <c r="A907" t="inlineStr">
        <is>
          <t>A 8243-2024</t>
        </is>
      </c>
      <c r="B907" s="1" t="n">
        <v>45351.98532407408</v>
      </c>
      <c r="C907" s="1" t="n">
        <v>46041</v>
      </c>
      <c r="D907" t="inlineStr">
        <is>
          <t>JÄMTLANDS LÄN</t>
        </is>
      </c>
      <c r="E907" t="inlineStr">
        <is>
          <t>RAGUNDA</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6902-2024</t>
        </is>
      </c>
      <c r="B908" s="1" t="n">
        <v>45342</v>
      </c>
      <c r="C908" s="1" t="n">
        <v>46041</v>
      </c>
      <c r="D908" t="inlineStr">
        <is>
          <t>JÄMTLANDS LÄN</t>
        </is>
      </c>
      <c r="E908" t="inlineStr">
        <is>
          <t>RAGUNDA</t>
        </is>
      </c>
      <c r="F908" t="inlineStr">
        <is>
          <t>SCA</t>
        </is>
      </c>
      <c r="G908" t="n">
        <v>18.7</v>
      </c>
      <c r="H908" t="n">
        <v>0</v>
      </c>
      <c r="I908" t="n">
        <v>0</v>
      </c>
      <c r="J908" t="n">
        <v>0</v>
      </c>
      <c r="K908" t="n">
        <v>0</v>
      </c>
      <c r="L908" t="n">
        <v>0</v>
      </c>
      <c r="M908" t="n">
        <v>0</v>
      </c>
      <c r="N908" t="n">
        <v>0</v>
      </c>
      <c r="O908" t="n">
        <v>0</v>
      </c>
      <c r="P908" t="n">
        <v>0</v>
      </c>
      <c r="Q908" t="n">
        <v>0</v>
      </c>
      <c r="R908" s="2" t="inlineStr"/>
    </row>
    <row r="909" ht="15" customHeight="1">
      <c r="A909" t="inlineStr">
        <is>
          <t>A 6905-2024</t>
        </is>
      </c>
      <c r="B909" s="1" t="n">
        <v>45342.9462037037</v>
      </c>
      <c r="C909" s="1" t="n">
        <v>46041</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4212-2024</t>
        </is>
      </c>
      <c r="B910" s="1" t="n">
        <v>45324</v>
      </c>
      <c r="C910" s="1" t="n">
        <v>46041</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43405-2023</t>
        </is>
      </c>
      <c r="B911" s="1" t="n">
        <v>45183.95563657407</v>
      </c>
      <c r="C911" s="1" t="n">
        <v>46041</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55671-2025</t>
        </is>
      </c>
      <c r="B912" s="1" t="n">
        <v>45972</v>
      </c>
      <c r="C912" s="1" t="n">
        <v>46041</v>
      </c>
      <c r="D912" t="inlineStr">
        <is>
          <t>JÄMTLANDS LÄN</t>
        </is>
      </c>
      <c r="E912" t="inlineStr">
        <is>
          <t>RAGUNDA</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63671-2025</t>
        </is>
      </c>
      <c r="B913" s="1" t="n">
        <v>46014.46555555556</v>
      </c>
      <c r="C913" s="1" t="n">
        <v>46041</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56984-2022</t>
        </is>
      </c>
      <c r="B914" s="1" t="n">
        <v>44894.79018518519</v>
      </c>
      <c r="C914" s="1" t="n">
        <v>46041</v>
      </c>
      <c r="D914" t="inlineStr">
        <is>
          <t>JÄMTLANDS LÄN</t>
        </is>
      </c>
      <c r="E914" t="inlineStr">
        <is>
          <t>RAGUNDA</t>
        </is>
      </c>
      <c r="G914" t="n">
        <v>1.4</v>
      </c>
      <c r="H914" t="n">
        <v>0</v>
      </c>
      <c r="I914" t="n">
        <v>0</v>
      </c>
      <c r="J914" t="n">
        <v>0</v>
      </c>
      <c r="K914" t="n">
        <v>0</v>
      </c>
      <c r="L914" t="n">
        <v>0</v>
      </c>
      <c r="M914" t="n">
        <v>0</v>
      </c>
      <c r="N914" t="n">
        <v>0</v>
      </c>
      <c r="O914" t="n">
        <v>0</v>
      </c>
      <c r="P914" t="n">
        <v>0</v>
      </c>
      <c r="Q914" t="n">
        <v>0</v>
      </c>
      <c r="R914" s="2" t="inlineStr"/>
    </row>
    <row r="915" ht="15" customHeight="1">
      <c r="A915" t="inlineStr">
        <is>
          <t>A 56170-2025</t>
        </is>
      </c>
      <c r="B915" s="1" t="n">
        <v>45974.39398148148</v>
      </c>
      <c r="C915" s="1" t="n">
        <v>46041</v>
      </c>
      <c r="D915" t="inlineStr">
        <is>
          <t>JÄMTLANDS LÄN</t>
        </is>
      </c>
      <c r="E915" t="inlineStr">
        <is>
          <t>RAGUNDA</t>
        </is>
      </c>
      <c r="G915" t="n">
        <v>2</v>
      </c>
      <c r="H915" t="n">
        <v>0</v>
      </c>
      <c r="I915" t="n">
        <v>0</v>
      </c>
      <c r="J915" t="n">
        <v>0</v>
      </c>
      <c r="K915" t="n">
        <v>0</v>
      </c>
      <c r="L915" t="n">
        <v>0</v>
      </c>
      <c r="M915" t="n">
        <v>0</v>
      </c>
      <c r="N915" t="n">
        <v>0</v>
      </c>
      <c r="O915" t="n">
        <v>0</v>
      </c>
      <c r="P915" t="n">
        <v>0</v>
      </c>
      <c r="Q915" t="n">
        <v>0</v>
      </c>
      <c r="R915" s="2" t="inlineStr"/>
    </row>
    <row r="916" ht="15" customHeight="1">
      <c r="A916" t="inlineStr">
        <is>
          <t>A 53989-2024</t>
        </is>
      </c>
      <c r="B916" s="1" t="n">
        <v>45616.34479166667</v>
      </c>
      <c r="C916" s="1" t="n">
        <v>46041</v>
      </c>
      <c r="D916" t="inlineStr">
        <is>
          <t>JÄMTLANDS LÄN</t>
        </is>
      </c>
      <c r="E916" t="inlineStr">
        <is>
          <t>RAGUNDA</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5958-2023</t>
        </is>
      </c>
      <c r="B917" s="1" t="n">
        <v>44963</v>
      </c>
      <c r="C917" s="1" t="n">
        <v>46041</v>
      </c>
      <c r="D917" t="inlineStr">
        <is>
          <t>JÄMTLANDS LÄN</t>
        </is>
      </c>
      <c r="E917" t="inlineStr">
        <is>
          <t>RAGUNDA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55897-2025</t>
        </is>
      </c>
      <c r="B918" s="1" t="n">
        <v>45973.38600694444</v>
      </c>
      <c r="C918" s="1" t="n">
        <v>46041</v>
      </c>
      <c r="D918" t="inlineStr">
        <is>
          <t>JÄMTLANDS LÄN</t>
        </is>
      </c>
      <c r="E918" t="inlineStr">
        <is>
          <t>RAGUNDA</t>
        </is>
      </c>
      <c r="F918" t="inlineStr">
        <is>
          <t>SCA</t>
        </is>
      </c>
      <c r="G918" t="n">
        <v>14.1</v>
      </c>
      <c r="H918" t="n">
        <v>0</v>
      </c>
      <c r="I918" t="n">
        <v>0</v>
      </c>
      <c r="J918" t="n">
        <v>0</v>
      </c>
      <c r="K918" t="n">
        <v>0</v>
      </c>
      <c r="L918" t="n">
        <v>0</v>
      </c>
      <c r="M918" t="n">
        <v>0</v>
      </c>
      <c r="N918" t="n">
        <v>0</v>
      </c>
      <c r="O918" t="n">
        <v>0</v>
      </c>
      <c r="P918" t="n">
        <v>0</v>
      </c>
      <c r="Q918" t="n">
        <v>0</v>
      </c>
      <c r="R918" s="2" t="inlineStr"/>
    </row>
    <row r="919" ht="15" customHeight="1">
      <c r="A919" t="inlineStr">
        <is>
          <t>A 42509-2023</t>
        </is>
      </c>
      <c r="B919" s="1" t="n">
        <v>45180</v>
      </c>
      <c r="C919" s="1" t="n">
        <v>46041</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42510-2023</t>
        </is>
      </c>
      <c r="B920" s="1" t="n">
        <v>45180.95927083334</v>
      </c>
      <c r="C920" s="1" t="n">
        <v>46041</v>
      </c>
      <c r="D920" t="inlineStr">
        <is>
          <t>JÄMTLANDS LÄN</t>
        </is>
      </c>
      <c r="E920" t="inlineStr">
        <is>
          <t>RAGUNDA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55797-2025</t>
        </is>
      </c>
      <c r="B921" s="1" t="n">
        <v>45972.65693287037</v>
      </c>
      <c r="C921" s="1" t="n">
        <v>46041</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50521-2024</t>
        </is>
      </c>
      <c r="B922" s="1" t="n">
        <v>45601.55331018518</v>
      </c>
      <c r="C922" s="1" t="n">
        <v>46041</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11048-2023</t>
        </is>
      </c>
      <c r="B923" s="1" t="n">
        <v>44991</v>
      </c>
      <c r="C923" s="1" t="n">
        <v>46041</v>
      </c>
      <c r="D923" t="inlineStr">
        <is>
          <t>JÄMTLANDS LÄN</t>
        </is>
      </c>
      <c r="E923" t="inlineStr">
        <is>
          <t>RAGUNDA</t>
        </is>
      </c>
      <c r="F923" t="inlineStr">
        <is>
          <t>SCA</t>
        </is>
      </c>
      <c r="G923" t="n">
        <v>13.5</v>
      </c>
      <c r="H923" t="n">
        <v>0</v>
      </c>
      <c r="I923" t="n">
        <v>0</v>
      </c>
      <c r="J923" t="n">
        <v>0</v>
      </c>
      <c r="K923" t="n">
        <v>0</v>
      </c>
      <c r="L923" t="n">
        <v>0</v>
      </c>
      <c r="M923" t="n">
        <v>0</v>
      </c>
      <c r="N923" t="n">
        <v>0</v>
      </c>
      <c r="O923" t="n">
        <v>0</v>
      </c>
      <c r="P923" t="n">
        <v>0</v>
      </c>
      <c r="Q923" t="n">
        <v>0</v>
      </c>
      <c r="R923" s="2" t="inlineStr"/>
    </row>
    <row r="924" ht="15" customHeight="1">
      <c r="A924" t="inlineStr">
        <is>
          <t>A 29920-2024</t>
        </is>
      </c>
      <c r="B924" s="1" t="n">
        <v>45487.92856481481</v>
      </c>
      <c r="C924" s="1" t="n">
        <v>46041</v>
      </c>
      <c r="D924" t="inlineStr">
        <is>
          <t>JÄMTLANDS LÄN</t>
        </is>
      </c>
      <c r="E924" t="inlineStr">
        <is>
          <t>RAGUNDA</t>
        </is>
      </c>
      <c r="G924" t="n">
        <v>3.4</v>
      </c>
      <c r="H924" t="n">
        <v>0</v>
      </c>
      <c r="I924" t="n">
        <v>0</v>
      </c>
      <c r="J924" t="n">
        <v>0</v>
      </c>
      <c r="K924" t="n">
        <v>0</v>
      </c>
      <c r="L924" t="n">
        <v>0</v>
      </c>
      <c r="M924" t="n">
        <v>0</v>
      </c>
      <c r="N924" t="n">
        <v>0</v>
      </c>
      <c r="O924" t="n">
        <v>0</v>
      </c>
      <c r="P924" t="n">
        <v>0</v>
      </c>
      <c r="Q924" t="n">
        <v>0</v>
      </c>
      <c r="R924" s="2" t="inlineStr"/>
    </row>
    <row r="925" ht="15" customHeight="1">
      <c r="A925" t="inlineStr">
        <is>
          <t>A 62011-2022</t>
        </is>
      </c>
      <c r="B925" s="1" t="n">
        <v>44914</v>
      </c>
      <c r="C925" s="1" t="n">
        <v>46041</v>
      </c>
      <c r="D925" t="inlineStr">
        <is>
          <t>JÄMTLANDS LÄN</t>
        </is>
      </c>
      <c r="E925" t="inlineStr">
        <is>
          <t>RAGUNDA</t>
        </is>
      </c>
      <c r="G925" t="n">
        <v>0.3</v>
      </c>
      <c r="H925" t="n">
        <v>0</v>
      </c>
      <c r="I925" t="n">
        <v>0</v>
      </c>
      <c r="J925" t="n">
        <v>0</v>
      </c>
      <c r="K925" t="n">
        <v>0</v>
      </c>
      <c r="L925" t="n">
        <v>0</v>
      </c>
      <c r="M925" t="n">
        <v>0</v>
      </c>
      <c r="N925" t="n">
        <v>0</v>
      </c>
      <c r="O925" t="n">
        <v>0</v>
      </c>
      <c r="P925" t="n">
        <v>0</v>
      </c>
      <c r="Q925" t="n">
        <v>0</v>
      </c>
      <c r="R925" s="2" t="inlineStr"/>
    </row>
    <row r="926" ht="15" customHeight="1">
      <c r="A926" t="inlineStr">
        <is>
          <t>A 56806-2025</t>
        </is>
      </c>
      <c r="B926" s="1" t="n">
        <v>45978.44842592593</v>
      </c>
      <c r="C926" s="1" t="n">
        <v>46041</v>
      </c>
      <c r="D926" t="inlineStr">
        <is>
          <t>JÄMTLANDS LÄN</t>
        </is>
      </c>
      <c r="E926" t="inlineStr">
        <is>
          <t>RAGUNDA</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22311-2024</t>
        </is>
      </c>
      <c r="B927" s="1" t="n">
        <v>45446.57052083333</v>
      </c>
      <c r="C927" s="1" t="n">
        <v>46041</v>
      </c>
      <c r="D927" t="inlineStr">
        <is>
          <t>JÄMTLANDS LÄN</t>
        </is>
      </c>
      <c r="E927" t="inlineStr">
        <is>
          <t>RAGUNDA</t>
        </is>
      </c>
      <c r="G927" t="n">
        <v>1.3</v>
      </c>
      <c r="H927" t="n">
        <v>0</v>
      </c>
      <c r="I927" t="n">
        <v>0</v>
      </c>
      <c r="J927" t="n">
        <v>0</v>
      </c>
      <c r="K927" t="n">
        <v>0</v>
      </c>
      <c r="L927" t="n">
        <v>0</v>
      </c>
      <c r="M927" t="n">
        <v>0</v>
      </c>
      <c r="N927" t="n">
        <v>0</v>
      </c>
      <c r="O927" t="n">
        <v>0</v>
      </c>
      <c r="P927" t="n">
        <v>0</v>
      </c>
      <c r="Q927" t="n">
        <v>0</v>
      </c>
      <c r="R927" s="2" t="inlineStr"/>
    </row>
    <row r="928" ht="15" customHeight="1">
      <c r="A928" t="inlineStr">
        <is>
          <t>A 19866-2023</t>
        </is>
      </c>
      <c r="B928" s="1" t="n">
        <v>45053.94313657407</v>
      </c>
      <c r="C928" s="1" t="n">
        <v>46041</v>
      </c>
      <c r="D928" t="inlineStr">
        <is>
          <t>JÄMTLANDS LÄN</t>
        </is>
      </c>
      <c r="E928" t="inlineStr">
        <is>
          <t>RAGUNDA</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53935-2022</t>
        </is>
      </c>
      <c r="B929" s="1" t="n">
        <v>44880</v>
      </c>
      <c r="C929" s="1" t="n">
        <v>46041</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18631-2024</t>
        </is>
      </c>
      <c r="B930" s="1" t="n">
        <v>45425.96494212963</v>
      </c>
      <c r="C930" s="1" t="n">
        <v>46041</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16364-2023</t>
        </is>
      </c>
      <c r="B931" s="1" t="n">
        <v>45028</v>
      </c>
      <c r="C931" s="1" t="n">
        <v>46041</v>
      </c>
      <c r="D931" t="inlineStr">
        <is>
          <t>JÄMTLANDS LÄN</t>
        </is>
      </c>
      <c r="E931" t="inlineStr">
        <is>
          <t>RAGUNDA</t>
        </is>
      </c>
      <c r="G931" t="n">
        <v>0.5</v>
      </c>
      <c r="H931" t="n">
        <v>0</v>
      </c>
      <c r="I931" t="n">
        <v>0</v>
      </c>
      <c r="J931" t="n">
        <v>0</v>
      </c>
      <c r="K931" t="n">
        <v>0</v>
      </c>
      <c r="L931" t="n">
        <v>0</v>
      </c>
      <c r="M931" t="n">
        <v>0</v>
      </c>
      <c r="N931" t="n">
        <v>0</v>
      </c>
      <c r="O931" t="n">
        <v>0</v>
      </c>
      <c r="P931" t="n">
        <v>0</v>
      </c>
      <c r="Q931" t="n">
        <v>0</v>
      </c>
      <c r="R931" s="2" t="inlineStr"/>
    </row>
    <row r="932" ht="15" customHeight="1">
      <c r="A932" t="inlineStr">
        <is>
          <t>A 46549-2023</t>
        </is>
      </c>
      <c r="B932" s="1" t="n">
        <v>45197.94171296297</v>
      </c>
      <c r="C932" s="1" t="n">
        <v>46041</v>
      </c>
      <c r="D932" t="inlineStr">
        <is>
          <t>JÄMTLANDS LÄN</t>
        </is>
      </c>
      <c r="E932" t="inlineStr">
        <is>
          <t>RAGUNDA</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12805-2025</t>
        </is>
      </c>
      <c r="B933" s="1" t="n">
        <v>45733.61497685185</v>
      </c>
      <c r="C933" s="1" t="n">
        <v>46041</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11062-2023</t>
        </is>
      </c>
      <c r="B934" s="1" t="n">
        <v>44991</v>
      </c>
      <c r="C934" s="1" t="n">
        <v>46041</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46041</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40246-2024</t>
        </is>
      </c>
      <c r="B936" s="1" t="n">
        <v>45554.61583333334</v>
      </c>
      <c r="C936" s="1" t="n">
        <v>46041</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46041</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4882-2023</t>
        </is>
      </c>
      <c r="B938" s="1" t="n">
        <v>44957.94075231482</v>
      </c>
      <c r="C938" s="1" t="n">
        <v>46041</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39608-2024</t>
        </is>
      </c>
      <c r="B939" s="1" t="n">
        <v>45552.39113425926</v>
      </c>
      <c r="C939" s="1" t="n">
        <v>46041</v>
      </c>
      <c r="D939" t="inlineStr">
        <is>
          <t>JÄMTLANDS LÄN</t>
        </is>
      </c>
      <c r="E939" t="inlineStr">
        <is>
          <t>RAGUNDA</t>
        </is>
      </c>
      <c r="G939" t="n">
        <v>3.2</v>
      </c>
      <c r="H939" t="n">
        <v>0</v>
      </c>
      <c r="I939" t="n">
        <v>0</v>
      </c>
      <c r="J939" t="n">
        <v>0</v>
      </c>
      <c r="K939" t="n">
        <v>0</v>
      </c>
      <c r="L939" t="n">
        <v>0</v>
      </c>
      <c r="M939" t="n">
        <v>0</v>
      </c>
      <c r="N939" t="n">
        <v>0</v>
      </c>
      <c r="O939" t="n">
        <v>0</v>
      </c>
      <c r="P939" t="n">
        <v>0</v>
      </c>
      <c r="Q939" t="n">
        <v>0</v>
      </c>
      <c r="R939" s="2" t="inlineStr"/>
    </row>
    <row r="940" ht="15" customHeight="1">
      <c r="A940" t="inlineStr">
        <is>
          <t>A 18454-2021</t>
        </is>
      </c>
      <c r="B940" s="1" t="n">
        <v>44305.92047453704</v>
      </c>
      <c r="C940" s="1" t="n">
        <v>46041</v>
      </c>
      <c r="D940" t="inlineStr">
        <is>
          <t>JÄMTLANDS LÄN</t>
        </is>
      </c>
      <c r="E940" t="inlineStr">
        <is>
          <t>RAGUNDA</t>
        </is>
      </c>
      <c r="G940" t="n">
        <v>1.3</v>
      </c>
      <c r="H940" t="n">
        <v>0</v>
      </c>
      <c r="I940" t="n">
        <v>0</v>
      </c>
      <c r="J940" t="n">
        <v>0</v>
      </c>
      <c r="K940" t="n">
        <v>0</v>
      </c>
      <c r="L940" t="n">
        <v>0</v>
      </c>
      <c r="M940" t="n">
        <v>0</v>
      </c>
      <c r="N940" t="n">
        <v>0</v>
      </c>
      <c r="O940" t="n">
        <v>0</v>
      </c>
      <c r="P940" t="n">
        <v>0</v>
      </c>
      <c r="Q940" t="n">
        <v>0</v>
      </c>
      <c r="R940" s="2" t="inlineStr"/>
    </row>
    <row r="941" ht="15" customHeight="1">
      <c r="A941" t="inlineStr">
        <is>
          <t>A 21853-2024</t>
        </is>
      </c>
      <c r="B941" s="1" t="n">
        <v>45442.96296296296</v>
      </c>
      <c r="C941" s="1" t="n">
        <v>46041</v>
      </c>
      <c r="D941" t="inlineStr">
        <is>
          <t>JÄMTLANDS LÄN</t>
        </is>
      </c>
      <c r="E941" t="inlineStr">
        <is>
          <t>RAGUNDA</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29775-2023</t>
        </is>
      </c>
      <c r="B942" s="1" t="n">
        <v>45098</v>
      </c>
      <c r="C942" s="1" t="n">
        <v>46041</v>
      </c>
      <c r="D942" t="inlineStr">
        <is>
          <t>JÄMTLANDS LÄN</t>
        </is>
      </c>
      <c r="E942" t="inlineStr">
        <is>
          <t>RAGUNDA</t>
        </is>
      </c>
      <c r="G942" t="n">
        <v>3.6</v>
      </c>
      <c r="H942" t="n">
        <v>0</v>
      </c>
      <c r="I942" t="n">
        <v>0</v>
      </c>
      <c r="J942" t="n">
        <v>0</v>
      </c>
      <c r="K942" t="n">
        <v>0</v>
      </c>
      <c r="L942" t="n">
        <v>0</v>
      </c>
      <c r="M942" t="n">
        <v>0</v>
      </c>
      <c r="N942" t="n">
        <v>0</v>
      </c>
      <c r="O942" t="n">
        <v>0</v>
      </c>
      <c r="P942" t="n">
        <v>0</v>
      </c>
      <c r="Q942" t="n">
        <v>0</v>
      </c>
      <c r="R942" s="2" t="inlineStr"/>
    </row>
    <row r="943" ht="15" customHeight="1">
      <c r="A943" t="inlineStr">
        <is>
          <t>A 26455-2023</t>
        </is>
      </c>
      <c r="B943" s="1" t="n">
        <v>45092</v>
      </c>
      <c r="C943" s="1" t="n">
        <v>46041</v>
      </c>
      <c r="D943" t="inlineStr">
        <is>
          <t>JÄMTLANDS LÄN</t>
        </is>
      </c>
      <c r="E943" t="inlineStr">
        <is>
          <t>RAGUNDA</t>
        </is>
      </c>
      <c r="G943" t="n">
        <v>3.8</v>
      </c>
      <c r="H943" t="n">
        <v>0</v>
      </c>
      <c r="I943" t="n">
        <v>0</v>
      </c>
      <c r="J943" t="n">
        <v>0</v>
      </c>
      <c r="K943" t="n">
        <v>0</v>
      </c>
      <c r="L943" t="n">
        <v>0</v>
      </c>
      <c r="M943" t="n">
        <v>0</v>
      </c>
      <c r="N943" t="n">
        <v>0</v>
      </c>
      <c r="O943" t="n">
        <v>0</v>
      </c>
      <c r="P943" t="n">
        <v>0</v>
      </c>
      <c r="Q943" t="n">
        <v>0</v>
      </c>
      <c r="R943" s="2" t="inlineStr"/>
    </row>
    <row r="944" ht="15" customHeight="1">
      <c r="A944" t="inlineStr">
        <is>
          <t>A 40365-2024</t>
        </is>
      </c>
      <c r="B944" s="1" t="n">
        <v>45555.38509259259</v>
      </c>
      <c r="C944" s="1" t="n">
        <v>46041</v>
      </c>
      <c r="D944" t="inlineStr">
        <is>
          <t>JÄMTLANDS LÄN</t>
        </is>
      </c>
      <c r="E944" t="inlineStr">
        <is>
          <t>RAGUNDA</t>
        </is>
      </c>
      <c r="G944" t="n">
        <v>7.8</v>
      </c>
      <c r="H944" t="n">
        <v>0</v>
      </c>
      <c r="I944" t="n">
        <v>0</v>
      </c>
      <c r="J944" t="n">
        <v>0</v>
      </c>
      <c r="K944" t="n">
        <v>0</v>
      </c>
      <c r="L944" t="n">
        <v>0</v>
      </c>
      <c r="M944" t="n">
        <v>0</v>
      </c>
      <c r="N944" t="n">
        <v>0</v>
      </c>
      <c r="O944" t="n">
        <v>0</v>
      </c>
      <c r="P944" t="n">
        <v>0</v>
      </c>
      <c r="Q944" t="n">
        <v>0</v>
      </c>
      <c r="R944" s="2" t="inlineStr"/>
    </row>
    <row r="945" ht="15" customHeight="1">
      <c r="A945" t="inlineStr">
        <is>
          <t>A 6801-2023</t>
        </is>
      </c>
      <c r="B945" s="1" t="n">
        <v>44966.95328703704</v>
      </c>
      <c r="C945" s="1" t="n">
        <v>46041</v>
      </c>
      <c r="D945" t="inlineStr">
        <is>
          <t>JÄMTLANDS LÄN</t>
        </is>
      </c>
      <c r="E945" t="inlineStr">
        <is>
          <t>RAGUNDA</t>
        </is>
      </c>
      <c r="F945" t="inlineStr">
        <is>
          <t>SCA</t>
        </is>
      </c>
      <c r="G945" t="n">
        <v>10.6</v>
      </c>
      <c r="H945" t="n">
        <v>0</v>
      </c>
      <c r="I945" t="n">
        <v>0</v>
      </c>
      <c r="J945" t="n">
        <v>0</v>
      </c>
      <c r="K945" t="n">
        <v>0</v>
      </c>
      <c r="L945" t="n">
        <v>0</v>
      </c>
      <c r="M945" t="n">
        <v>0</v>
      </c>
      <c r="N945" t="n">
        <v>0</v>
      </c>
      <c r="O945" t="n">
        <v>0</v>
      </c>
      <c r="P945" t="n">
        <v>0</v>
      </c>
      <c r="Q945" t="n">
        <v>0</v>
      </c>
      <c r="R945" s="2" t="inlineStr"/>
    </row>
    <row r="946" ht="15" customHeight="1">
      <c r="A946" t="inlineStr">
        <is>
          <t>A 5967-2021</t>
        </is>
      </c>
      <c r="B946" s="1" t="n">
        <v>44231</v>
      </c>
      <c r="C946" s="1" t="n">
        <v>46041</v>
      </c>
      <c r="D946" t="inlineStr">
        <is>
          <t>JÄMTLANDS LÄN</t>
        </is>
      </c>
      <c r="E946" t="inlineStr">
        <is>
          <t>RAGUNDA</t>
        </is>
      </c>
      <c r="G946" t="n">
        <v>3.6</v>
      </c>
      <c r="H946" t="n">
        <v>0</v>
      </c>
      <c r="I946" t="n">
        <v>0</v>
      </c>
      <c r="J946" t="n">
        <v>0</v>
      </c>
      <c r="K946" t="n">
        <v>0</v>
      </c>
      <c r="L946" t="n">
        <v>0</v>
      </c>
      <c r="M946" t="n">
        <v>0</v>
      </c>
      <c r="N946" t="n">
        <v>0</v>
      </c>
      <c r="O946" t="n">
        <v>0</v>
      </c>
      <c r="P946" t="n">
        <v>0</v>
      </c>
      <c r="Q946" t="n">
        <v>0</v>
      </c>
      <c r="R946" s="2" t="inlineStr"/>
    </row>
    <row r="947" ht="15" customHeight="1">
      <c r="A947" t="inlineStr">
        <is>
          <t>A 60456-2023</t>
        </is>
      </c>
      <c r="B947" s="1" t="n">
        <v>45258</v>
      </c>
      <c r="C947" s="1" t="n">
        <v>46041</v>
      </c>
      <c r="D947" t="inlineStr">
        <is>
          <t>JÄMTLANDS LÄN</t>
        </is>
      </c>
      <c r="E947" t="inlineStr">
        <is>
          <t>RAGUNDA</t>
        </is>
      </c>
      <c r="G947" t="n">
        <v>1.8</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46041</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58442-2022</t>
        </is>
      </c>
      <c r="B949" s="1" t="n">
        <v>44901</v>
      </c>
      <c r="C949" s="1" t="n">
        <v>46041</v>
      </c>
      <c r="D949" t="inlineStr">
        <is>
          <t>JÄMTLANDS LÄN</t>
        </is>
      </c>
      <c r="E949" t="inlineStr">
        <is>
          <t>RAGUNDA</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49229-2024</t>
        </is>
      </c>
      <c r="B950" s="1" t="n">
        <v>45595.42738425926</v>
      </c>
      <c r="C950" s="1" t="n">
        <v>46041</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10641-2024</t>
        </is>
      </c>
      <c r="B951" s="1" t="n">
        <v>45367.69850694444</v>
      </c>
      <c r="C951" s="1" t="n">
        <v>46041</v>
      </c>
      <c r="D951" t="inlineStr">
        <is>
          <t>JÄMTLANDS LÄN</t>
        </is>
      </c>
      <c r="E951" t="inlineStr">
        <is>
          <t>RAGUNDA</t>
        </is>
      </c>
      <c r="G951" t="n">
        <v>0.9</v>
      </c>
      <c r="H951" t="n">
        <v>0</v>
      </c>
      <c r="I951" t="n">
        <v>0</v>
      </c>
      <c r="J951" t="n">
        <v>0</v>
      </c>
      <c r="K951" t="n">
        <v>0</v>
      </c>
      <c r="L951" t="n">
        <v>0</v>
      </c>
      <c r="M951" t="n">
        <v>0</v>
      </c>
      <c r="N951" t="n">
        <v>0</v>
      </c>
      <c r="O951" t="n">
        <v>0</v>
      </c>
      <c r="P951" t="n">
        <v>0</v>
      </c>
      <c r="Q951" t="n">
        <v>0</v>
      </c>
      <c r="R951" s="2" t="inlineStr"/>
    </row>
    <row r="952" ht="15" customHeight="1">
      <c r="A952" t="inlineStr">
        <is>
          <t>A 10644-2024</t>
        </is>
      </c>
      <c r="B952" s="1" t="n">
        <v>45367.71348379629</v>
      </c>
      <c r="C952" s="1" t="n">
        <v>46041</v>
      </c>
      <c r="D952" t="inlineStr">
        <is>
          <t>JÄMTLANDS LÄN</t>
        </is>
      </c>
      <c r="E952" t="inlineStr">
        <is>
          <t>RAGUNDA</t>
        </is>
      </c>
      <c r="G952" t="n">
        <v>2</v>
      </c>
      <c r="H952" t="n">
        <v>0</v>
      </c>
      <c r="I952" t="n">
        <v>0</v>
      </c>
      <c r="J952" t="n">
        <v>0</v>
      </c>
      <c r="K952" t="n">
        <v>0</v>
      </c>
      <c r="L952" t="n">
        <v>0</v>
      </c>
      <c r="M952" t="n">
        <v>0</v>
      </c>
      <c r="N952" t="n">
        <v>0</v>
      </c>
      <c r="O952" t="n">
        <v>0</v>
      </c>
      <c r="P952" t="n">
        <v>0</v>
      </c>
      <c r="Q952" t="n">
        <v>0</v>
      </c>
      <c r="R952" s="2" t="inlineStr"/>
    </row>
    <row r="953" ht="15" customHeight="1">
      <c r="A953" t="inlineStr">
        <is>
          <t>A 17559-2023</t>
        </is>
      </c>
      <c r="B953" s="1" t="n">
        <v>45034</v>
      </c>
      <c r="C953" s="1" t="n">
        <v>46041</v>
      </c>
      <c r="D953" t="inlineStr">
        <is>
          <t>JÄMTLANDS LÄN</t>
        </is>
      </c>
      <c r="E953" t="inlineStr">
        <is>
          <t>RAGUNDA</t>
        </is>
      </c>
      <c r="G953" t="n">
        <v>7.5</v>
      </c>
      <c r="H953" t="n">
        <v>0</v>
      </c>
      <c r="I953" t="n">
        <v>0</v>
      </c>
      <c r="J953" t="n">
        <v>0</v>
      </c>
      <c r="K953" t="n">
        <v>0</v>
      </c>
      <c r="L953" t="n">
        <v>0</v>
      </c>
      <c r="M953" t="n">
        <v>0</v>
      </c>
      <c r="N953" t="n">
        <v>0</v>
      </c>
      <c r="O953" t="n">
        <v>0</v>
      </c>
      <c r="P953" t="n">
        <v>0</v>
      </c>
      <c r="Q953" t="n">
        <v>0</v>
      </c>
      <c r="R953" s="2" t="inlineStr"/>
    </row>
    <row r="954" ht="15" customHeight="1">
      <c r="A954" t="inlineStr">
        <is>
          <t>A 55524-2024</t>
        </is>
      </c>
      <c r="B954" s="1" t="n">
        <v>45622.47435185185</v>
      </c>
      <c r="C954" s="1" t="n">
        <v>46041</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19419-2024</t>
        </is>
      </c>
      <c r="B955" s="1" t="n">
        <v>45429</v>
      </c>
      <c r="C955" s="1" t="n">
        <v>46041</v>
      </c>
      <c r="D955" t="inlineStr">
        <is>
          <t>JÄMTLANDS LÄN</t>
        </is>
      </c>
      <c r="E955" t="inlineStr">
        <is>
          <t>RAGUNDA</t>
        </is>
      </c>
      <c r="G955" t="n">
        <v>3.5</v>
      </c>
      <c r="H955" t="n">
        <v>0</v>
      </c>
      <c r="I955" t="n">
        <v>0</v>
      </c>
      <c r="J955" t="n">
        <v>0</v>
      </c>
      <c r="K955" t="n">
        <v>0</v>
      </c>
      <c r="L955" t="n">
        <v>0</v>
      </c>
      <c r="M955" t="n">
        <v>0</v>
      </c>
      <c r="N955" t="n">
        <v>0</v>
      </c>
      <c r="O955" t="n">
        <v>0</v>
      </c>
      <c r="P955" t="n">
        <v>0</v>
      </c>
      <c r="Q955" t="n">
        <v>0</v>
      </c>
      <c r="R955" s="2" t="inlineStr"/>
    </row>
    <row r="956" ht="15" customHeight="1">
      <c r="A956" t="inlineStr">
        <is>
          <t>A 30826-2023</t>
        </is>
      </c>
      <c r="B956" s="1" t="n">
        <v>45112</v>
      </c>
      <c r="C956" s="1" t="n">
        <v>46041</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56191-2022</t>
        </is>
      </c>
      <c r="B957" s="1" t="n">
        <v>44889.95015046297</v>
      </c>
      <c r="C957" s="1" t="n">
        <v>46041</v>
      </c>
      <c r="D957" t="inlineStr">
        <is>
          <t>JÄMTLANDS LÄN</t>
        </is>
      </c>
      <c r="E957" t="inlineStr">
        <is>
          <t>RAGUNDA</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33621-2023</t>
        </is>
      </c>
      <c r="B958" s="1" t="n">
        <v>45119</v>
      </c>
      <c r="C958" s="1" t="n">
        <v>46041</v>
      </c>
      <c r="D958" t="inlineStr">
        <is>
          <t>JÄMTLANDS LÄN</t>
        </is>
      </c>
      <c r="E958" t="inlineStr">
        <is>
          <t>RAGUNDA</t>
        </is>
      </c>
      <c r="G958" t="n">
        <v>0.5</v>
      </c>
      <c r="H958" t="n">
        <v>0</v>
      </c>
      <c r="I958" t="n">
        <v>0</v>
      </c>
      <c r="J958" t="n">
        <v>0</v>
      </c>
      <c r="K958" t="n">
        <v>0</v>
      </c>
      <c r="L958" t="n">
        <v>0</v>
      </c>
      <c r="M958" t="n">
        <v>0</v>
      </c>
      <c r="N958" t="n">
        <v>0</v>
      </c>
      <c r="O958" t="n">
        <v>0</v>
      </c>
      <c r="P958" t="n">
        <v>0</v>
      </c>
      <c r="Q958" t="n">
        <v>0</v>
      </c>
      <c r="R958" s="2" t="inlineStr"/>
    </row>
    <row r="959" ht="15" customHeight="1">
      <c r="A959" t="inlineStr">
        <is>
          <t>A 65216-2023</t>
        </is>
      </c>
      <c r="B959" s="1" t="n">
        <v>45289</v>
      </c>
      <c r="C959" s="1" t="n">
        <v>46041</v>
      </c>
      <c r="D959" t="inlineStr">
        <is>
          <t>JÄMTLANDS LÄN</t>
        </is>
      </c>
      <c r="E959" t="inlineStr">
        <is>
          <t>RAGUNDA</t>
        </is>
      </c>
      <c r="G959" t="n">
        <v>2.9</v>
      </c>
      <c r="H959" t="n">
        <v>0</v>
      </c>
      <c r="I959" t="n">
        <v>0</v>
      </c>
      <c r="J959" t="n">
        <v>0</v>
      </c>
      <c r="K959" t="n">
        <v>0</v>
      </c>
      <c r="L959" t="n">
        <v>0</v>
      </c>
      <c r="M959" t="n">
        <v>0</v>
      </c>
      <c r="N959" t="n">
        <v>0</v>
      </c>
      <c r="O959" t="n">
        <v>0</v>
      </c>
      <c r="P959" t="n">
        <v>0</v>
      </c>
      <c r="Q959" t="n">
        <v>0</v>
      </c>
      <c r="R959" s="2" t="inlineStr"/>
    </row>
    <row r="960" ht="15" customHeight="1">
      <c r="A960" t="inlineStr">
        <is>
          <t>A 60838-2023</t>
        </is>
      </c>
      <c r="B960" s="1" t="n">
        <v>45260.92561342593</v>
      </c>
      <c r="C960" s="1" t="n">
        <v>46041</v>
      </c>
      <c r="D960" t="inlineStr">
        <is>
          <t>JÄMTLANDS LÄN</t>
        </is>
      </c>
      <c r="E960" t="inlineStr">
        <is>
          <t>RAGUNDA</t>
        </is>
      </c>
      <c r="G960" t="n">
        <v>2.7</v>
      </c>
      <c r="H960" t="n">
        <v>0</v>
      </c>
      <c r="I960" t="n">
        <v>0</v>
      </c>
      <c r="J960" t="n">
        <v>0</v>
      </c>
      <c r="K960" t="n">
        <v>0</v>
      </c>
      <c r="L960" t="n">
        <v>0</v>
      </c>
      <c r="M960" t="n">
        <v>0</v>
      </c>
      <c r="N960" t="n">
        <v>0</v>
      </c>
      <c r="O960" t="n">
        <v>0</v>
      </c>
      <c r="P960" t="n">
        <v>0</v>
      </c>
      <c r="Q960" t="n">
        <v>0</v>
      </c>
      <c r="R960" s="2" t="inlineStr"/>
    </row>
    <row r="961" ht="15" customHeight="1">
      <c r="A961" t="inlineStr">
        <is>
          <t>A 2133-2023</t>
        </is>
      </c>
      <c r="B961" s="1" t="n">
        <v>44939</v>
      </c>
      <c r="C961" s="1" t="n">
        <v>46041</v>
      </c>
      <c r="D961" t="inlineStr">
        <is>
          <t>JÄMTLANDS LÄN</t>
        </is>
      </c>
      <c r="E961" t="inlineStr">
        <is>
          <t>RAGUNDA</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49647-2024</t>
        </is>
      </c>
      <c r="B962" s="1" t="n">
        <v>45596.61533564814</v>
      </c>
      <c r="C962" s="1" t="n">
        <v>46041</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46211-2024</t>
        </is>
      </c>
      <c r="B963" s="1" t="n">
        <v>45581.55260416667</v>
      </c>
      <c r="C963" s="1" t="n">
        <v>46041</v>
      </c>
      <c r="D963" t="inlineStr">
        <is>
          <t>JÄMTLANDS LÄN</t>
        </is>
      </c>
      <c r="E963" t="inlineStr">
        <is>
          <t>RAGUNDA</t>
        </is>
      </c>
      <c r="G963" t="n">
        <v>7.3</v>
      </c>
      <c r="H963" t="n">
        <v>0</v>
      </c>
      <c r="I963" t="n">
        <v>0</v>
      </c>
      <c r="J963" t="n">
        <v>0</v>
      </c>
      <c r="K963" t="n">
        <v>0</v>
      </c>
      <c r="L963" t="n">
        <v>0</v>
      </c>
      <c r="M963" t="n">
        <v>0</v>
      </c>
      <c r="N963" t="n">
        <v>0</v>
      </c>
      <c r="O963" t="n">
        <v>0</v>
      </c>
      <c r="P963" t="n">
        <v>0</v>
      </c>
      <c r="Q963" t="n">
        <v>0</v>
      </c>
      <c r="R963" s="2" t="inlineStr"/>
    </row>
    <row r="964" ht="15" customHeight="1">
      <c r="A964" t="inlineStr">
        <is>
          <t>A 8679-2023</t>
        </is>
      </c>
      <c r="B964" s="1" t="n">
        <v>44977.98670138889</v>
      </c>
      <c r="C964" s="1" t="n">
        <v>46041</v>
      </c>
      <c r="D964" t="inlineStr">
        <is>
          <t>JÄMTLANDS LÄN</t>
        </is>
      </c>
      <c r="E964" t="inlineStr">
        <is>
          <t>RAGUNDA</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6802-2021</t>
        </is>
      </c>
      <c r="B965" s="1" t="n">
        <v>44236</v>
      </c>
      <c r="C965" s="1" t="n">
        <v>46041</v>
      </c>
      <c r="D965" t="inlineStr">
        <is>
          <t>JÄMTLANDS LÄN</t>
        </is>
      </c>
      <c r="E965" t="inlineStr">
        <is>
          <t>RAGUNDA</t>
        </is>
      </c>
      <c r="G965" t="n">
        <v>11.2</v>
      </c>
      <c r="H965" t="n">
        <v>0</v>
      </c>
      <c r="I965" t="n">
        <v>0</v>
      </c>
      <c r="J965" t="n">
        <v>0</v>
      </c>
      <c r="K965" t="n">
        <v>0</v>
      </c>
      <c r="L965" t="n">
        <v>0</v>
      </c>
      <c r="M965" t="n">
        <v>0</v>
      </c>
      <c r="N965" t="n">
        <v>0</v>
      </c>
      <c r="O965" t="n">
        <v>0</v>
      </c>
      <c r="P965" t="n">
        <v>0</v>
      </c>
      <c r="Q965" t="n">
        <v>0</v>
      </c>
      <c r="R965" s="2" t="inlineStr"/>
    </row>
    <row r="966" ht="15" customHeight="1">
      <c r="A966" t="inlineStr">
        <is>
          <t>A 64415-2023</t>
        </is>
      </c>
      <c r="B966" s="1" t="n">
        <v>45280</v>
      </c>
      <c r="C966" s="1" t="n">
        <v>46041</v>
      </c>
      <c r="D966" t="inlineStr">
        <is>
          <t>JÄMTLANDS LÄN</t>
        </is>
      </c>
      <c r="E966" t="inlineStr">
        <is>
          <t>RAGUNDA</t>
        </is>
      </c>
      <c r="G966" t="n">
        <v>5.1</v>
      </c>
      <c r="H966" t="n">
        <v>0</v>
      </c>
      <c r="I966" t="n">
        <v>0</v>
      </c>
      <c r="J966" t="n">
        <v>0</v>
      </c>
      <c r="K966" t="n">
        <v>0</v>
      </c>
      <c r="L966" t="n">
        <v>0</v>
      </c>
      <c r="M966" t="n">
        <v>0</v>
      </c>
      <c r="N966" t="n">
        <v>0</v>
      </c>
      <c r="O966" t="n">
        <v>0</v>
      </c>
      <c r="P966" t="n">
        <v>0</v>
      </c>
      <c r="Q966" t="n">
        <v>0</v>
      </c>
      <c r="R966" s="2" t="inlineStr"/>
    </row>
    <row r="967" ht="15" customHeight="1">
      <c r="A967" t="inlineStr">
        <is>
          <t>A 14158-2024</t>
        </is>
      </c>
      <c r="B967" s="1" t="n">
        <v>45392</v>
      </c>
      <c r="C967" s="1" t="n">
        <v>46041</v>
      </c>
      <c r="D967" t="inlineStr">
        <is>
          <t>JÄMTLANDS LÄN</t>
        </is>
      </c>
      <c r="E967" t="inlineStr">
        <is>
          <t>RAGUNDA</t>
        </is>
      </c>
      <c r="G967" t="n">
        <v>0.7</v>
      </c>
      <c r="H967" t="n">
        <v>0</v>
      </c>
      <c r="I967" t="n">
        <v>0</v>
      </c>
      <c r="J967" t="n">
        <v>0</v>
      </c>
      <c r="K967" t="n">
        <v>0</v>
      </c>
      <c r="L967" t="n">
        <v>0</v>
      </c>
      <c r="M967" t="n">
        <v>0</v>
      </c>
      <c r="N967" t="n">
        <v>0</v>
      </c>
      <c r="O967" t="n">
        <v>0</v>
      </c>
      <c r="P967" t="n">
        <v>0</v>
      </c>
      <c r="Q967" t="n">
        <v>0</v>
      </c>
      <c r="R967" s="2" t="inlineStr"/>
    </row>
    <row r="968" ht="15" customHeight="1">
      <c r="A968" t="inlineStr">
        <is>
          <t>A 55649-2023</t>
        </is>
      </c>
      <c r="B968" s="1" t="n">
        <v>45238</v>
      </c>
      <c r="C968" s="1" t="n">
        <v>46041</v>
      </c>
      <c r="D968" t="inlineStr">
        <is>
          <t>JÄMTLANDS LÄN</t>
        </is>
      </c>
      <c r="E968" t="inlineStr">
        <is>
          <t>RAGUNDA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53769-2023</t>
        </is>
      </c>
      <c r="B969" s="1" t="n">
        <v>45230</v>
      </c>
      <c r="C969" s="1" t="n">
        <v>46041</v>
      </c>
      <c r="D969" t="inlineStr">
        <is>
          <t>JÄMTLANDS LÄN</t>
        </is>
      </c>
      <c r="E969" t="inlineStr">
        <is>
          <t>RAGUNDA</t>
        </is>
      </c>
      <c r="F969" t="inlineStr">
        <is>
          <t>SCA</t>
        </is>
      </c>
      <c r="G969" t="n">
        <v>11.6</v>
      </c>
      <c r="H969" t="n">
        <v>0</v>
      </c>
      <c r="I969" t="n">
        <v>0</v>
      </c>
      <c r="J969" t="n">
        <v>0</v>
      </c>
      <c r="K969" t="n">
        <v>0</v>
      </c>
      <c r="L969" t="n">
        <v>0</v>
      </c>
      <c r="M969" t="n">
        <v>0</v>
      </c>
      <c r="N969" t="n">
        <v>0</v>
      </c>
      <c r="O969" t="n">
        <v>0</v>
      </c>
      <c r="P969" t="n">
        <v>0</v>
      </c>
      <c r="Q969" t="n">
        <v>0</v>
      </c>
      <c r="R969" s="2" t="inlineStr"/>
    </row>
    <row r="970" ht="15" customHeight="1">
      <c r="A970" t="inlineStr">
        <is>
          <t>A 38782-2021</t>
        </is>
      </c>
      <c r="B970" s="1" t="n">
        <v>44410</v>
      </c>
      <c r="C970" s="1" t="n">
        <v>46041</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16250-2022</t>
        </is>
      </c>
      <c r="B971" s="1" t="n">
        <v>44670</v>
      </c>
      <c r="C971" s="1" t="n">
        <v>46041</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40919-2024</t>
        </is>
      </c>
      <c r="B972" s="1" t="n">
        <v>45558.63575231482</v>
      </c>
      <c r="C972" s="1" t="n">
        <v>46041</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13334-2024</t>
        </is>
      </c>
      <c r="B973" s="1" t="n">
        <v>45386</v>
      </c>
      <c r="C973" s="1" t="n">
        <v>46041</v>
      </c>
      <c r="D973" t="inlineStr">
        <is>
          <t>JÄMTLANDS LÄN</t>
        </is>
      </c>
      <c r="E973" t="inlineStr">
        <is>
          <t>RAGUNDA</t>
        </is>
      </c>
      <c r="G973" t="n">
        <v>8.6</v>
      </c>
      <c r="H973" t="n">
        <v>0</v>
      </c>
      <c r="I973" t="n">
        <v>0</v>
      </c>
      <c r="J973" t="n">
        <v>0</v>
      </c>
      <c r="K973" t="n">
        <v>0</v>
      </c>
      <c r="L973" t="n">
        <v>0</v>
      </c>
      <c r="M973" t="n">
        <v>0</v>
      </c>
      <c r="N973" t="n">
        <v>0</v>
      </c>
      <c r="O973" t="n">
        <v>0</v>
      </c>
      <c r="P973" t="n">
        <v>0</v>
      </c>
      <c r="Q973" t="n">
        <v>0</v>
      </c>
      <c r="R973" s="2" t="inlineStr"/>
    </row>
    <row r="974" ht="15" customHeight="1">
      <c r="A974" t="inlineStr">
        <is>
          <t>A 15024-2022</t>
        </is>
      </c>
      <c r="B974" s="1" t="n">
        <v>44657</v>
      </c>
      <c r="C974" s="1" t="n">
        <v>46041</v>
      </c>
      <c r="D974" t="inlineStr">
        <is>
          <t>JÄMTLANDS LÄN</t>
        </is>
      </c>
      <c r="E974" t="inlineStr">
        <is>
          <t>RAGUNDA</t>
        </is>
      </c>
      <c r="G974" t="n">
        <v>1.8</v>
      </c>
      <c r="H974" t="n">
        <v>0</v>
      </c>
      <c r="I974" t="n">
        <v>0</v>
      </c>
      <c r="J974" t="n">
        <v>0</v>
      </c>
      <c r="K974" t="n">
        <v>0</v>
      </c>
      <c r="L974" t="n">
        <v>0</v>
      </c>
      <c r="M974" t="n">
        <v>0</v>
      </c>
      <c r="N974" t="n">
        <v>0</v>
      </c>
      <c r="O974" t="n">
        <v>0</v>
      </c>
      <c r="P974" t="n">
        <v>0</v>
      </c>
      <c r="Q974" t="n">
        <v>0</v>
      </c>
      <c r="R974" s="2" t="inlineStr"/>
    </row>
    <row r="975" ht="15" customHeight="1">
      <c r="A975" t="inlineStr">
        <is>
          <t>A 55669-2023</t>
        </is>
      </c>
      <c r="B975" s="1" t="n">
        <v>45238.96797453704</v>
      </c>
      <c r="C975" s="1" t="n">
        <v>46041</v>
      </c>
      <c r="D975" t="inlineStr">
        <is>
          <t>JÄMTLANDS LÄN</t>
        </is>
      </c>
      <c r="E975" t="inlineStr">
        <is>
          <t>RAGUNDA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48192-2024</t>
        </is>
      </c>
      <c r="B976" s="1" t="n">
        <v>45590</v>
      </c>
      <c r="C976" s="1" t="n">
        <v>46041</v>
      </c>
      <c r="D976" t="inlineStr">
        <is>
          <t>JÄMTLANDS LÄN</t>
        </is>
      </c>
      <c r="E976" t="inlineStr">
        <is>
          <t>RAGUNDA</t>
        </is>
      </c>
      <c r="G976" t="n">
        <v>2.3</v>
      </c>
      <c r="H976" t="n">
        <v>0</v>
      </c>
      <c r="I976" t="n">
        <v>0</v>
      </c>
      <c r="J976" t="n">
        <v>0</v>
      </c>
      <c r="K976" t="n">
        <v>0</v>
      </c>
      <c r="L976" t="n">
        <v>0</v>
      </c>
      <c r="M976" t="n">
        <v>0</v>
      </c>
      <c r="N976" t="n">
        <v>0</v>
      </c>
      <c r="O976" t="n">
        <v>0</v>
      </c>
      <c r="P976" t="n">
        <v>0</v>
      </c>
      <c r="Q976" t="n">
        <v>0</v>
      </c>
      <c r="R976" s="2" t="inlineStr"/>
    </row>
    <row r="977" ht="15" customHeight="1">
      <c r="A977" t="inlineStr">
        <is>
          <t>A 51389-2024</t>
        </is>
      </c>
      <c r="B977" s="1" t="n">
        <v>45604.40540509259</v>
      </c>
      <c r="C977" s="1" t="n">
        <v>46041</v>
      </c>
      <c r="D977" t="inlineStr">
        <is>
          <t>JÄMTLANDS LÄN</t>
        </is>
      </c>
      <c r="E977" t="inlineStr">
        <is>
          <t>RAGUNDA</t>
        </is>
      </c>
      <c r="G977" t="n">
        <v>1.7</v>
      </c>
      <c r="H977" t="n">
        <v>0</v>
      </c>
      <c r="I977" t="n">
        <v>0</v>
      </c>
      <c r="J977" t="n">
        <v>0</v>
      </c>
      <c r="K977" t="n">
        <v>0</v>
      </c>
      <c r="L977" t="n">
        <v>0</v>
      </c>
      <c r="M977" t="n">
        <v>0</v>
      </c>
      <c r="N977" t="n">
        <v>0</v>
      </c>
      <c r="O977" t="n">
        <v>0</v>
      </c>
      <c r="P977" t="n">
        <v>0</v>
      </c>
      <c r="Q977" t="n">
        <v>0</v>
      </c>
      <c r="R977" s="2" t="inlineStr"/>
    </row>
    <row r="978" ht="15" customHeight="1">
      <c r="A978" t="inlineStr">
        <is>
          <t>A 51393-2024</t>
        </is>
      </c>
      <c r="B978" s="1" t="n">
        <v>45604.41625</v>
      </c>
      <c r="C978" s="1" t="n">
        <v>46041</v>
      </c>
      <c r="D978" t="inlineStr">
        <is>
          <t>JÄMTLANDS LÄN</t>
        </is>
      </c>
      <c r="E978" t="inlineStr">
        <is>
          <t>RAGUNDA</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43339-2024</t>
        </is>
      </c>
      <c r="B979" s="1" t="n">
        <v>45568.51075231482</v>
      </c>
      <c r="C979" s="1" t="n">
        <v>46041</v>
      </c>
      <c r="D979" t="inlineStr">
        <is>
          <t>JÄMTLANDS LÄN</t>
        </is>
      </c>
      <c r="E979" t="inlineStr">
        <is>
          <t>RAGUNDA</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12768-2022</t>
        </is>
      </c>
      <c r="B980" s="1" t="n">
        <v>44641</v>
      </c>
      <c r="C980" s="1" t="n">
        <v>46041</v>
      </c>
      <c r="D980" t="inlineStr">
        <is>
          <t>JÄMTLANDS LÄN</t>
        </is>
      </c>
      <c r="E980" t="inlineStr">
        <is>
          <t>RAGUNDA</t>
        </is>
      </c>
      <c r="F980" t="inlineStr">
        <is>
          <t>SCA</t>
        </is>
      </c>
      <c r="G980" t="n">
        <v>8</v>
      </c>
      <c r="H980" t="n">
        <v>0</v>
      </c>
      <c r="I980" t="n">
        <v>0</v>
      </c>
      <c r="J980" t="n">
        <v>0</v>
      </c>
      <c r="K980" t="n">
        <v>0</v>
      </c>
      <c r="L980" t="n">
        <v>0</v>
      </c>
      <c r="M980" t="n">
        <v>0</v>
      </c>
      <c r="N980" t="n">
        <v>0</v>
      </c>
      <c r="O980" t="n">
        <v>0</v>
      </c>
      <c r="P980" t="n">
        <v>0</v>
      </c>
      <c r="Q980" t="n">
        <v>0</v>
      </c>
      <c r="R980" s="2" t="inlineStr"/>
    </row>
    <row r="981" ht="15" customHeight="1">
      <c r="A981" t="inlineStr">
        <is>
          <t>A 12773-2022</t>
        </is>
      </c>
      <c r="B981" s="1" t="n">
        <v>44641</v>
      </c>
      <c r="C981" s="1" t="n">
        <v>46041</v>
      </c>
      <c r="D981" t="inlineStr">
        <is>
          <t>JÄMTLANDS LÄN</t>
        </is>
      </c>
      <c r="E981" t="inlineStr">
        <is>
          <t>RAGUNDA</t>
        </is>
      </c>
      <c r="F981" t="inlineStr">
        <is>
          <t>SCA</t>
        </is>
      </c>
      <c r="G981" t="n">
        <v>14.7</v>
      </c>
      <c r="H981" t="n">
        <v>0</v>
      </c>
      <c r="I981" t="n">
        <v>0</v>
      </c>
      <c r="J981" t="n">
        <v>0</v>
      </c>
      <c r="K981" t="n">
        <v>0</v>
      </c>
      <c r="L981" t="n">
        <v>0</v>
      </c>
      <c r="M981" t="n">
        <v>0</v>
      </c>
      <c r="N981" t="n">
        <v>0</v>
      </c>
      <c r="O981" t="n">
        <v>0</v>
      </c>
      <c r="P981" t="n">
        <v>0</v>
      </c>
      <c r="Q981" t="n">
        <v>0</v>
      </c>
      <c r="R981" s="2" t="inlineStr"/>
    </row>
    <row r="982" ht="15" customHeight="1">
      <c r="A982" t="inlineStr">
        <is>
          <t>A 38548-2024</t>
        </is>
      </c>
      <c r="B982" s="1" t="n">
        <v>45546</v>
      </c>
      <c r="C982" s="1" t="n">
        <v>46041</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26026-2024</t>
        </is>
      </c>
      <c r="B983" s="1" t="n">
        <v>45467.96207175926</v>
      </c>
      <c r="C983" s="1" t="n">
        <v>46041</v>
      </c>
      <c r="D983" t="inlineStr">
        <is>
          <t>JÄMTLANDS LÄN</t>
        </is>
      </c>
      <c r="E983" t="inlineStr">
        <is>
          <t>RAGUNDA</t>
        </is>
      </c>
      <c r="F983" t="inlineStr">
        <is>
          <t>SCA</t>
        </is>
      </c>
      <c r="G983" t="n">
        <v>0.5</v>
      </c>
      <c r="H983" t="n">
        <v>0</v>
      </c>
      <c r="I983" t="n">
        <v>0</v>
      </c>
      <c r="J983" t="n">
        <v>0</v>
      </c>
      <c r="K983" t="n">
        <v>0</v>
      </c>
      <c r="L983" t="n">
        <v>0</v>
      </c>
      <c r="M983" t="n">
        <v>0</v>
      </c>
      <c r="N983" t="n">
        <v>0</v>
      </c>
      <c r="O983" t="n">
        <v>0</v>
      </c>
      <c r="P983" t="n">
        <v>0</v>
      </c>
      <c r="Q983" t="n">
        <v>0</v>
      </c>
      <c r="R983" s="2" t="inlineStr"/>
    </row>
    <row r="984" ht="15" customHeight="1">
      <c r="A984" t="inlineStr">
        <is>
          <t>A 5971-2025</t>
        </is>
      </c>
      <c r="B984" s="1" t="n">
        <v>45695.51070601852</v>
      </c>
      <c r="C984" s="1" t="n">
        <v>46041</v>
      </c>
      <c r="D984" t="inlineStr">
        <is>
          <t>JÄMTLANDS LÄN</t>
        </is>
      </c>
      <c r="E984" t="inlineStr">
        <is>
          <t>RAGUNDA</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51537-2022</t>
        </is>
      </c>
      <c r="B985" s="1" t="n">
        <v>44869</v>
      </c>
      <c r="C985" s="1" t="n">
        <v>46041</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18375-2022</t>
        </is>
      </c>
      <c r="B986" s="1" t="n">
        <v>44685</v>
      </c>
      <c r="C986" s="1" t="n">
        <v>46041</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55536-2024</t>
        </is>
      </c>
      <c r="B987" s="1" t="n">
        <v>45622</v>
      </c>
      <c r="C987" s="1" t="n">
        <v>46041</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46041</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11834-2023</t>
        </is>
      </c>
      <c r="B989" s="1" t="n">
        <v>44994.94296296296</v>
      </c>
      <c r="C989" s="1" t="n">
        <v>46041</v>
      </c>
      <c r="D989" t="inlineStr">
        <is>
          <t>JÄMTLANDS LÄN</t>
        </is>
      </c>
      <c r="E989" t="inlineStr">
        <is>
          <t>RAGUNDA</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12995-2023</t>
        </is>
      </c>
      <c r="B990" s="1" t="n">
        <v>45002.0328125</v>
      </c>
      <c r="C990" s="1" t="n">
        <v>46041</v>
      </c>
      <c r="D990" t="inlineStr">
        <is>
          <t>JÄMTLANDS LÄN</t>
        </is>
      </c>
      <c r="E990" t="inlineStr">
        <is>
          <t>RAGUNDA</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53264-2024</t>
        </is>
      </c>
      <c r="B991" s="1" t="n">
        <v>45614.34545138889</v>
      </c>
      <c r="C991" s="1" t="n">
        <v>46041</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50431-2024</t>
        </is>
      </c>
      <c r="B992" s="1" t="n">
        <v>45601.40686342592</v>
      </c>
      <c r="C992" s="1" t="n">
        <v>46041</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16334-2025</t>
        </is>
      </c>
      <c r="B993" s="1" t="n">
        <v>45751.36490740741</v>
      </c>
      <c r="C993" s="1" t="n">
        <v>46041</v>
      </c>
      <c r="D993" t="inlineStr">
        <is>
          <t>JÄMTLANDS LÄN</t>
        </is>
      </c>
      <c r="E993" t="inlineStr">
        <is>
          <t>RAGUNDA</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8800-2025</t>
        </is>
      </c>
      <c r="B994" s="1" t="n">
        <v>45712.65671296296</v>
      </c>
      <c r="C994" s="1" t="n">
        <v>46041</v>
      </c>
      <c r="D994" t="inlineStr">
        <is>
          <t>JÄMTLANDS LÄN</t>
        </is>
      </c>
      <c r="E994" t="inlineStr">
        <is>
          <t>RAGUNDA</t>
        </is>
      </c>
      <c r="G994" t="n">
        <v>2.6</v>
      </c>
      <c r="H994" t="n">
        <v>0</v>
      </c>
      <c r="I994" t="n">
        <v>0</v>
      </c>
      <c r="J994" t="n">
        <v>0</v>
      </c>
      <c r="K994" t="n">
        <v>0</v>
      </c>
      <c r="L994" t="n">
        <v>0</v>
      </c>
      <c r="M994" t="n">
        <v>0</v>
      </c>
      <c r="N994" t="n">
        <v>0</v>
      </c>
      <c r="O994" t="n">
        <v>0</v>
      </c>
      <c r="P994" t="n">
        <v>0</v>
      </c>
      <c r="Q994" t="n">
        <v>0</v>
      </c>
      <c r="R994" s="2" t="inlineStr"/>
    </row>
    <row r="995" ht="15" customHeight="1">
      <c r="A995" t="inlineStr">
        <is>
          <t>A 7284-2024</t>
        </is>
      </c>
      <c r="B995" s="1" t="n">
        <v>45344.92865740741</v>
      </c>
      <c r="C995" s="1" t="n">
        <v>46041</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7285-2024</t>
        </is>
      </c>
      <c r="B996" s="1" t="n">
        <v>45344.92873842592</v>
      </c>
      <c r="C996" s="1" t="n">
        <v>46041</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2242-2024</t>
        </is>
      </c>
      <c r="B997" s="1" t="n">
        <v>45309</v>
      </c>
      <c r="C997" s="1" t="n">
        <v>46041</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2248-2024</t>
        </is>
      </c>
      <c r="B998" s="1" t="n">
        <v>45309</v>
      </c>
      <c r="C998" s="1" t="n">
        <v>46041</v>
      </c>
      <c r="D998" t="inlineStr">
        <is>
          <t>JÄMTLANDS LÄN</t>
        </is>
      </c>
      <c r="E998" t="inlineStr">
        <is>
          <t>RAGUNDA</t>
        </is>
      </c>
      <c r="G998" t="n">
        <v>4.2</v>
      </c>
      <c r="H998" t="n">
        <v>0</v>
      </c>
      <c r="I998" t="n">
        <v>0</v>
      </c>
      <c r="J998" t="n">
        <v>0</v>
      </c>
      <c r="K998" t="n">
        <v>0</v>
      </c>
      <c r="L998" t="n">
        <v>0</v>
      </c>
      <c r="M998" t="n">
        <v>0</v>
      </c>
      <c r="N998" t="n">
        <v>0</v>
      </c>
      <c r="O998" t="n">
        <v>0</v>
      </c>
      <c r="P998" t="n">
        <v>0</v>
      </c>
      <c r="Q998" t="n">
        <v>0</v>
      </c>
      <c r="R998" s="2" t="inlineStr"/>
    </row>
    <row r="999" ht="15" customHeight="1">
      <c r="A999" t="inlineStr">
        <is>
          <t>A 5958-2021</t>
        </is>
      </c>
      <c r="B999" s="1" t="n">
        <v>44231</v>
      </c>
      <c r="C999" s="1" t="n">
        <v>46041</v>
      </c>
      <c r="D999" t="inlineStr">
        <is>
          <t>JÄMTLANDS LÄN</t>
        </is>
      </c>
      <c r="E999" t="inlineStr">
        <is>
          <t>RAGUNDA</t>
        </is>
      </c>
      <c r="G999" t="n">
        <v>3.1</v>
      </c>
      <c r="H999" t="n">
        <v>0</v>
      </c>
      <c r="I999" t="n">
        <v>0</v>
      </c>
      <c r="J999" t="n">
        <v>0</v>
      </c>
      <c r="K999" t="n">
        <v>0</v>
      </c>
      <c r="L999" t="n">
        <v>0</v>
      </c>
      <c r="M999" t="n">
        <v>0</v>
      </c>
      <c r="N999" t="n">
        <v>0</v>
      </c>
      <c r="O999" t="n">
        <v>0</v>
      </c>
      <c r="P999" t="n">
        <v>0</v>
      </c>
      <c r="Q999" t="n">
        <v>0</v>
      </c>
      <c r="R999" s="2" t="inlineStr"/>
    </row>
    <row r="1000" ht="15" customHeight="1">
      <c r="A1000" t="inlineStr">
        <is>
          <t>A 56284-2023</t>
        </is>
      </c>
      <c r="B1000" s="1" t="n">
        <v>45241.95724537037</v>
      </c>
      <c r="C1000" s="1" t="n">
        <v>46041</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24197-2024</t>
        </is>
      </c>
      <c r="B1001" s="1" t="n">
        <v>45456.96601851852</v>
      </c>
      <c r="C1001" s="1" t="n">
        <v>46041</v>
      </c>
      <c r="D1001" t="inlineStr">
        <is>
          <t>JÄMTLANDS LÄN</t>
        </is>
      </c>
      <c r="E1001" t="inlineStr">
        <is>
          <t>RAGUNDA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4916-2025</t>
        </is>
      </c>
      <c r="B1002" s="1" t="n">
        <v>45688.68196759259</v>
      </c>
      <c r="C1002" s="1" t="n">
        <v>46041</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18610-2024</t>
        </is>
      </c>
      <c r="B1003" s="1" t="n">
        <v>45425.96230324074</v>
      </c>
      <c r="C1003" s="1" t="n">
        <v>46041</v>
      </c>
      <c r="D1003" t="inlineStr">
        <is>
          <t>JÄMTLANDS LÄN</t>
        </is>
      </c>
      <c r="E1003" t="inlineStr">
        <is>
          <t>RAGUNDA</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30563-2023</t>
        </is>
      </c>
      <c r="B1004" s="1" t="n">
        <v>45111.92793981481</v>
      </c>
      <c r="C1004" s="1" t="n">
        <v>46041</v>
      </c>
      <c r="D1004" t="inlineStr">
        <is>
          <t>JÄMTLANDS LÄN</t>
        </is>
      </c>
      <c r="E1004" t="inlineStr">
        <is>
          <t>RAGUNDA</t>
        </is>
      </c>
      <c r="F1004" t="inlineStr">
        <is>
          <t>Övriga Aktiebolag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23305-2023</t>
        </is>
      </c>
      <c r="B1005" s="1" t="n">
        <v>45075.94506944445</v>
      </c>
      <c r="C1005" s="1" t="n">
        <v>46041</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44956.93924768519</v>
      </c>
      <c r="C1006" s="1" t="n">
        <v>46041</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2673-2024</t>
        </is>
      </c>
      <c r="B1007" s="1" t="n">
        <v>45314</v>
      </c>
      <c r="C1007" s="1" t="n">
        <v>46041</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57112-2024</t>
        </is>
      </c>
      <c r="B1008" s="1" t="n">
        <v>45629.36486111111</v>
      </c>
      <c r="C1008" s="1" t="n">
        <v>46041</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36375-2022</t>
        </is>
      </c>
      <c r="B1009" s="1" t="n">
        <v>44803.94351851852</v>
      </c>
      <c r="C1009" s="1" t="n">
        <v>46041</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8886-2024</t>
        </is>
      </c>
      <c r="B1010" s="1" t="n">
        <v>45357.05300925926</v>
      </c>
      <c r="C1010" s="1" t="n">
        <v>46041</v>
      </c>
      <c r="D1010" t="inlineStr">
        <is>
          <t>JÄMTLANDS LÄN</t>
        </is>
      </c>
      <c r="E1010" t="inlineStr">
        <is>
          <t>RAGUNDA</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18615-2024</t>
        </is>
      </c>
      <c r="B1011" s="1" t="n">
        <v>45425.96275462963</v>
      </c>
      <c r="C1011" s="1" t="n">
        <v>46041</v>
      </c>
      <c r="D1011" t="inlineStr">
        <is>
          <t>JÄMTLANDS LÄN</t>
        </is>
      </c>
      <c r="E1011" t="inlineStr">
        <is>
          <t>RAGUNDA</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17667-2025</t>
        </is>
      </c>
      <c r="B1012" s="1" t="n">
        <v>45758.36487268518</v>
      </c>
      <c r="C1012" s="1" t="n">
        <v>46041</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46041</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51049-2024</t>
        </is>
      </c>
      <c r="B1014" s="1" t="n">
        <v>45603.44644675926</v>
      </c>
      <c r="C1014" s="1" t="n">
        <v>46041</v>
      </c>
      <c r="D1014" t="inlineStr">
        <is>
          <t>JÄMTLANDS LÄN</t>
        </is>
      </c>
      <c r="E1014" t="inlineStr">
        <is>
          <t>RAGUNDA</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55489-2024</t>
        </is>
      </c>
      <c r="B1015" s="1" t="n">
        <v>45622.44774305556</v>
      </c>
      <c r="C1015" s="1" t="n">
        <v>46041</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14074-2023</t>
        </is>
      </c>
      <c r="B1016" s="1" t="n">
        <v>45009.089375</v>
      </c>
      <c r="C1016" s="1" t="n">
        <v>46041</v>
      </c>
      <c r="D1016" t="inlineStr">
        <is>
          <t>JÄMTLANDS LÄN</t>
        </is>
      </c>
      <c r="E1016" t="inlineStr">
        <is>
          <t>RAGUNDA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54764-2024</t>
        </is>
      </c>
      <c r="B1017" s="1" t="n">
        <v>45618.46921296296</v>
      </c>
      <c r="C1017" s="1" t="n">
        <v>46041</v>
      </c>
      <c r="D1017" t="inlineStr">
        <is>
          <t>JÄMTLANDS LÄN</t>
        </is>
      </c>
      <c r="E1017" t="inlineStr">
        <is>
          <t>RAGUNDA</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23303-2024</t>
        </is>
      </c>
      <c r="B1018" s="1" t="n">
        <v>45453.4444212963</v>
      </c>
      <c r="C1018" s="1" t="n">
        <v>46041</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465-2023</t>
        </is>
      </c>
      <c r="B1019" s="1" t="n">
        <v>44929</v>
      </c>
      <c r="C1019" s="1" t="n">
        <v>46041</v>
      </c>
      <c r="D1019" t="inlineStr">
        <is>
          <t>JÄMTLANDS LÄN</t>
        </is>
      </c>
      <c r="E1019" t="inlineStr">
        <is>
          <t>RAGUNDA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32832-2021</t>
        </is>
      </c>
      <c r="B1020" s="1" t="n">
        <v>44375</v>
      </c>
      <c r="C1020" s="1" t="n">
        <v>46041</v>
      </c>
      <c r="D1020" t="inlineStr">
        <is>
          <t>JÄMTLANDS LÄN</t>
        </is>
      </c>
      <c r="E1020" t="inlineStr">
        <is>
          <t>RAGUNDA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3938-2024</t>
        </is>
      </c>
      <c r="B1021" s="1" t="n">
        <v>45322</v>
      </c>
      <c r="C1021" s="1" t="n">
        <v>46041</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62081-2022</t>
        </is>
      </c>
      <c r="B1022" s="1" t="n">
        <v>44918</v>
      </c>
      <c r="C1022" s="1" t="n">
        <v>46041</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7279-2024</t>
        </is>
      </c>
      <c r="B1023" s="1" t="n">
        <v>45344.92822916667</v>
      </c>
      <c r="C1023" s="1" t="n">
        <v>46041</v>
      </c>
      <c r="D1023" t="inlineStr">
        <is>
          <t>JÄMTLANDS LÄN</t>
        </is>
      </c>
      <c r="E1023" t="inlineStr">
        <is>
          <t>RAGUNDA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55508-2024</t>
        </is>
      </c>
      <c r="B1024" s="1" t="n">
        <v>45622.46200231482</v>
      </c>
      <c r="C1024" s="1" t="n">
        <v>46041</v>
      </c>
      <c r="D1024" t="inlineStr">
        <is>
          <t>JÄMTLANDS LÄN</t>
        </is>
      </c>
      <c r="E1024" t="inlineStr">
        <is>
          <t>RAGUNDA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10706-2023</t>
        </is>
      </c>
      <c r="B1025" s="1" t="n">
        <v>44984</v>
      </c>
      <c r="C1025" s="1" t="n">
        <v>46041</v>
      </c>
      <c r="D1025" t="inlineStr">
        <is>
          <t>JÄMTLANDS LÄN</t>
        </is>
      </c>
      <c r="E1025" t="inlineStr">
        <is>
          <t>RAGUNDA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891-2022</t>
        </is>
      </c>
      <c r="B1026" s="1" t="n">
        <v>44571</v>
      </c>
      <c r="C1026" s="1" t="n">
        <v>46041</v>
      </c>
      <c r="D1026" t="inlineStr">
        <is>
          <t>JÄMTLANDS LÄN</t>
        </is>
      </c>
      <c r="E1026" t="inlineStr">
        <is>
          <t>RAGUNDA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12521-2023</t>
        </is>
      </c>
      <c r="B1027" s="1" t="n">
        <v>45000</v>
      </c>
      <c r="C1027" s="1" t="n">
        <v>46041</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8416-2023</t>
        </is>
      </c>
      <c r="B1028" s="1" t="n">
        <v>44977.44373842593</v>
      </c>
      <c r="C1028" s="1" t="n">
        <v>46041</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3720-2025</t>
        </is>
      </c>
      <c r="B1029" s="1" t="n">
        <v>45681.5315625</v>
      </c>
      <c r="C1029" s="1" t="n">
        <v>46041</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40801-2023</t>
        </is>
      </c>
      <c r="B1030" s="1" t="n">
        <v>45170</v>
      </c>
      <c r="C1030" s="1" t="n">
        <v>46041</v>
      </c>
      <c r="D1030" t="inlineStr">
        <is>
          <t>JÄMTLANDS LÄN</t>
        </is>
      </c>
      <c r="E1030" t="inlineStr">
        <is>
          <t>RAGUNDA</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2339-2025</t>
        </is>
      </c>
      <c r="B1031" s="1" t="n">
        <v>45673.66358796296</v>
      </c>
      <c r="C1031" s="1" t="n">
        <v>46041</v>
      </c>
      <c r="D1031" t="inlineStr">
        <is>
          <t>JÄMTLANDS LÄN</t>
        </is>
      </c>
      <c r="E1031" t="inlineStr">
        <is>
          <t>RAGUNDA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17742-2022</t>
        </is>
      </c>
      <c r="B1032" s="1" t="n">
        <v>44680.95246527778</v>
      </c>
      <c r="C1032" s="1" t="n">
        <v>46041</v>
      </c>
      <c r="D1032" t="inlineStr">
        <is>
          <t>JÄMTLANDS LÄN</t>
        </is>
      </c>
      <c r="E1032" t="inlineStr">
        <is>
          <t>RAGUNDA</t>
        </is>
      </c>
      <c r="F1032" t="inlineStr">
        <is>
          <t>SCA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27499-2024</t>
        </is>
      </c>
      <c r="B1033" s="1" t="n">
        <v>45474.50608796296</v>
      </c>
      <c r="C1033" s="1" t="n">
        <v>46041</v>
      </c>
      <c r="D1033" t="inlineStr">
        <is>
          <t>JÄMTLANDS LÄN</t>
        </is>
      </c>
      <c r="E1033" t="inlineStr">
        <is>
          <t>RAGUNDA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52148-2024</t>
        </is>
      </c>
      <c r="B1034" s="1" t="n">
        <v>45608.52354166667</v>
      </c>
      <c r="C1034" s="1" t="n">
        <v>46041</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462-2023</t>
        </is>
      </c>
      <c r="B1035" s="1" t="n">
        <v>44929</v>
      </c>
      <c r="C1035" s="1" t="n">
        <v>46041</v>
      </c>
      <c r="D1035" t="inlineStr">
        <is>
          <t>JÄMTLANDS LÄN</t>
        </is>
      </c>
      <c r="E1035" t="inlineStr">
        <is>
          <t>RAGUNDA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50555-2024</t>
        </is>
      </c>
      <c r="B1036" s="1" t="n">
        <v>45601.59518518519</v>
      </c>
      <c r="C1036" s="1" t="n">
        <v>46041</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26645-2024</t>
        </is>
      </c>
      <c r="B1037" s="1" t="n">
        <v>45469.94667824074</v>
      </c>
      <c r="C1037" s="1" t="n">
        <v>46041</v>
      </c>
      <c r="D1037" t="inlineStr">
        <is>
          <t>JÄMTLANDS LÄN</t>
        </is>
      </c>
      <c r="E1037" t="inlineStr">
        <is>
          <t>RAGUNDA</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53676-2022</t>
        </is>
      </c>
      <c r="B1038" s="1" t="n">
        <v>44879</v>
      </c>
      <c r="C1038" s="1" t="n">
        <v>46041</v>
      </c>
      <c r="D1038" t="inlineStr">
        <is>
          <t>JÄMTLANDS LÄN</t>
        </is>
      </c>
      <c r="E1038" t="inlineStr">
        <is>
          <t>RAGUNDA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32258-2024</t>
        </is>
      </c>
      <c r="B1039" s="1" t="n">
        <v>45511</v>
      </c>
      <c r="C1039" s="1" t="n">
        <v>46041</v>
      </c>
      <c r="D1039" t="inlineStr">
        <is>
          <t>JÄMTLANDS LÄN</t>
        </is>
      </c>
      <c r="E1039" t="inlineStr">
        <is>
          <t>RAGUNDA</t>
        </is>
      </c>
      <c r="F1039" t="inlineStr">
        <is>
          <t>SCA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46041</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20772-2024</t>
        </is>
      </c>
      <c r="B1041" s="1" t="n">
        <v>45436.94628472222</v>
      </c>
      <c r="C1041" s="1" t="n">
        <v>46041</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18614-2024</t>
        </is>
      </c>
      <c r="B1042" s="1" t="n">
        <v>45425.96263888889</v>
      </c>
      <c r="C1042" s="1" t="n">
        <v>46041</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53757-2024</t>
        </is>
      </c>
      <c r="B1043" s="1" t="n">
        <v>45615.50034722222</v>
      </c>
      <c r="C1043" s="1" t="n">
        <v>46041</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46041</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46041</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46041</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46041</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46041</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15672-2021</t>
        </is>
      </c>
      <c r="B1049" s="1" t="n">
        <v>44286</v>
      </c>
      <c r="C1049" s="1" t="n">
        <v>46041</v>
      </c>
      <c r="D1049" t="inlineStr">
        <is>
          <t>JÄMTLANDS LÄN</t>
        </is>
      </c>
      <c r="E1049" t="inlineStr">
        <is>
          <t>RAGUNDA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58955-2024</t>
        </is>
      </c>
      <c r="B1050" s="1" t="n">
        <v>45636.57329861111</v>
      </c>
      <c r="C1050" s="1" t="n">
        <v>46041</v>
      </c>
      <c r="D1050" t="inlineStr">
        <is>
          <t>JÄMTLANDS LÄN</t>
        </is>
      </c>
      <c r="E1050" t="inlineStr">
        <is>
          <t>RAGUNDA</t>
        </is>
      </c>
      <c r="F1050" t="inlineStr">
        <is>
          <t>SCA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50650-2023</t>
        </is>
      </c>
      <c r="B1051" s="1" t="n">
        <v>45210</v>
      </c>
      <c r="C1051" s="1" t="n">
        <v>46041</v>
      </c>
      <c r="D1051" t="inlineStr">
        <is>
          <t>JÄMTLANDS LÄN</t>
        </is>
      </c>
      <c r="E1051" t="inlineStr">
        <is>
          <t>RAGUNDA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4878-2022</t>
        </is>
      </c>
      <c r="B1052" s="1" t="n">
        <v>44593</v>
      </c>
      <c r="C1052" s="1" t="n">
        <v>46041</v>
      </c>
      <c r="D1052" t="inlineStr">
        <is>
          <t>JÄMTLANDS LÄN</t>
        </is>
      </c>
      <c r="E1052" t="inlineStr">
        <is>
          <t>RAGUNDA</t>
        </is>
      </c>
      <c r="G1052" t="n">
        <v>21.7</v>
      </c>
      <c r="H1052" t="n">
        <v>0</v>
      </c>
      <c r="I1052" t="n">
        <v>0</v>
      </c>
      <c r="J1052" t="n">
        <v>0</v>
      </c>
      <c r="K1052" t="n">
        <v>0</v>
      </c>
      <c r="L1052" t="n">
        <v>0</v>
      </c>
      <c r="M1052" t="n">
        <v>0</v>
      </c>
      <c r="N1052" t="n">
        <v>0</v>
      </c>
      <c r="O1052" t="n">
        <v>0</v>
      </c>
      <c r="P1052" t="n">
        <v>0</v>
      </c>
      <c r="Q1052" t="n">
        <v>0</v>
      </c>
      <c r="R1052" s="2" t="inlineStr"/>
    </row>
    <row r="1053" ht="15" customHeight="1">
      <c r="A1053" t="inlineStr">
        <is>
          <t>A 564-2025</t>
        </is>
      </c>
      <c r="B1053" s="1" t="n">
        <v>45664.55241898148</v>
      </c>
      <c r="C1053" s="1" t="n">
        <v>46041</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39489-2023</t>
        </is>
      </c>
      <c r="B1054" s="1" t="n">
        <v>45166</v>
      </c>
      <c r="C1054" s="1" t="n">
        <v>46041</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3767-2025</t>
        </is>
      </c>
      <c r="B1055" s="1" t="n">
        <v>45681.60203703704</v>
      </c>
      <c r="C1055" s="1" t="n">
        <v>46041</v>
      </c>
      <c r="D1055" t="inlineStr">
        <is>
          <t>JÄMTLANDS LÄN</t>
        </is>
      </c>
      <c r="E1055" t="inlineStr">
        <is>
          <t>RAGUNDA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3186-2025</t>
        </is>
      </c>
      <c r="B1056" s="1" t="n">
        <v>45679.40362268518</v>
      </c>
      <c r="C1056" s="1" t="n">
        <v>46041</v>
      </c>
      <c r="D1056" t="inlineStr">
        <is>
          <t>JÄMTLANDS LÄN</t>
        </is>
      </c>
      <c r="E1056" t="inlineStr">
        <is>
          <t>RAGUNDA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1308-2025</t>
        </is>
      </c>
      <c r="B1057" s="1" t="n">
        <v>45667.55239583334</v>
      </c>
      <c r="C1057" s="1" t="n">
        <v>46041</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41262-2021</t>
        </is>
      </c>
      <c r="B1058" s="1" t="n">
        <v>44424</v>
      </c>
      <c r="C1058" s="1" t="n">
        <v>46041</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36371-2023</t>
        </is>
      </c>
      <c r="B1059" s="1" t="n">
        <v>45149</v>
      </c>
      <c r="C1059" s="1" t="n">
        <v>46041</v>
      </c>
      <c r="D1059" t="inlineStr">
        <is>
          <t>JÄMTLANDS LÄN</t>
        </is>
      </c>
      <c r="E1059" t="inlineStr">
        <is>
          <t>RAGUNDA</t>
        </is>
      </c>
      <c r="G1059" t="n">
        <v>25.7</v>
      </c>
      <c r="H1059" t="n">
        <v>0</v>
      </c>
      <c r="I1059" t="n">
        <v>0</v>
      </c>
      <c r="J1059" t="n">
        <v>0</v>
      </c>
      <c r="K1059" t="n">
        <v>0</v>
      </c>
      <c r="L1059" t="n">
        <v>0</v>
      </c>
      <c r="M1059" t="n">
        <v>0</v>
      </c>
      <c r="N1059" t="n">
        <v>0</v>
      </c>
      <c r="O1059" t="n">
        <v>0</v>
      </c>
      <c r="P1059" t="n">
        <v>0</v>
      </c>
      <c r="Q1059" t="n">
        <v>0</v>
      </c>
      <c r="R1059" s="2" t="inlineStr"/>
    </row>
    <row r="1060" ht="15" customHeight="1">
      <c r="A1060" t="inlineStr">
        <is>
          <t>A 11058-2025</t>
        </is>
      </c>
      <c r="B1060" s="1" t="n">
        <v>45723.51079861111</v>
      </c>
      <c r="C1060" s="1" t="n">
        <v>46041</v>
      </c>
      <c r="D1060" t="inlineStr">
        <is>
          <t>JÄMTLANDS LÄN</t>
        </is>
      </c>
      <c r="E1060" t="inlineStr">
        <is>
          <t>RAGUNDA</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51579-2024</t>
        </is>
      </c>
      <c r="B1061" s="1" t="n">
        <v>45604.63575231482</v>
      </c>
      <c r="C1061" s="1" t="n">
        <v>46041</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15554-2025</t>
        </is>
      </c>
      <c r="B1062" s="1" t="n">
        <v>45747.67739583334</v>
      </c>
      <c r="C1062" s="1" t="n">
        <v>46041</v>
      </c>
      <c r="D1062" t="inlineStr">
        <is>
          <t>JÄMTLANDS LÄN</t>
        </is>
      </c>
      <c r="E1062" t="inlineStr">
        <is>
          <t>RAGUNDA</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57170-2024</t>
        </is>
      </c>
      <c r="B1063" s="1" t="n">
        <v>45629.42759259259</v>
      </c>
      <c r="C1063" s="1" t="n">
        <v>46041</v>
      </c>
      <c r="D1063" t="inlineStr">
        <is>
          <t>JÄMTLANDS LÄN</t>
        </is>
      </c>
      <c r="E1063" t="inlineStr">
        <is>
          <t>RAGUNDA</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44630-2023</t>
        </is>
      </c>
      <c r="B1064" s="1" t="n">
        <v>45184</v>
      </c>
      <c r="C1064" s="1" t="n">
        <v>46041</v>
      </c>
      <c r="D1064" t="inlineStr">
        <is>
          <t>JÄMTLANDS LÄN</t>
        </is>
      </c>
      <c r="E1064" t="inlineStr">
        <is>
          <t>RAGUNDA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29940-2023</t>
        </is>
      </c>
      <c r="B1065" s="1" t="n">
        <v>45107</v>
      </c>
      <c r="C1065" s="1" t="n">
        <v>46041</v>
      </c>
      <c r="D1065" t="inlineStr">
        <is>
          <t>JÄMTLANDS LÄN</t>
        </is>
      </c>
      <c r="E1065" t="inlineStr">
        <is>
          <t>RAGUNDA</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12522-2023</t>
        </is>
      </c>
      <c r="B1066" s="1" t="n">
        <v>45000</v>
      </c>
      <c r="C1066" s="1" t="n">
        <v>46041</v>
      </c>
      <c r="D1066" t="inlineStr">
        <is>
          <t>JÄMTLANDS LÄN</t>
        </is>
      </c>
      <c r="E1066" t="inlineStr">
        <is>
          <t>RAGUNDA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12523-2023</t>
        </is>
      </c>
      <c r="B1067" s="1" t="n">
        <v>45000</v>
      </c>
      <c r="C1067" s="1" t="n">
        <v>46041</v>
      </c>
      <c r="D1067" t="inlineStr">
        <is>
          <t>JÄMTLANDS LÄN</t>
        </is>
      </c>
      <c r="E1067" t="inlineStr">
        <is>
          <t>RAGUNDA</t>
        </is>
      </c>
      <c r="F1067" t="inlineStr">
        <is>
          <t>SCA</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66471-2021</t>
        </is>
      </c>
      <c r="B1068" s="1" t="n">
        <v>44518</v>
      </c>
      <c r="C1068" s="1" t="n">
        <v>46041</v>
      </c>
      <c r="D1068" t="inlineStr">
        <is>
          <t>JÄMTLANDS LÄN</t>
        </is>
      </c>
      <c r="E1068" t="inlineStr">
        <is>
          <t>RAGUNDA</t>
        </is>
      </c>
      <c r="G1068" t="n">
        <v>13.4</v>
      </c>
      <c r="H1068" t="n">
        <v>0</v>
      </c>
      <c r="I1068" t="n">
        <v>0</v>
      </c>
      <c r="J1068" t="n">
        <v>0</v>
      </c>
      <c r="K1068" t="n">
        <v>0</v>
      </c>
      <c r="L1068" t="n">
        <v>0</v>
      </c>
      <c r="M1068" t="n">
        <v>0</v>
      </c>
      <c r="N1068" t="n">
        <v>0</v>
      </c>
      <c r="O1068" t="n">
        <v>0</v>
      </c>
      <c r="P1068" t="n">
        <v>0</v>
      </c>
      <c r="Q1068" t="n">
        <v>0</v>
      </c>
      <c r="R1068" s="2" t="inlineStr"/>
    </row>
    <row r="1069" ht="15" customHeight="1">
      <c r="A1069" t="inlineStr">
        <is>
          <t>A 22731-2023</t>
        </is>
      </c>
      <c r="B1069" s="1" t="n">
        <v>45071</v>
      </c>
      <c r="C1069" s="1" t="n">
        <v>46041</v>
      </c>
      <c r="D1069" t="inlineStr">
        <is>
          <t>JÄMTLANDS LÄN</t>
        </is>
      </c>
      <c r="E1069" t="inlineStr">
        <is>
          <t>RAGUNDA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33877-2023</t>
        </is>
      </c>
      <c r="B1070" s="1" t="n">
        <v>45133</v>
      </c>
      <c r="C1070" s="1" t="n">
        <v>46041</v>
      </c>
      <c r="D1070" t="inlineStr">
        <is>
          <t>JÄMTLANDS LÄN</t>
        </is>
      </c>
      <c r="E1070" t="inlineStr">
        <is>
          <t>RAGUNDA</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36246-2024</t>
        </is>
      </c>
      <c r="B1071" s="1" t="n">
        <v>45534</v>
      </c>
      <c r="C1071" s="1" t="n">
        <v>46041</v>
      </c>
      <c r="D1071" t="inlineStr">
        <is>
          <t>JÄMTLANDS LÄN</t>
        </is>
      </c>
      <c r="E1071" t="inlineStr">
        <is>
          <t>RAGUNDA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8775-2025</t>
        </is>
      </c>
      <c r="B1072" s="1" t="n">
        <v>45712.61502314815</v>
      </c>
      <c r="C1072" s="1" t="n">
        <v>46041</v>
      </c>
      <c r="D1072" t="inlineStr">
        <is>
          <t>JÄMTLANDS LÄN</t>
        </is>
      </c>
      <c r="E1072" t="inlineStr">
        <is>
          <t>RAGUNDA</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32063-2024</t>
        </is>
      </c>
      <c r="B1073" s="1" t="n">
        <v>45510</v>
      </c>
      <c r="C1073" s="1" t="n">
        <v>46041</v>
      </c>
      <c r="D1073" t="inlineStr">
        <is>
          <t>JÄMTLANDS LÄN</t>
        </is>
      </c>
      <c r="E1073" t="inlineStr">
        <is>
          <t>RAGUNDA</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8776-2025</t>
        </is>
      </c>
      <c r="B1074" s="1" t="n">
        <v>45712.61510416667</v>
      </c>
      <c r="C1074" s="1" t="n">
        <v>46041</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57749-2024</t>
        </is>
      </c>
      <c r="B1075" s="1" t="n">
        <v>45630.7862037037</v>
      </c>
      <c r="C1075" s="1" t="n">
        <v>46041</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5307-2025</t>
        </is>
      </c>
      <c r="B1076" s="1" t="n">
        <v>45692.48993055556</v>
      </c>
      <c r="C1076" s="1" t="n">
        <v>46041</v>
      </c>
      <c r="D1076" t="inlineStr">
        <is>
          <t>JÄMTLANDS LÄN</t>
        </is>
      </c>
      <c r="E1076" t="inlineStr">
        <is>
          <t>RAGUNDA</t>
        </is>
      </c>
      <c r="F1076" t="inlineStr">
        <is>
          <t>SCA</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5067-2024</t>
        </is>
      </c>
      <c r="B1077" s="1" t="n">
        <v>45329.95806712963</v>
      </c>
      <c r="C1077" s="1" t="n">
        <v>46041</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5429-2024</t>
        </is>
      </c>
      <c r="B1078" s="1" t="n">
        <v>45331.92746527777</v>
      </c>
      <c r="C1078" s="1" t="n">
        <v>46041</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48066-2022</t>
        </is>
      </c>
      <c r="B1079" s="1" t="n">
        <v>44855</v>
      </c>
      <c r="C1079" s="1" t="n">
        <v>46041</v>
      </c>
      <c r="D1079" t="inlineStr">
        <is>
          <t>JÄMTLANDS LÄN</t>
        </is>
      </c>
      <c r="E1079" t="inlineStr">
        <is>
          <t>RAGUNDA</t>
        </is>
      </c>
      <c r="F1079" t="inlineStr">
        <is>
          <t>SCA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26942-2021</t>
        </is>
      </c>
      <c r="B1080" s="1" t="n">
        <v>44349.91978009259</v>
      </c>
      <c r="C1080" s="1" t="n">
        <v>46041</v>
      </c>
      <c r="D1080" t="inlineStr">
        <is>
          <t>JÄMTLANDS LÄN</t>
        </is>
      </c>
      <c r="E1080" t="inlineStr">
        <is>
          <t>RAGUNDA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56504-2024</t>
        </is>
      </c>
      <c r="B1081" s="1" t="n">
        <v>45625.51068287037</v>
      </c>
      <c r="C1081" s="1" t="n">
        <v>46041</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28742-2023</t>
        </is>
      </c>
      <c r="B1082" s="1" t="n">
        <v>45103</v>
      </c>
      <c r="C1082" s="1" t="n">
        <v>46041</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5938-2025</t>
        </is>
      </c>
      <c r="B1083" s="1" t="n">
        <v>45695.45868055556</v>
      </c>
      <c r="C1083" s="1" t="n">
        <v>46041</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28173-2024</t>
        </is>
      </c>
      <c r="B1084" s="1" t="n">
        <v>45476.94533564815</v>
      </c>
      <c r="C1084" s="1" t="n">
        <v>46041</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22981-2023</t>
        </is>
      </c>
      <c r="B1085" s="1" t="n">
        <v>45072.92737268518</v>
      </c>
      <c r="C1085" s="1" t="n">
        <v>46041</v>
      </c>
      <c r="D1085" t="inlineStr">
        <is>
          <t>JÄMTLANDS LÄN</t>
        </is>
      </c>
      <c r="E1085" t="inlineStr">
        <is>
          <t>RAGUNDA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21726-2023</t>
        </is>
      </c>
      <c r="B1086" s="1" t="n">
        <v>45065.42894675926</v>
      </c>
      <c r="C1086" s="1" t="n">
        <v>46041</v>
      </c>
      <c r="D1086" t="inlineStr">
        <is>
          <t>JÄMTLANDS LÄN</t>
        </is>
      </c>
      <c r="E1086" t="inlineStr">
        <is>
          <t>RAGUNDA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55514-2024</t>
        </is>
      </c>
      <c r="B1087" s="1" t="n">
        <v>45622.46910879629</v>
      </c>
      <c r="C1087" s="1" t="n">
        <v>46041</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24441-2024</t>
        </is>
      </c>
      <c r="B1088" s="1" t="n">
        <v>45457.96372685185</v>
      </c>
      <c r="C1088" s="1" t="n">
        <v>46041</v>
      </c>
      <c r="D1088" t="inlineStr">
        <is>
          <t>JÄMTLANDS LÄN</t>
        </is>
      </c>
      <c r="E1088" t="inlineStr">
        <is>
          <t>RAGUNDA</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35537-2021</t>
        </is>
      </c>
      <c r="B1089" s="1" t="n">
        <v>44384</v>
      </c>
      <c r="C1089" s="1" t="n">
        <v>46041</v>
      </c>
      <c r="D1089" t="inlineStr">
        <is>
          <t>JÄMTLANDS LÄN</t>
        </is>
      </c>
      <c r="E1089" t="inlineStr">
        <is>
          <t>RAGUNDA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46041</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37242-2024</t>
        </is>
      </c>
      <c r="B1091" s="1" t="n">
        <v>45540.34428240741</v>
      </c>
      <c r="C1091" s="1" t="n">
        <v>46041</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9232-2025</t>
        </is>
      </c>
      <c r="B1092" s="1" t="n">
        <v>45714.55064814815</v>
      </c>
      <c r="C1092" s="1" t="n">
        <v>46041</v>
      </c>
      <c r="D1092" t="inlineStr">
        <is>
          <t>JÄMTLANDS LÄN</t>
        </is>
      </c>
      <c r="E1092" t="inlineStr">
        <is>
          <t>RAGUNDA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41656-2023</t>
        </is>
      </c>
      <c r="B1093" s="1" t="n">
        <v>45175</v>
      </c>
      <c r="C1093" s="1" t="n">
        <v>46041</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36317-2024</t>
        </is>
      </c>
      <c r="B1094" s="1" t="n">
        <v>45534.63537037037</v>
      </c>
      <c r="C1094" s="1" t="n">
        <v>46041</v>
      </c>
      <c r="D1094" t="inlineStr">
        <is>
          <t>JÄMTLANDS LÄN</t>
        </is>
      </c>
      <c r="E1094" t="inlineStr">
        <is>
          <t>RAGUNDA</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46041</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36226-2023</t>
        </is>
      </c>
      <c r="B1096" s="1" t="n">
        <v>45149.95372685185</v>
      </c>
      <c r="C1096" s="1" t="n">
        <v>46041</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45438-2022</t>
        </is>
      </c>
      <c r="B1097" s="1" t="n">
        <v>44844.95368055555</v>
      </c>
      <c r="C1097" s="1" t="n">
        <v>46041</v>
      </c>
      <c r="D1097" t="inlineStr">
        <is>
          <t>JÄMTLANDS LÄN</t>
        </is>
      </c>
      <c r="E1097" t="inlineStr">
        <is>
          <t>RAGUNDA</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30459-2021</t>
        </is>
      </c>
      <c r="B1098" s="1" t="n">
        <v>44362</v>
      </c>
      <c r="C1098" s="1" t="n">
        <v>46041</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29263-2024</t>
        </is>
      </c>
      <c r="B1099" s="1" t="n">
        <v>45482.94891203703</v>
      </c>
      <c r="C1099" s="1" t="n">
        <v>46041</v>
      </c>
      <c r="D1099" t="inlineStr">
        <is>
          <t>JÄMTLANDS LÄN</t>
        </is>
      </c>
      <c r="E1099" t="inlineStr">
        <is>
          <t>RAGUNDA</t>
        </is>
      </c>
      <c r="F1099" t="inlineStr">
        <is>
          <t>SCA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29265-2024</t>
        </is>
      </c>
      <c r="B1100" s="1" t="n">
        <v>45482.9491087963</v>
      </c>
      <c r="C1100" s="1" t="n">
        <v>46041</v>
      </c>
      <c r="D1100" t="inlineStr">
        <is>
          <t>JÄMTLANDS LÄN</t>
        </is>
      </c>
      <c r="E1100" t="inlineStr">
        <is>
          <t>RAGUNDA</t>
        </is>
      </c>
      <c r="F1100" t="inlineStr">
        <is>
          <t>SCA</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59368-2022</t>
        </is>
      </c>
      <c r="B1101" s="1" t="n">
        <v>44904.94824074074</v>
      </c>
      <c r="C1101" s="1" t="n">
        <v>46041</v>
      </c>
      <c r="D1101" t="inlineStr">
        <is>
          <t>JÄMTLANDS LÄN</t>
        </is>
      </c>
      <c r="E1101" t="inlineStr">
        <is>
          <t>RAGUNDA</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13898-2023</t>
        </is>
      </c>
      <c r="B1102" s="1" t="n">
        <v>45008.01408564814</v>
      </c>
      <c r="C1102" s="1" t="n">
        <v>46041</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41693-2023</t>
        </is>
      </c>
      <c r="B1103" s="1" t="n">
        <v>45176</v>
      </c>
      <c r="C1103" s="1" t="n">
        <v>46041</v>
      </c>
      <c r="D1103" t="inlineStr">
        <is>
          <t>JÄMTLANDS LÄN</t>
        </is>
      </c>
      <c r="E1103" t="inlineStr">
        <is>
          <t>RAGUNDA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893-2025</t>
        </is>
      </c>
      <c r="B1104" s="1" t="n">
        <v>45665.65684027778</v>
      </c>
      <c r="C1104" s="1" t="n">
        <v>46041</v>
      </c>
      <c r="D1104" t="inlineStr">
        <is>
          <t>JÄMTLANDS LÄN</t>
        </is>
      </c>
      <c r="E1104" t="inlineStr">
        <is>
          <t>RAGUNDA</t>
        </is>
      </c>
      <c r="F1104" t="inlineStr">
        <is>
          <t>SCA</t>
        </is>
      </c>
      <c r="G1104" t="n">
        <v>45.1</v>
      </c>
      <c r="H1104" t="n">
        <v>0</v>
      </c>
      <c r="I1104" t="n">
        <v>0</v>
      </c>
      <c r="J1104" t="n">
        <v>0</v>
      </c>
      <c r="K1104" t="n">
        <v>0</v>
      </c>
      <c r="L1104" t="n">
        <v>0</v>
      </c>
      <c r="M1104" t="n">
        <v>0</v>
      </c>
      <c r="N1104" t="n">
        <v>0</v>
      </c>
      <c r="O1104" t="n">
        <v>0</v>
      </c>
      <c r="P1104" t="n">
        <v>0</v>
      </c>
      <c r="Q1104" t="n">
        <v>0</v>
      </c>
      <c r="R1104" s="2" t="inlineStr"/>
    </row>
    <row r="1105" ht="15" customHeight="1">
      <c r="A1105" t="inlineStr">
        <is>
          <t>A 3770-2025</t>
        </is>
      </c>
      <c r="B1105" s="1" t="n">
        <v>45681.6050925926</v>
      </c>
      <c r="C1105" s="1" t="n">
        <v>46041</v>
      </c>
      <c r="D1105" t="inlineStr">
        <is>
          <t>JÄMTLANDS LÄN</t>
        </is>
      </c>
      <c r="E1105" t="inlineStr">
        <is>
          <t>RAGUNDA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7520-2023</t>
        </is>
      </c>
      <c r="B1106" s="1" t="n">
        <v>44971</v>
      </c>
      <c r="C1106" s="1" t="n">
        <v>46041</v>
      </c>
      <c r="D1106" t="inlineStr">
        <is>
          <t>JÄMTLANDS LÄN</t>
        </is>
      </c>
      <c r="E1106" t="inlineStr">
        <is>
          <t>RAGUNDA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53549-2024</t>
        </is>
      </c>
      <c r="B1107" s="1" t="n">
        <v>45614.63869212963</v>
      </c>
      <c r="C1107" s="1" t="n">
        <v>46041</v>
      </c>
      <c r="D1107" t="inlineStr">
        <is>
          <t>JÄMTLANDS LÄN</t>
        </is>
      </c>
      <c r="E1107" t="inlineStr">
        <is>
          <t>RAGUNDA</t>
        </is>
      </c>
      <c r="F1107" t="inlineStr">
        <is>
          <t>Kyrkan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53955-2022</t>
        </is>
      </c>
      <c r="B1108" s="1" t="n">
        <v>44880.95741898148</v>
      </c>
      <c r="C1108" s="1" t="n">
        <v>46041</v>
      </c>
      <c r="D1108" t="inlineStr">
        <is>
          <t>JÄMTLANDS LÄN</t>
        </is>
      </c>
      <c r="E1108" t="inlineStr">
        <is>
          <t>RAGUNDA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11252-2025</t>
        </is>
      </c>
      <c r="B1109" s="1" t="n">
        <v>45726.38615740741</v>
      </c>
      <c r="C1109" s="1" t="n">
        <v>46041</v>
      </c>
      <c r="D1109" t="inlineStr">
        <is>
          <t>JÄMTLANDS LÄN</t>
        </is>
      </c>
      <c r="E1109" t="inlineStr">
        <is>
          <t>RAGUNDA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7668-2025</t>
        </is>
      </c>
      <c r="B1110" s="1" t="n">
        <v>45706.34450231482</v>
      </c>
      <c r="C1110" s="1" t="n">
        <v>46041</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9567-2025</t>
        </is>
      </c>
      <c r="B1111" s="1" t="n">
        <v>45715.61523148148</v>
      </c>
      <c r="C1111" s="1" t="n">
        <v>46041</v>
      </c>
      <c r="D1111" t="inlineStr">
        <is>
          <t>JÄMTLANDS LÄN</t>
        </is>
      </c>
      <c r="E1111" t="inlineStr">
        <is>
          <t>RAGUNDA</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53287-2022</t>
        </is>
      </c>
      <c r="B1112" s="1" t="n">
        <v>44876</v>
      </c>
      <c r="C1112" s="1" t="n">
        <v>46041</v>
      </c>
      <c r="D1112" t="inlineStr">
        <is>
          <t>JÄMTLANDS LÄN</t>
        </is>
      </c>
      <c r="E1112" t="inlineStr">
        <is>
          <t>RAGUNDA</t>
        </is>
      </c>
      <c r="F1112" t="inlineStr">
        <is>
          <t>SCA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51646-2023</t>
        </is>
      </c>
      <c r="B1113" s="1" t="n">
        <v>45215</v>
      </c>
      <c r="C1113" s="1" t="n">
        <v>46041</v>
      </c>
      <c r="D1113" t="inlineStr">
        <is>
          <t>JÄMTLANDS LÄN</t>
        </is>
      </c>
      <c r="E1113" t="inlineStr">
        <is>
          <t>RAGUNDA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29319-2023</t>
        </is>
      </c>
      <c r="B1114" s="1" t="n">
        <v>45105</v>
      </c>
      <c r="C1114" s="1" t="n">
        <v>46041</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17323-2025</t>
        </is>
      </c>
      <c r="B1115" s="1" t="n">
        <v>45756.63601851852</v>
      </c>
      <c r="C1115" s="1" t="n">
        <v>46041</v>
      </c>
      <c r="D1115" t="inlineStr">
        <is>
          <t>JÄMTLANDS LÄN</t>
        </is>
      </c>
      <c r="E1115" t="inlineStr">
        <is>
          <t>RAGUNDA</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19486-2024</t>
        </is>
      </c>
      <c r="B1116" s="1" t="n">
        <v>45429</v>
      </c>
      <c r="C1116" s="1" t="n">
        <v>46041</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13941-2025</t>
        </is>
      </c>
      <c r="B1117" s="1" t="n">
        <v>45737.69822916666</v>
      </c>
      <c r="C1117" s="1" t="n">
        <v>46041</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46041</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27291-2022</t>
        </is>
      </c>
      <c r="B1119" s="1" t="n">
        <v>44741.94070601852</v>
      </c>
      <c r="C1119" s="1" t="n">
        <v>46041</v>
      </c>
      <c r="D1119" t="inlineStr">
        <is>
          <t>JÄMTLANDS LÄN</t>
        </is>
      </c>
      <c r="E1119" t="inlineStr">
        <is>
          <t>RAGUNDA</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49650-2024</t>
        </is>
      </c>
      <c r="B1120" s="1" t="n">
        <v>45596.61569444444</v>
      </c>
      <c r="C1120" s="1" t="n">
        <v>46041</v>
      </c>
      <c r="D1120" t="inlineStr">
        <is>
          <t>JÄMTLANDS LÄN</t>
        </is>
      </c>
      <c r="E1120" t="inlineStr">
        <is>
          <t>RAGUNDA</t>
        </is>
      </c>
      <c r="F1120" t="inlineStr">
        <is>
          <t>Naturvårdsverket</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49651-2024</t>
        </is>
      </c>
      <c r="B1121" s="1" t="n">
        <v>45596.61582175926</v>
      </c>
      <c r="C1121" s="1" t="n">
        <v>46041</v>
      </c>
      <c r="D1121" t="inlineStr">
        <is>
          <t>JÄMTLANDS LÄN</t>
        </is>
      </c>
      <c r="E1121" t="inlineStr">
        <is>
          <t>RAGUNDA</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6477-2024</t>
        </is>
      </c>
      <c r="B1122" s="1" t="n">
        <v>45338.95405092592</v>
      </c>
      <c r="C1122" s="1" t="n">
        <v>46041</v>
      </c>
      <c r="D1122" t="inlineStr">
        <is>
          <t>JÄMTLANDS LÄN</t>
        </is>
      </c>
      <c r="E1122" t="inlineStr">
        <is>
          <t>RAGUNDA</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60443-2023</t>
        </is>
      </c>
      <c r="B1123" s="1" t="n">
        <v>45258</v>
      </c>
      <c r="C1123" s="1" t="n">
        <v>46041</v>
      </c>
      <c r="D1123" t="inlineStr">
        <is>
          <t>JÄMTLANDS LÄN</t>
        </is>
      </c>
      <c r="E1123" t="inlineStr">
        <is>
          <t>RAGUNDA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44759-2024</t>
        </is>
      </c>
      <c r="B1124" s="1" t="n">
        <v>45574.61634259259</v>
      </c>
      <c r="C1124" s="1" t="n">
        <v>46041</v>
      </c>
      <c r="D1124" t="inlineStr">
        <is>
          <t>JÄMTLANDS LÄN</t>
        </is>
      </c>
      <c r="E1124" t="inlineStr">
        <is>
          <t>RAGUNDA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993-2025</t>
        </is>
      </c>
      <c r="B1125" s="1" t="n">
        <v>45666.44943287037</v>
      </c>
      <c r="C1125" s="1" t="n">
        <v>46041</v>
      </c>
      <c r="D1125" t="inlineStr">
        <is>
          <t>JÄMTLANDS LÄN</t>
        </is>
      </c>
      <c r="E1125" t="inlineStr">
        <is>
          <t>RAGUNDA</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57064-2024</t>
        </is>
      </c>
      <c r="B1126" s="1" t="n">
        <v>45629.35326388889</v>
      </c>
      <c r="C1126" s="1" t="n">
        <v>46041</v>
      </c>
      <c r="D1126" t="inlineStr">
        <is>
          <t>JÄMTLANDS LÄN</t>
        </is>
      </c>
      <c r="E1126" t="inlineStr">
        <is>
          <t>RAGUNDA</t>
        </is>
      </c>
      <c r="F1126" t="inlineStr">
        <is>
          <t>Naturvårdsverket</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60936-2024</t>
        </is>
      </c>
      <c r="B1127" s="1" t="n">
        <v>45645.36743055555</v>
      </c>
      <c r="C1127" s="1" t="n">
        <v>46041</v>
      </c>
      <c r="D1127" t="inlineStr">
        <is>
          <t>JÄMTLANDS LÄN</t>
        </is>
      </c>
      <c r="E1127" t="inlineStr">
        <is>
          <t>RAGUNDA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5930-2025</t>
        </is>
      </c>
      <c r="B1128" s="1" t="n">
        <v>45695.44724537037</v>
      </c>
      <c r="C1128" s="1" t="n">
        <v>46041</v>
      </c>
      <c r="D1128" t="inlineStr">
        <is>
          <t>JÄMTLANDS LÄN</t>
        </is>
      </c>
      <c r="E1128" t="inlineStr">
        <is>
          <t>RAGUNDA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58847-2024</t>
        </is>
      </c>
      <c r="B1129" s="1" t="n">
        <v>45636.3864699074</v>
      </c>
      <c r="C1129" s="1" t="n">
        <v>46041</v>
      </c>
      <c r="D1129" t="inlineStr">
        <is>
          <t>JÄMTLANDS LÄN</t>
        </is>
      </c>
      <c r="E1129" t="inlineStr">
        <is>
          <t>RAGUNDA</t>
        </is>
      </c>
      <c r="F1129" t="inlineStr">
        <is>
          <t>SCA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7722-2023</t>
        </is>
      </c>
      <c r="B1130" s="1" t="n">
        <v>44972.94140046297</v>
      </c>
      <c r="C1130" s="1" t="n">
        <v>46041</v>
      </c>
      <c r="D1130" t="inlineStr">
        <is>
          <t>JÄMTLANDS LÄN</t>
        </is>
      </c>
      <c r="E1130" t="inlineStr">
        <is>
          <t>RAGUNDA</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20653-2025</t>
        </is>
      </c>
      <c r="B1131" s="1" t="n">
        <v>45776.40311342593</v>
      </c>
      <c r="C1131" s="1" t="n">
        <v>46041</v>
      </c>
      <c r="D1131" t="inlineStr">
        <is>
          <t>JÄMTLANDS LÄN</t>
        </is>
      </c>
      <c r="E1131" t="inlineStr">
        <is>
          <t>RAGUNDA</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20777-2025</t>
        </is>
      </c>
      <c r="B1132" s="1" t="n">
        <v>45776.59422453704</v>
      </c>
      <c r="C1132" s="1" t="n">
        <v>46041</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20722-2025</t>
        </is>
      </c>
      <c r="B1133" s="1" t="n">
        <v>45776.50651620371</v>
      </c>
      <c r="C1133" s="1" t="n">
        <v>46041</v>
      </c>
      <c r="D1133" t="inlineStr">
        <is>
          <t>JÄMTLANDS LÄN</t>
        </is>
      </c>
      <c r="E1133" t="inlineStr">
        <is>
          <t>RAGUNDA</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20728-2025</t>
        </is>
      </c>
      <c r="B1134" s="1" t="n">
        <v>45776.51130787037</v>
      </c>
      <c r="C1134" s="1" t="n">
        <v>46041</v>
      </c>
      <c r="D1134" t="inlineStr">
        <is>
          <t>JÄMTLANDS LÄN</t>
        </is>
      </c>
      <c r="E1134" t="inlineStr">
        <is>
          <t>RAGUNDA</t>
        </is>
      </c>
      <c r="F1134" t="inlineStr">
        <is>
          <t>Kommuner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21430-2025</t>
        </is>
      </c>
      <c r="B1135" s="1" t="n">
        <v>45782.51099537037</v>
      </c>
      <c r="C1135" s="1" t="n">
        <v>46041</v>
      </c>
      <c r="D1135" t="inlineStr">
        <is>
          <t>JÄMTLANDS LÄN</t>
        </is>
      </c>
      <c r="E1135" t="inlineStr">
        <is>
          <t>RAGUNDA</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21432-2025</t>
        </is>
      </c>
      <c r="B1136" s="1" t="n">
        <v>45782.51109953703</v>
      </c>
      <c r="C1136" s="1" t="n">
        <v>46041</v>
      </c>
      <c r="D1136" t="inlineStr">
        <is>
          <t>JÄMTLANDS LÄN</t>
        </is>
      </c>
      <c r="E1136" t="inlineStr">
        <is>
          <t>RAGUNDA</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21550-2025</t>
        </is>
      </c>
      <c r="B1137" s="1" t="n">
        <v>45782.67758101852</v>
      </c>
      <c r="C1137" s="1" t="n">
        <v>46041</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21451-2025</t>
        </is>
      </c>
      <c r="B1138" s="1" t="n">
        <v>45782.55287037037</v>
      </c>
      <c r="C1138" s="1" t="n">
        <v>46041</v>
      </c>
      <c r="D1138" t="inlineStr">
        <is>
          <t>JÄMTLANDS LÄN</t>
        </is>
      </c>
      <c r="E1138" t="inlineStr">
        <is>
          <t>RAGUNDA</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21150-2025</t>
        </is>
      </c>
      <c r="B1139" s="1" t="n">
        <v>45779.34417824074</v>
      </c>
      <c r="C1139" s="1" t="n">
        <v>46041</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21331-2025</t>
        </is>
      </c>
      <c r="B1140" s="1" t="n">
        <v>45782.36494212963</v>
      </c>
      <c r="C1140" s="1" t="n">
        <v>46041</v>
      </c>
      <c r="D1140" t="inlineStr">
        <is>
          <t>JÄMTLANDS LÄN</t>
        </is>
      </c>
      <c r="E1140" t="inlineStr">
        <is>
          <t>RAGUNDA</t>
        </is>
      </c>
      <c r="F1140" t="inlineStr">
        <is>
          <t>SCA</t>
        </is>
      </c>
      <c r="G1140" t="n">
        <v>23.1</v>
      </c>
      <c r="H1140" t="n">
        <v>0</v>
      </c>
      <c r="I1140" t="n">
        <v>0</v>
      </c>
      <c r="J1140" t="n">
        <v>0</v>
      </c>
      <c r="K1140" t="n">
        <v>0</v>
      </c>
      <c r="L1140" t="n">
        <v>0</v>
      </c>
      <c r="M1140" t="n">
        <v>0</v>
      </c>
      <c r="N1140" t="n">
        <v>0</v>
      </c>
      <c r="O1140" t="n">
        <v>0</v>
      </c>
      <c r="P1140" t="n">
        <v>0</v>
      </c>
      <c r="Q1140" t="n">
        <v>0</v>
      </c>
      <c r="R1140" s="2" t="inlineStr"/>
      <c r="U1140">
        <f>HYPERLINK("https://klasma.github.io/Logging_2303/knärot/A 21331-2025 karta knärot.png", "A 21331-2025")</f>
        <v/>
      </c>
      <c r="V1140">
        <f>HYPERLINK("https://klasma.github.io/Logging_2303/klagomål/A 21331-2025 FSC-klagomål.docx", "A 21331-2025")</f>
        <v/>
      </c>
      <c r="W1140">
        <f>HYPERLINK("https://klasma.github.io/Logging_2303/klagomålsmail/A 21331-2025 FSC-klagomål mail.docx", "A 21331-2025")</f>
        <v/>
      </c>
      <c r="X1140">
        <f>HYPERLINK("https://klasma.github.io/Logging_2303/tillsyn/A 21331-2025 tillsynsbegäran.docx", "A 21331-2025")</f>
        <v/>
      </c>
      <c r="Y1140">
        <f>HYPERLINK("https://klasma.github.io/Logging_2303/tillsynsmail/A 21331-2025 tillsynsbegäran mail.docx", "A 21331-2025")</f>
        <v/>
      </c>
    </row>
    <row r="1141" ht="15" customHeight="1">
      <c r="A1141" t="inlineStr">
        <is>
          <t>A 21214-2025</t>
        </is>
      </c>
      <c r="B1141" s="1" t="n">
        <v>45779.49025462963</v>
      </c>
      <c r="C1141" s="1" t="n">
        <v>46041</v>
      </c>
      <c r="D1141" t="inlineStr">
        <is>
          <t>JÄMTLANDS LÄN</t>
        </is>
      </c>
      <c r="E1141" t="inlineStr">
        <is>
          <t>RAGUNDA</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22941-2024</t>
        </is>
      </c>
      <c r="B1142" s="1" t="n">
        <v>45448.94520833333</v>
      </c>
      <c r="C1142" s="1" t="n">
        <v>46041</v>
      </c>
      <c r="D1142" t="inlineStr">
        <is>
          <t>JÄMTLANDS LÄN</t>
        </is>
      </c>
      <c r="E1142" t="inlineStr">
        <is>
          <t>RAGUNDA</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44881-2023</t>
        </is>
      </c>
      <c r="B1143" s="1" t="n">
        <v>45187</v>
      </c>
      <c r="C1143" s="1" t="n">
        <v>46041</v>
      </c>
      <c r="D1143" t="inlineStr">
        <is>
          <t>JÄMTLANDS LÄN</t>
        </is>
      </c>
      <c r="E1143" t="inlineStr">
        <is>
          <t>RAGUNDA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60629-2023</t>
        </is>
      </c>
      <c r="B1144" s="1" t="n">
        <v>45259</v>
      </c>
      <c r="C1144" s="1" t="n">
        <v>46041</v>
      </c>
      <c r="D1144" t="inlineStr">
        <is>
          <t>JÄMTLANDS LÄN</t>
        </is>
      </c>
      <c r="E1144" t="inlineStr">
        <is>
          <t>RAGUNDA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57889-2024</t>
        </is>
      </c>
      <c r="B1145" s="1" t="n">
        <v>45631.46665509259</v>
      </c>
      <c r="C1145" s="1" t="n">
        <v>46041</v>
      </c>
      <c r="D1145" t="inlineStr">
        <is>
          <t>JÄMTLANDS LÄN</t>
        </is>
      </c>
      <c r="E1145" t="inlineStr">
        <is>
          <t>RAGUNDA</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22388-2025</t>
        </is>
      </c>
      <c r="B1146" s="1" t="n">
        <v>45786.51077546296</v>
      </c>
      <c r="C1146" s="1" t="n">
        <v>46041</v>
      </c>
      <c r="D1146" t="inlineStr">
        <is>
          <t>JÄMTLANDS LÄN</t>
        </is>
      </c>
      <c r="E1146" t="inlineStr">
        <is>
          <t>RAGUNDA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22898-2025</t>
        </is>
      </c>
      <c r="B1147" s="1" t="n">
        <v>45790.40670138889</v>
      </c>
      <c r="C1147" s="1" t="n">
        <v>46041</v>
      </c>
      <c r="D1147" t="inlineStr">
        <is>
          <t>JÄMTLANDS LÄN</t>
        </is>
      </c>
      <c r="E1147" t="inlineStr">
        <is>
          <t>RAGUNDA</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23405-2025</t>
        </is>
      </c>
      <c r="B1148" s="1" t="n">
        <v>45792.34527777778</v>
      </c>
      <c r="C1148" s="1" t="n">
        <v>46041</v>
      </c>
      <c r="D1148" t="inlineStr">
        <is>
          <t>JÄMTLANDS LÄN</t>
        </is>
      </c>
      <c r="E1148" t="inlineStr">
        <is>
          <t>RAGUNDA</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23654-2025</t>
        </is>
      </c>
      <c r="B1149" s="1" t="n">
        <v>45792.71905092592</v>
      </c>
      <c r="C1149" s="1" t="n">
        <v>46041</v>
      </c>
      <c r="D1149" t="inlineStr">
        <is>
          <t>JÄMTLANDS LÄN</t>
        </is>
      </c>
      <c r="E1149" t="inlineStr">
        <is>
          <t>RAGUNDA</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23507-2025</t>
        </is>
      </c>
      <c r="B1150" s="1" t="n">
        <v>45792.49023148148</v>
      </c>
      <c r="C1150" s="1" t="n">
        <v>46041</v>
      </c>
      <c r="D1150" t="inlineStr">
        <is>
          <t>JÄMTLANDS LÄN</t>
        </is>
      </c>
      <c r="E1150" t="inlineStr">
        <is>
          <t>RAGUNDA</t>
        </is>
      </c>
      <c r="F1150" t="inlineStr">
        <is>
          <t>SCA</t>
        </is>
      </c>
      <c r="G1150" t="n">
        <v>16.4</v>
      </c>
      <c r="H1150" t="n">
        <v>0</v>
      </c>
      <c r="I1150" t="n">
        <v>0</v>
      </c>
      <c r="J1150" t="n">
        <v>0</v>
      </c>
      <c r="K1150" t="n">
        <v>0</v>
      </c>
      <c r="L1150" t="n">
        <v>0</v>
      </c>
      <c r="M1150" t="n">
        <v>0</v>
      </c>
      <c r="N1150" t="n">
        <v>0</v>
      </c>
      <c r="O1150" t="n">
        <v>0</v>
      </c>
      <c r="P1150" t="n">
        <v>0</v>
      </c>
      <c r="Q1150" t="n">
        <v>0</v>
      </c>
      <c r="R1150" s="2" t="inlineStr"/>
    </row>
    <row r="1151" ht="15" customHeight="1">
      <c r="A1151" t="inlineStr">
        <is>
          <t>A 23586-2025</t>
        </is>
      </c>
      <c r="B1151" s="1" t="n">
        <v>45792.63584490741</v>
      </c>
      <c r="C1151" s="1" t="n">
        <v>46041</v>
      </c>
      <c r="D1151" t="inlineStr">
        <is>
          <t>JÄMTLANDS LÄN</t>
        </is>
      </c>
      <c r="E1151" t="inlineStr">
        <is>
          <t>RAGUNDA</t>
        </is>
      </c>
      <c r="F1151" t="inlineStr">
        <is>
          <t>SCA</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23413-2025</t>
        </is>
      </c>
      <c r="B1152" s="1" t="n">
        <v>45792.34606481482</v>
      </c>
      <c r="C1152" s="1" t="n">
        <v>46041</v>
      </c>
      <c r="D1152" t="inlineStr">
        <is>
          <t>JÄMTLANDS LÄN</t>
        </is>
      </c>
      <c r="E1152" t="inlineStr">
        <is>
          <t>RAGUNDA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23253-2025</t>
        </is>
      </c>
      <c r="B1153" s="1" t="n">
        <v>45791.53238425926</v>
      </c>
      <c r="C1153" s="1" t="n">
        <v>46041</v>
      </c>
      <c r="D1153" t="inlineStr">
        <is>
          <t>JÄMTLANDS LÄN</t>
        </is>
      </c>
      <c r="E1153" t="inlineStr">
        <is>
          <t>RAGUNDA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18284-2025</t>
        </is>
      </c>
      <c r="B1154" s="1" t="n">
        <v>45762.39876157408</v>
      </c>
      <c r="C1154" s="1" t="n">
        <v>46041</v>
      </c>
      <c r="D1154" t="inlineStr">
        <is>
          <t>JÄMTLANDS LÄN</t>
        </is>
      </c>
      <c r="E1154" t="inlineStr">
        <is>
          <t>RAGUNDA</t>
        </is>
      </c>
      <c r="G1154" t="n">
        <v>0.2</v>
      </c>
      <c r="H1154" t="n">
        <v>0</v>
      </c>
      <c r="I1154" t="n">
        <v>0</v>
      </c>
      <c r="J1154" t="n">
        <v>0</v>
      </c>
      <c r="K1154" t="n">
        <v>0</v>
      </c>
      <c r="L1154" t="n">
        <v>0</v>
      </c>
      <c r="M1154" t="n">
        <v>0</v>
      </c>
      <c r="N1154" t="n">
        <v>0</v>
      </c>
      <c r="O1154" t="n">
        <v>0</v>
      </c>
      <c r="P1154" t="n">
        <v>0</v>
      </c>
      <c r="Q1154" t="n">
        <v>0</v>
      </c>
      <c r="R1154" s="2" t="inlineStr"/>
      <c r="U1154">
        <f>HYPERLINK("https://klasma.github.io/Logging_2303/knärot/A 18284-2025 karta knärot.png", "A 18284-2025")</f>
        <v/>
      </c>
      <c r="V1154">
        <f>HYPERLINK("https://klasma.github.io/Logging_2303/klagomål/A 18284-2025 FSC-klagomål.docx", "A 18284-2025")</f>
        <v/>
      </c>
      <c r="W1154">
        <f>HYPERLINK("https://klasma.github.io/Logging_2303/klagomålsmail/A 18284-2025 FSC-klagomål mail.docx", "A 18284-2025")</f>
        <v/>
      </c>
      <c r="X1154">
        <f>HYPERLINK("https://klasma.github.io/Logging_2303/tillsyn/A 18284-2025 tillsynsbegäran.docx", "A 18284-2025")</f>
        <v/>
      </c>
      <c r="Y1154">
        <f>HYPERLINK("https://klasma.github.io/Logging_2303/tillsynsmail/A 18284-2025 tillsynsbegäran mail.docx", "A 18284-2025")</f>
        <v/>
      </c>
    </row>
    <row r="1155" ht="15" customHeight="1">
      <c r="A1155" t="inlineStr">
        <is>
          <t>A 19263-2025</t>
        </is>
      </c>
      <c r="B1155" s="1" t="n">
        <v>45769.51075231482</v>
      </c>
      <c r="C1155" s="1" t="n">
        <v>46041</v>
      </c>
      <c r="D1155" t="inlineStr">
        <is>
          <t>JÄMTLANDS LÄN</t>
        </is>
      </c>
      <c r="E1155" t="inlineStr">
        <is>
          <t>RAGUNDA</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23840-2025</t>
        </is>
      </c>
      <c r="B1156" s="1" t="n">
        <v>45793</v>
      </c>
      <c r="C1156" s="1" t="n">
        <v>46041</v>
      </c>
      <c r="D1156" t="inlineStr">
        <is>
          <t>JÄMTLANDS LÄN</t>
        </is>
      </c>
      <c r="E1156" t="inlineStr">
        <is>
          <t>RAGUNDA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24158-2025</t>
        </is>
      </c>
      <c r="B1157" s="1" t="n">
        <v>45796</v>
      </c>
      <c r="C1157" s="1" t="n">
        <v>46041</v>
      </c>
      <c r="D1157" t="inlineStr">
        <is>
          <t>JÄMTLANDS LÄN</t>
        </is>
      </c>
      <c r="E1157" t="inlineStr">
        <is>
          <t>RAGUNDA</t>
        </is>
      </c>
      <c r="G1157" t="n">
        <v>2.9</v>
      </c>
      <c r="H1157" t="n">
        <v>0</v>
      </c>
      <c r="I1157" t="n">
        <v>0</v>
      </c>
      <c r="J1157" t="n">
        <v>0</v>
      </c>
      <c r="K1157" t="n">
        <v>0</v>
      </c>
      <c r="L1157" t="n">
        <v>0</v>
      </c>
      <c r="M1157" t="n">
        <v>0</v>
      </c>
      <c r="N1157" t="n">
        <v>0</v>
      </c>
      <c r="O1157" t="n">
        <v>0</v>
      </c>
      <c r="P1157" t="n">
        <v>0</v>
      </c>
      <c r="Q1157" t="n">
        <v>0</v>
      </c>
      <c r="R1157" s="2" t="inlineStr"/>
      <c r="U1157">
        <f>HYPERLINK("https://klasma.github.io/Logging_2303/knärot/A 24158-2025 karta knärot.png", "A 24158-2025")</f>
        <v/>
      </c>
      <c r="V1157">
        <f>HYPERLINK("https://klasma.github.io/Logging_2303/klagomål/A 24158-2025 FSC-klagomål.docx", "A 24158-2025")</f>
        <v/>
      </c>
      <c r="W1157">
        <f>HYPERLINK("https://klasma.github.io/Logging_2303/klagomålsmail/A 24158-2025 FSC-klagomål mail.docx", "A 24158-2025")</f>
        <v/>
      </c>
      <c r="X1157">
        <f>HYPERLINK("https://klasma.github.io/Logging_2303/tillsyn/A 24158-2025 tillsynsbegäran.docx", "A 24158-2025")</f>
        <v/>
      </c>
      <c r="Y1157">
        <f>HYPERLINK("https://klasma.github.io/Logging_2303/tillsynsmail/A 24158-2025 tillsynsbegäran mail.docx", "A 24158-2025")</f>
        <v/>
      </c>
    </row>
    <row r="1158" ht="15" customHeight="1">
      <c r="A1158" t="inlineStr">
        <is>
          <t>A 24161-2025</t>
        </is>
      </c>
      <c r="B1158" s="1" t="n">
        <v>45796</v>
      </c>
      <c r="C1158" s="1" t="n">
        <v>46041</v>
      </c>
      <c r="D1158" t="inlineStr">
        <is>
          <t>JÄMTLANDS LÄN</t>
        </is>
      </c>
      <c r="E1158" t="inlineStr">
        <is>
          <t>RAGUNDA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23841-2025</t>
        </is>
      </c>
      <c r="B1159" s="1" t="n">
        <v>45793.61523148148</v>
      </c>
      <c r="C1159" s="1" t="n">
        <v>46041</v>
      </c>
      <c r="D1159" t="inlineStr">
        <is>
          <t>JÄMTLANDS LÄN</t>
        </is>
      </c>
      <c r="E1159" t="inlineStr">
        <is>
          <t>RAGUNDA</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24159-2025</t>
        </is>
      </c>
      <c r="B1160" s="1" t="n">
        <v>45796</v>
      </c>
      <c r="C1160" s="1" t="n">
        <v>46041</v>
      </c>
      <c r="D1160" t="inlineStr">
        <is>
          <t>JÄMTLANDS LÄN</t>
        </is>
      </c>
      <c r="E1160" t="inlineStr">
        <is>
          <t>RAGUNDA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21524-2024</t>
        </is>
      </c>
      <c r="B1161" s="1" t="n">
        <v>45441</v>
      </c>
      <c r="C1161" s="1" t="n">
        <v>46041</v>
      </c>
      <c r="D1161" t="inlineStr">
        <is>
          <t>JÄMTLANDS LÄN</t>
        </is>
      </c>
      <c r="E1161" t="inlineStr">
        <is>
          <t>RAGUNDA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62407-2023</t>
        </is>
      </c>
      <c r="B1162" s="1" t="n">
        <v>45266</v>
      </c>
      <c r="C1162" s="1" t="n">
        <v>46041</v>
      </c>
      <c r="D1162" t="inlineStr">
        <is>
          <t>JÄMTLANDS LÄN</t>
        </is>
      </c>
      <c r="E1162" t="inlineStr">
        <is>
          <t>RAGUNDA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38191-2024</t>
        </is>
      </c>
      <c r="B1163" s="1" t="n">
        <v>45545.49078703704</v>
      </c>
      <c r="C1163" s="1" t="n">
        <v>46041</v>
      </c>
      <c r="D1163" t="inlineStr">
        <is>
          <t>JÄMTLANDS LÄN</t>
        </is>
      </c>
      <c r="E1163" t="inlineStr">
        <is>
          <t>RAGUNDA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24391-2025</t>
        </is>
      </c>
      <c r="B1164" s="1" t="n">
        <v>45797.63627314815</v>
      </c>
      <c r="C1164" s="1" t="n">
        <v>46041</v>
      </c>
      <c r="D1164" t="inlineStr">
        <is>
          <t>JÄMTLANDS LÄN</t>
        </is>
      </c>
      <c r="E1164" t="inlineStr">
        <is>
          <t>RAGUNDA</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25376-2025</t>
        </is>
      </c>
      <c r="B1165" s="1" t="n">
        <v>45800.63619212963</v>
      </c>
      <c r="C1165" s="1" t="n">
        <v>46041</v>
      </c>
      <c r="D1165" t="inlineStr">
        <is>
          <t>JÄMTLANDS LÄN</t>
        </is>
      </c>
      <c r="E1165" t="inlineStr">
        <is>
          <t>RAGUNDA</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25350-2025</t>
        </is>
      </c>
      <c r="B1166" s="1" t="n">
        <v>45800</v>
      </c>
      <c r="C1166" s="1" t="n">
        <v>46041</v>
      </c>
      <c r="D1166" t="inlineStr">
        <is>
          <t>JÄMTLANDS LÄN</t>
        </is>
      </c>
      <c r="E1166" t="inlineStr">
        <is>
          <t>RAGUNDA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25152-2025</t>
        </is>
      </c>
      <c r="B1167" s="1" t="n">
        <v>45800.42743055556</v>
      </c>
      <c r="C1167" s="1" t="n">
        <v>46041</v>
      </c>
      <c r="D1167" t="inlineStr">
        <is>
          <t>JÄMTLANDS LÄN</t>
        </is>
      </c>
      <c r="E1167" t="inlineStr">
        <is>
          <t>RAGUNDA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25175-2025</t>
        </is>
      </c>
      <c r="B1168" s="1" t="n">
        <v>45800.44822916666</v>
      </c>
      <c r="C1168" s="1" t="n">
        <v>46041</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25177-2025</t>
        </is>
      </c>
      <c r="B1169" s="1" t="n">
        <v>45800.44862268519</v>
      </c>
      <c r="C1169" s="1" t="n">
        <v>46041</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25631-2025</t>
        </is>
      </c>
      <c r="B1170" s="1" t="n">
        <v>45803.5946875</v>
      </c>
      <c r="C1170" s="1" t="n">
        <v>46041</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25659-2025</t>
        </is>
      </c>
      <c r="B1171" s="1" t="n">
        <v>45803.61552083334</v>
      </c>
      <c r="C1171" s="1" t="n">
        <v>46041</v>
      </c>
      <c r="D1171" t="inlineStr">
        <is>
          <t>JÄMTLANDS LÄN</t>
        </is>
      </c>
      <c r="E1171" t="inlineStr">
        <is>
          <t>RAGUNDA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25661-2025</t>
        </is>
      </c>
      <c r="B1172" s="1" t="n">
        <v>45803.61557870371</v>
      </c>
      <c r="C1172" s="1" t="n">
        <v>46041</v>
      </c>
      <c r="D1172" t="inlineStr">
        <is>
          <t>JÄMTLANDS LÄN</t>
        </is>
      </c>
      <c r="E1172" t="inlineStr">
        <is>
          <t>RAGUNDA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25944-2025</t>
        </is>
      </c>
      <c r="B1173" s="1" t="n">
        <v>45804.59487268519</v>
      </c>
      <c r="C1173" s="1" t="n">
        <v>46041</v>
      </c>
      <c r="D1173" t="inlineStr">
        <is>
          <t>JÄMTLANDS LÄN</t>
        </is>
      </c>
      <c r="E1173" t="inlineStr">
        <is>
          <t>RAGUNDA</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25814-2025</t>
        </is>
      </c>
      <c r="B1174" s="1" t="n">
        <v>45804.42642361111</v>
      </c>
      <c r="C1174" s="1" t="n">
        <v>46041</v>
      </c>
      <c r="D1174" t="inlineStr">
        <is>
          <t>JÄMTLANDS LÄN</t>
        </is>
      </c>
      <c r="E1174" t="inlineStr">
        <is>
          <t>RAGUNDA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19613-2023</t>
        </is>
      </c>
      <c r="B1175" s="1" t="n">
        <v>45050.94020833333</v>
      </c>
      <c r="C1175" s="1" t="n">
        <v>46041</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25994-2025</t>
        </is>
      </c>
      <c r="B1176" s="1" t="n">
        <v>45804.65672453704</v>
      </c>
      <c r="C1176" s="1" t="n">
        <v>46041</v>
      </c>
      <c r="D1176" t="inlineStr">
        <is>
          <t>JÄMTLANDS LÄN</t>
        </is>
      </c>
      <c r="E1176" t="inlineStr">
        <is>
          <t>RAGUNDA</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26283-2025</t>
        </is>
      </c>
      <c r="B1177" s="1" t="n">
        <v>45805.61495370371</v>
      </c>
      <c r="C1177" s="1" t="n">
        <v>46041</v>
      </c>
      <c r="D1177" t="inlineStr">
        <is>
          <t>JÄMTLANDS LÄN</t>
        </is>
      </c>
      <c r="E1177" t="inlineStr">
        <is>
          <t>RAGUNDA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24258-2025</t>
        </is>
      </c>
      <c r="B1178" s="1" t="n">
        <v>45797.40800925926</v>
      </c>
      <c r="C1178" s="1" t="n">
        <v>46041</v>
      </c>
      <c r="D1178" t="inlineStr">
        <is>
          <t>JÄMTLANDS LÄN</t>
        </is>
      </c>
      <c r="E1178" t="inlineStr">
        <is>
          <t>RAGUNDA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26172-2025</t>
        </is>
      </c>
      <c r="B1179" s="1" t="n">
        <v>45805.46613425926</v>
      </c>
      <c r="C1179" s="1" t="n">
        <v>46041</v>
      </c>
      <c r="D1179" t="inlineStr">
        <is>
          <t>JÄMTLANDS LÄN</t>
        </is>
      </c>
      <c r="E1179" t="inlineStr">
        <is>
          <t>RAGUNDA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10788-2025</t>
        </is>
      </c>
      <c r="B1180" s="1" t="n">
        <v>45722.48982638889</v>
      </c>
      <c r="C1180" s="1" t="n">
        <v>46041</v>
      </c>
      <c r="D1180" t="inlineStr">
        <is>
          <t>JÄMTLANDS LÄN</t>
        </is>
      </c>
      <c r="E1180" t="inlineStr">
        <is>
          <t>RAGUNDA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26246-2025</t>
        </is>
      </c>
      <c r="B1181" s="1" t="n">
        <v>45805.57390046296</v>
      </c>
      <c r="C1181" s="1" t="n">
        <v>46041</v>
      </c>
      <c r="D1181" t="inlineStr">
        <is>
          <t>JÄMTLANDS LÄN</t>
        </is>
      </c>
      <c r="E1181" t="inlineStr">
        <is>
          <t>RAGUNDA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2001-2025</t>
        </is>
      </c>
      <c r="B1182" s="1" t="n">
        <v>45672.44898148148</v>
      </c>
      <c r="C1182" s="1" t="n">
        <v>46041</v>
      </c>
      <c r="D1182" t="inlineStr">
        <is>
          <t>JÄMTLANDS LÄN</t>
        </is>
      </c>
      <c r="E1182" t="inlineStr">
        <is>
          <t>RAGUNDA</t>
        </is>
      </c>
      <c r="F1182" t="inlineStr">
        <is>
          <t>SCA</t>
        </is>
      </c>
      <c r="G1182" t="n">
        <v>16.2</v>
      </c>
      <c r="H1182" t="n">
        <v>0</v>
      </c>
      <c r="I1182" t="n">
        <v>0</v>
      </c>
      <c r="J1182" t="n">
        <v>0</v>
      </c>
      <c r="K1182" t="n">
        <v>0</v>
      </c>
      <c r="L1182" t="n">
        <v>0</v>
      </c>
      <c r="M1182" t="n">
        <v>0</v>
      </c>
      <c r="N1182" t="n">
        <v>0</v>
      </c>
      <c r="O1182" t="n">
        <v>0</v>
      </c>
      <c r="P1182" t="n">
        <v>0</v>
      </c>
      <c r="Q1182" t="n">
        <v>0</v>
      </c>
      <c r="R1182" s="2" t="inlineStr"/>
    </row>
    <row r="1183" ht="15" customHeight="1">
      <c r="A1183" t="inlineStr">
        <is>
          <t>A 73278-2021</t>
        </is>
      </c>
      <c r="B1183" s="1" t="n">
        <v>44550.92168981482</v>
      </c>
      <c r="C1183" s="1" t="n">
        <v>46041</v>
      </c>
      <c r="D1183" t="inlineStr">
        <is>
          <t>JÄMTLANDS LÄN</t>
        </is>
      </c>
      <c r="E1183" t="inlineStr">
        <is>
          <t>RAGUNDA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51396-2024</t>
        </is>
      </c>
      <c r="B1184" s="1" t="n">
        <v>45604.4190625</v>
      </c>
      <c r="C1184" s="1" t="n">
        <v>46041</v>
      </c>
      <c r="D1184" t="inlineStr">
        <is>
          <t>JÄMTLANDS LÄN</t>
        </is>
      </c>
      <c r="E1184" t="inlineStr">
        <is>
          <t>RAGUNDA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26640-2025</t>
        </is>
      </c>
      <c r="B1185" s="1" t="n">
        <v>45810.36495370371</v>
      </c>
      <c r="C1185" s="1" t="n">
        <v>46041</v>
      </c>
      <c r="D1185" t="inlineStr">
        <is>
          <t>JÄMTLANDS LÄN</t>
        </is>
      </c>
      <c r="E1185" t="inlineStr">
        <is>
          <t>RAGUNDA</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53762-2023</t>
        </is>
      </c>
      <c r="B1186" s="1" t="n">
        <v>45230.96376157407</v>
      </c>
      <c r="C1186" s="1" t="n">
        <v>46041</v>
      </c>
      <c r="D1186" t="inlineStr">
        <is>
          <t>JÄMTLANDS LÄN</t>
        </is>
      </c>
      <c r="E1186" t="inlineStr">
        <is>
          <t>RAGUNDA</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19089-2024</t>
        </is>
      </c>
      <c r="B1187" s="1" t="n">
        <v>45428.00471064815</v>
      </c>
      <c r="C1187" s="1" t="n">
        <v>46041</v>
      </c>
      <c r="D1187" t="inlineStr">
        <is>
          <t>JÄMTLANDS LÄN</t>
        </is>
      </c>
      <c r="E1187" t="inlineStr">
        <is>
          <t>RAGUNDA</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19404-2025</t>
        </is>
      </c>
      <c r="B1188" s="1" t="n">
        <v>45769.67802083334</v>
      </c>
      <c r="C1188" s="1" t="n">
        <v>46041</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c r="U1188">
        <f>HYPERLINK("https://klasma.github.io/Logging_2303/knärot/A 19404-2025 karta knärot.png", "A 19404-2025")</f>
        <v/>
      </c>
      <c r="V1188">
        <f>HYPERLINK("https://klasma.github.io/Logging_2303/klagomål/A 19404-2025 FSC-klagomål.docx", "A 19404-2025")</f>
        <v/>
      </c>
      <c r="W1188">
        <f>HYPERLINK("https://klasma.github.io/Logging_2303/klagomålsmail/A 19404-2025 FSC-klagomål mail.docx", "A 19404-2025")</f>
        <v/>
      </c>
      <c r="X1188">
        <f>HYPERLINK("https://klasma.github.io/Logging_2303/tillsyn/A 19404-2025 tillsynsbegäran.docx", "A 19404-2025")</f>
        <v/>
      </c>
      <c r="Y1188">
        <f>HYPERLINK("https://klasma.github.io/Logging_2303/tillsynsmail/A 19404-2025 tillsynsbegäran mail.docx", "A 19404-2025")</f>
        <v/>
      </c>
    </row>
    <row r="1189" ht="15" customHeight="1">
      <c r="A1189" t="inlineStr">
        <is>
          <t>A 27510-2025</t>
        </is>
      </c>
      <c r="B1189" s="1" t="n">
        <v>45813.42790509259</v>
      </c>
      <c r="C1189" s="1" t="n">
        <v>46041</v>
      </c>
      <c r="D1189" t="inlineStr">
        <is>
          <t>JÄMTLANDS LÄN</t>
        </is>
      </c>
      <c r="E1189" t="inlineStr">
        <is>
          <t>RAGUNDA</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18989-2025</t>
        </is>
      </c>
      <c r="B1190" s="1" t="n">
        <v>45764</v>
      </c>
      <c r="C1190" s="1" t="n">
        <v>46041</v>
      </c>
      <c r="D1190" t="inlineStr">
        <is>
          <t>JÄMTLANDS LÄN</t>
        </is>
      </c>
      <c r="E1190" t="inlineStr">
        <is>
          <t>RAGUNDA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28637-2025</t>
        </is>
      </c>
      <c r="B1191" s="1" t="n">
        <v>45819.6359375</v>
      </c>
      <c r="C1191" s="1" t="n">
        <v>46041</v>
      </c>
      <c r="D1191" t="inlineStr">
        <is>
          <t>JÄMTLANDS LÄN</t>
        </is>
      </c>
      <c r="E1191" t="inlineStr">
        <is>
          <t>RAGUNDA</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28973-2025</t>
        </is>
      </c>
      <c r="B1192" s="1" t="n">
        <v>45821.34513888889</v>
      </c>
      <c r="C1192" s="1" t="n">
        <v>46041</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29723-2025</t>
        </is>
      </c>
      <c r="B1193" s="1" t="n">
        <v>45825.57675925926</v>
      </c>
      <c r="C1193" s="1" t="n">
        <v>46041</v>
      </c>
      <c r="D1193" t="inlineStr">
        <is>
          <t>JÄMTLANDS LÄN</t>
        </is>
      </c>
      <c r="E1193" t="inlineStr">
        <is>
          <t>RAGUNDA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29731-2025</t>
        </is>
      </c>
      <c r="B1194" s="1" t="n">
        <v>45825.58252314815</v>
      </c>
      <c r="C1194" s="1" t="n">
        <v>46041</v>
      </c>
      <c r="D1194" t="inlineStr">
        <is>
          <t>JÄMTLANDS LÄN</t>
        </is>
      </c>
      <c r="E1194" t="inlineStr">
        <is>
          <t>RAGUNDA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30088-2025</t>
        </is>
      </c>
      <c r="B1195" s="1" t="n">
        <v>45826.65759259259</v>
      </c>
      <c r="C1195" s="1" t="n">
        <v>46041</v>
      </c>
      <c r="D1195" t="inlineStr">
        <is>
          <t>JÄMTLANDS LÄN</t>
        </is>
      </c>
      <c r="E1195" t="inlineStr">
        <is>
          <t>RAGUNDA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31463-2024</t>
        </is>
      </c>
      <c r="B1196" s="1" t="n">
        <v>45505</v>
      </c>
      <c r="C1196" s="1" t="n">
        <v>46041</v>
      </c>
      <c r="D1196" t="inlineStr">
        <is>
          <t>JÄMTLANDS LÄN</t>
        </is>
      </c>
      <c r="E1196" t="inlineStr">
        <is>
          <t>RAGUNDA</t>
        </is>
      </c>
      <c r="F1196" t="inlineStr">
        <is>
          <t>SCA</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30348-2025</t>
        </is>
      </c>
      <c r="B1197" s="1" t="n">
        <v>45827.53178240741</v>
      </c>
      <c r="C1197" s="1" t="n">
        <v>46041</v>
      </c>
      <c r="D1197" t="inlineStr">
        <is>
          <t>JÄMTLANDS LÄN</t>
        </is>
      </c>
      <c r="E1197" t="inlineStr">
        <is>
          <t>RAGUNDA</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30434-2025</t>
        </is>
      </c>
      <c r="B1198" s="1" t="n">
        <v>45827.63582175926</v>
      </c>
      <c r="C1198" s="1" t="n">
        <v>46041</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30883-2025</t>
        </is>
      </c>
      <c r="B1199" s="1" t="n">
        <v>45832.34552083333</v>
      </c>
      <c r="C1199" s="1" t="n">
        <v>46041</v>
      </c>
      <c r="D1199" t="inlineStr">
        <is>
          <t>JÄMTLANDS LÄN</t>
        </is>
      </c>
      <c r="E1199" t="inlineStr">
        <is>
          <t>RAGUNDA</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30880-2025</t>
        </is>
      </c>
      <c r="B1200" s="1" t="n">
        <v>45832.34524305556</v>
      </c>
      <c r="C1200" s="1" t="n">
        <v>46041</v>
      </c>
      <c r="D1200" t="inlineStr">
        <is>
          <t>JÄMTLANDS LÄN</t>
        </is>
      </c>
      <c r="E1200" t="inlineStr">
        <is>
          <t>RAGUNDA</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30887-2025</t>
        </is>
      </c>
      <c r="B1201" s="1" t="n">
        <v>45832.3459375</v>
      </c>
      <c r="C1201" s="1" t="n">
        <v>46041</v>
      </c>
      <c r="D1201" t="inlineStr">
        <is>
          <t>JÄMTLANDS LÄN</t>
        </is>
      </c>
      <c r="E1201" t="inlineStr">
        <is>
          <t>RAGUNDA</t>
        </is>
      </c>
      <c r="F1201" t="inlineStr">
        <is>
          <t>SCA</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31882-2025</t>
        </is>
      </c>
      <c r="B1202" s="1" t="n">
        <v>45834.65662037037</v>
      </c>
      <c r="C1202" s="1" t="n">
        <v>46041</v>
      </c>
      <c r="D1202" t="inlineStr">
        <is>
          <t>JÄMTLANDS LÄN</t>
        </is>
      </c>
      <c r="E1202" t="inlineStr">
        <is>
          <t>RAGUNDA</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32762-2025</t>
        </is>
      </c>
      <c r="B1203" s="1" t="n">
        <v>45838</v>
      </c>
      <c r="C1203" s="1" t="n">
        <v>46041</v>
      </c>
      <c r="D1203" t="inlineStr">
        <is>
          <t>JÄMTLANDS LÄN</t>
        </is>
      </c>
      <c r="E1203" t="inlineStr">
        <is>
          <t>RAGUNDA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32306-2025</t>
        </is>
      </c>
      <c r="B1204" s="1" t="n">
        <v>45835.72046296296</v>
      </c>
      <c r="C1204" s="1" t="n">
        <v>46041</v>
      </c>
      <c r="D1204" t="inlineStr">
        <is>
          <t>JÄMTLANDS LÄN</t>
        </is>
      </c>
      <c r="E1204" t="inlineStr">
        <is>
          <t>RAGUNDA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32757-2025</t>
        </is>
      </c>
      <c r="B1205" s="1" t="n">
        <v>45838</v>
      </c>
      <c r="C1205" s="1" t="n">
        <v>46041</v>
      </c>
      <c r="D1205" t="inlineStr">
        <is>
          <t>JÄMTLANDS LÄN</t>
        </is>
      </c>
      <c r="E1205" t="inlineStr">
        <is>
          <t>RAGUNDA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32660-2025</t>
        </is>
      </c>
      <c r="B1206" s="1" t="n">
        <v>45838.67887731481</v>
      </c>
      <c r="C1206" s="1" t="n">
        <v>46041</v>
      </c>
      <c r="D1206" t="inlineStr">
        <is>
          <t>JÄMTLANDS LÄN</t>
        </is>
      </c>
      <c r="E1206" t="inlineStr">
        <is>
          <t>RAGUNDA</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32527-2025</t>
        </is>
      </c>
      <c r="B1207" s="1" t="n">
        <v>45838.48996527777</v>
      </c>
      <c r="C1207" s="1" t="n">
        <v>46041</v>
      </c>
      <c r="D1207" t="inlineStr">
        <is>
          <t>JÄMTLANDS LÄN</t>
        </is>
      </c>
      <c r="E1207" t="inlineStr">
        <is>
          <t>RAGUNDA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32021-2025</t>
        </is>
      </c>
      <c r="B1208" s="1" t="n">
        <v>45835.40668981482</v>
      </c>
      <c r="C1208" s="1" t="n">
        <v>46041</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32655-2025</t>
        </is>
      </c>
      <c r="B1209" s="1" t="n">
        <v>45838.67800925926</v>
      </c>
      <c r="C1209" s="1" t="n">
        <v>46041</v>
      </c>
      <c r="D1209" t="inlineStr">
        <is>
          <t>JÄMTLANDS LÄN</t>
        </is>
      </c>
      <c r="E1209" t="inlineStr">
        <is>
          <t>RAGUNDA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32151-2025</t>
        </is>
      </c>
      <c r="B1210" s="1" t="n">
        <v>45835.53166666667</v>
      </c>
      <c r="C1210" s="1" t="n">
        <v>46041</v>
      </c>
      <c r="D1210" t="inlineStr">
        <is>
          <t>JÄMTLANDS LÄN</t>
        </is>
      </c>
      <c r="E1210" t="inlineStr">
        <is>
          <t>RAGUNDA</t>
        </is>
      </c>
      <c r="F1210" t="inlineStr">
        <is>
          <t>SCA</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32096-2025</t>
        </is>
      </c>
      <c r="B1211" s="1" t="n">
        <v>45835.46334490741</v>
      </c>
      <c r="C1211" s="1" t="n">
        <v>46041</v>
      </c>
      <c r="D1211" t="inlineStr">
        <is>
          <t>JÄMTLANDS LÄN</t>
        </is>
      </c>
      <c r="E1211" t="inlineStr">
        <is>
          <t>RAGUNDA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32748-2025</t>
        </is>
      </c>
      <c r="B1212" s="1" t="n">
        <v>45839.42822916667</v>
      </c>
      <c r="C1212" s="1" t="n">
        <v>46041</v>
      </c>
      <c r="D1212" t="inlineStr">
        <is>
          <t>JÄMTLANDS LÄN</t>
        </is>
      </c>
      <c r="E1212" t="inlineStr">
        <is>
          <t>RAGUNDA</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32777-2025</t>
        </is>
      </c>
      <c r="B1213" s="1" t="n">
        <v>45839.46915509259</v>
      </c>
      <c r="C1213" s="1" t="n">
        <v>46041</v>
      </c>
      <c r="D1213" t="inlineStr">
        <is>
          <t>JÄMTLANDS LÄN</t>
        </is>
      </c>
      <c r="E1213" t="inlineStr">
        <is>
          <t>RAGUNDA</t>
        </is>
      </c>
      <c r="F1213" t="inlineStr">
        <is>
          <t>SCA</t>
        </is>
      </c>
      <c r="G1213" t="n">
        <v>21.7</v>
      </c>
      <c r="H1213" t="n">
        <v>0</v>
      </c>
      <c r="I1213" t="n">
        <v>0</v>
      </c>
      <c r="J1213" t="n">
        <v>0</v>
      </c>
      <c r="K1213" t="n">
        <v>0</v>
      </c>
      <c r="L1213" t="n">
        <v>0</v>
      </c>
      <c r="M1213" t="n">
        <v>0</v>
      </c>
      <c r="N1213" t="n">
        <v>0</v>
      </c>
      <c r="O1213" t="n">
        <v>0</v>
      </c>
      <c r="P1213" t="n">
        <v>0</v>
      </c>
      <c r="Q1213" t="n">
        <v>0</v>
      </c>
      <c r="R1213" s="2" t="inlineStr"/>
    </row>
    <row r="1214" ht="15" customHeight="1">
      <c r="A1214" t="inlineStr">
        <is>
          <t>A 32430-2025</t>
        </is>
      </c>
      <c r="B1214" s="1" t="n">
        <v>45838.36532407408</v>
      </c>
      <c r="C1214" s="1" t="n">
        <v>46041</v>
      </c>
      <c r="D1214" t="inlineStr">
        <is>
          <t>JÄMTLANDS LÄN</t>
        </is>
      </c>
      <c r="E1214" t="inlineStr">
        <is>
          <t>RAGUNDA</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32796-2025</t>
        </is>
      </c>
      <c r="B1215" s="1" t="n">
        <v>45839.49082175926</v>
      </c>
      <c r="C1215" s="1" t="n">
        <v>46041</v>
      </c>
      <c r="D1215" t="inlineStr">
        <is>
          <t>JÄMTLANDS LÄN</t>
        </is>
      </c>
      <c r="E1215" t="inlineStr">
        <is>
          <t>RAGUNDA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32747-2025</t>
        </is>
      </c>
      <c r="B1216" s="1" t="n">
        <v>45839.42810185185</v>
      </c>
      <c r="C1216" s="1" t="n">
        <v>46041</v>
      </c>
      <c r="D1216" t="inlineStr">
        <is>
          <t>JÄMTLANDS LÄN</t>
        </is>
      </c>
      <c r="E1216" t="inlineStr">
        <is>
          <t>RAGUNDA</t>
        </is>
      </c>
      <c r="F1216" t="inlineStr">
        <is>
          <t>SCA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32751-2025</t>
        </is>
      </c>
      <c r="B1217" s="1" t="n">
        <v>45839.42864583333</v>
      </c>
      <c r="C1217" s="1" t="n">
        <v>46041</v>
      </c>
      <c r="D1217" t="inlineStr">
        <is>
          <t>JÄMTLANDS LÄN</t>
        </is>
      </c>
      <c r="E1217" t="inlineStr">
        <is>
          <t>RAGUNDA</t>
        </is>
      </c>
      <c r="F1217" t="inlineStr">
        <is>
          <t>SCA</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32846-2025</t>
        </is>
      </c>
      <c r="B1218" s="1" t="n">
        <v>45839.57331018519</v>
      </c>
      <c r="C1218" s="1" t="n">
        <v>46041</v>
      </c>
      <c r="D1218" t="inlineStr">
        <is>
          <t>JÄMTLANDS LÄN</t>
        </is>
      </c>
      <c r="E1218" t="inlineStr">
        <is>
          <t>RAGUNDA</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33140-2025</t>
        </is>
      </c>
      <c r="B1219" s="1" t="n">
        <v>45840.52225694444</v>
      </c>
      <c r="C1219" s="1" t="n">
        <v>46041</v>
      </c>
      <c r="D1219" t="inlineStr">
        <is>
          <t>JÄMTLANDS LÄN</t>
        </is>
      </c>
      <c r="E1219" t="inlineStr">
        <is>
          <t>RAGUNDA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33556-2025</t>
        </is>
      </c>
      <c r="B1220" s="1" t="n">
        <v>45841.57427083333</v>
      </c>
      <c r="C1220" s="1" t="n">
        <v>46041</v>
      </c>
      <c r="D1220" t="inlineStr">
        <is>
          <t>JÄMTLANDS LÄN</t>
        </is>
      </c>
      <c r="E1220" t="inlineStr">
        <is>
          <t>RAGUNDA</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33790-2025</t>
        </is>
      </c>
      <c r="B1221" s="1" t="n">
        <v>45842.42608796297</v>
      </c>
      <c r="C1221" s="1" t="n">
        <v>46041</v>
      </c>
      <c r="D1221" t="inlineStr">
        <is>
          <t>JÄMTLANDS LÄN</t>
        </is>
      </c>
      <c r="E1221" t="inlineStr">
        <is>
          <t>RAGUNDA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34296-2025</t>
        </is>
      </c>
      <c r="B1222" s="1" t="n">
        <v>45846.34454861111</v>
      </c>
      <c r="C1222" s="1" t="n">
        <v>46041</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34461-2025</t>
        </is>
      </c>
      <c r="B1223" s="1" t="n">
        <v>45847.34474537037</v>
      </c>
      <c r="C1223" s="1" t="n">
        <v>46041</v>
      </c>
      <c r="D1223" t="inlineStr">
        <is>
          <t>JÄMTLANDS LÄN</t>
        </is>
      </c>
      <c r="E1223" t="inlineStr">
        <is>
          <t>RAGUNDA</t>
        </is>
      </c>
      <c r="F1223" t="inlineStr">
        <is>
          <t>SCA</t>
        </is>
      </c>
      <c r="G1223" t="n">
        <v>44.8</v>
      </c>
      <c r="H1223" t="n">
        <v>0</v>
      </c>
      <c r="I1223" t="n">
        <v>0</v>
      </c>
      <c r="J1223" t="n">
        <v>0</v>
      </c>
      <c r="K1223" t="n">
        <v>0</v>
      </c>
      <c r="L1223" t="n">
        <v>0</v>
      </c>
      <c r="M1223" t="n">
        <v>0</v>
      </c>
      <c r="N1223" t="n">
        <v>0</v>
      </c>
      <c r="O1223" t="n">
        <v>0</v>
      </c>
      <c r="P1223" t="n">
        <v>0</v>
      </c>
      <c r="Q1223" t="n">
        <v>0</v>
      </c>
      <c r="R1223" s="2" t="inlineStr"/>
    </row>
    <row r="1224" ht="15" customHeight="1">
      <c r="A1224" t="inlineStr">
        <is>
          <t>A 34464-2025</t>
        </is>
      </c>
      <c r="B1224" s="1" t="n">
        <v>45847.34528935186</v>
      </c>
      <c r="C1224" s="1" t="n">
        <v>46041</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34468-2025</t>
        </is>
      </c>
      <c r="B1225" s="1" t="n">
        <v>45847.34597222223</v>
      </c>
      <c r="C1225" s="1" t="n">
        <v>46041</v>
      </c>
      <c r="D1225" t="inlineStr">
        <is>
          <t>JÄMTLANDS LÄN</t>
        </is>
      </c>
      <c r="E1225" t="inlineStr">
        <is>
          <t>RAGUNDA</t>
        </is>
      </c>
      <c r="F1225" t="inlineStr">
        <is>
          <t>SCA</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34586-2025</t>
        </is>
      </c>
      <c r="B1226" s="1" t="n">
        <v>45847.61513888889</v>
      </c>
      <c r="C1226" s="1" t="n">
        <v>46041</v>
      </c>
      <c r="D1226" t="inlineStr">
        <is>
          <t>JÄMTLANDS LÄN</t>
        </is>
      </c>
      <c r="E1226" t="inlineStr">
        <is>
          <t>RAGUNDA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34607-2025</t>
        </is>
      </c>
      <c r="B1227" s="1" t="n">
        <v>45847.65703703704</v>
      </c>
      <c r="C1227" s="1" t="n">
        <v>46041</v>
      </c>
      <c r="D1227" t="inlineStr">
        <is>
          <t>JÄMTLANDS LÄN</t>
        </is>
      </c>
      <c r="E1227" t="inlineStr">
        <is>
          <t>RAGUNDA</t>
        </is>
      </c>
      <c r="F1227" t="inlineStr">
        <is>
          <t>SCA</t>
        </is>
      </c>
      <c r="G1227" t="n">
        <v>31.4</v>
      </c>
      <c r="H1227" t="n">
        <v>0</v>
      </c>
      <c r="I1227" t="n">
        <v>0</v>
      </c>
      <c r="J1227" t="n">
        <v>0</v>
      </c>
      <c r="K1227" t="n">
        <v>0</v>
      </c>
      <c r="L1227" t="n">
        <v>0</v>
      </c>
      <c r="M1227" t="n">
        <v>0</v>
      </c>
      <c r="N1227" t="n">
        <v>0</v>
      </c>
      <c r="O1227" t="n">
        <v>0</v>
      </c>
      <c r="P1227" t="n">
        <v>0</v>
      </c>
      <c r="Q1227" t="n">
        <v>0</v>
      </c>
      <c r="R1227" s="2" t="inlineStr"/>
    </row>
    <row r="1228" ht="15" customHeight="1">
      <c r="A1228" t="inlineStr">
        <is>
          <t>A 34772-2025</t>
        </is>
      </c>
      <c r="B1228" s="1" t="n">
        <v>45848.65658564815</v>
      </c>
      <c r="C1228" s="1" t="n">
        <v>46041</v>
      </c>
      <c r="D1228" t="inlineStr">
        <is>
          <t>JÄMTLANDS LÄN</t>
        </is>
      </c>
      <c r="E1228" t="inlineStr">
        <is>
          <t>RAGUNDA</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34466-2025</t>
        </is>
      </c>
      <c r="B1229" s="1" t="n">
        <v>45847.34565972222</v>
      </c>
      <c r="C1229" s="1" t="n">
        <v>46041</v>
      </c>
      <c r="D1229" t="inlineStr">
        <is>
          <t>JÄMTLANDS LÄN</t>
        </is>
      </c>
      <c r="E1229" t="inlineStr">
        <is>
          <t>RAGUNDA</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34588-2025</t>
        </is>
      </c>
      <c r="B1230" s="1" t="n">
        <v>45847.61548611111</v>
      </c>
      <c r="C1230" s="1" t="n">
        <v>46041</v>
      </c>
      <c r="D1230" t="inlineStr">
        <is>
          <t>JÄMTLANDS LÄN</t>
        </is>
      </c>
      <c r="E1230" t="inlineStr">
        <is>
          <t>RAGUNDA</t>
        </is>
      </c>
      <c r="G1230" t="n">
        <v>32.3</v>
      </c>
      <c r="H1230" t="n">
        <v>0</v>
      </c>
      <c r="I1230" t="n">
        <v>0</v>
      </c>
      <c r="J1230" t="n">
        <v>0</v>
      </c>
      <c r="K1230" t="n">
        <v>0</v>
      </c>
      <c r="L1230" t="n">
        <v>0</v>
      </c>
      <c r="M1230" t="n">
        <v>0</v>
      </c>
      <c r="N1230" t="n">
        <v>0</v>
      </c>
      <c r="O1230" t="n">
        <v>0</v>
      </c>
      <c r="P1230" t="n">
        <v>0</v>
      </c>
      <c r="Q1230" t="n">
        <v>0</v>
      </c>
      <c r="R1230" s="2" t="inlineStr"/>
    </row>
    <row r="1231" ht="15" customHeight="1">
      <c r="A1231" t="inlineStr">
        <is>
          <t>A 34463-2025</t>
        </is>
      </c>
      <c r="B1231" s="1" t="n">
        <v>45847.34515046296</v>
      </c>
      <c r="C1231" s="1" t="n">
        <v>46041</v>
      </c>
      <c r="D1231" t="inlineStr">
        <is>
          <t>JÄMTLANDS LÄN</t>
        </is>
      </c>
      <c r="E1231" t="inlineStr">
        <is>
          <t>RAGUNDA</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34710-2025</t>
        </is>
      </c>
      <c r="B1232" s="1" t="n">
        <v>45848.49774305556</v>
      </c>
      <c r="C1232" s="1" t="n">
        <v>46041</v>
      </c>
      <c r="D1232" t="inlineStr">
        <is>
          <t>JÄMTLANDS LÄN</t>
        </is>
      </c>
      <c r="E1232" t="inlineStr">
        <is>
          <t>RAGUNDA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34709-2025</t>
        </is>
      </c>
      <c r="B1233" s="1" t="n">
        <v>45848.49761574074</v>
      </c>
      <c r="C1233" s="1" t="n">
        <v>46041</v>
      </c>
      <c r="D1233" t="inlineStr">
        <is>
          <t>JÄMTLANDS LÄN</t>
        </is>
      </c>
      <c r="E1233" t="inlineStr">
        <is>
          <t>RAGUNDA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35092-2025</t>
        </is>
      </c>
      <c r="B1234" s="1" t="n">
        <v>45852.53185185185</v>
      </c>
      <c r="C1234" s="1" t="n">
        <v>46041</v>
      </c>
      <c r="D1234" t="inlineStr">
        <is>
          <t>JÄMTLANDS LÄN</t>
        </is>
      </c>
      <c r="E1234" t="inlineStr">
        <is>
          <t>RAGUNDA</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34998-2025</t>
        </is>
      </c>
      <c r="B1235" s="1" t="n">
        <v>45850.34434027778</v>
      </c>
      <c r="C1235" s="1" t="n">
        <v>46041</v>
      </c>
      <c r="D1235" t="inlineStr">
        <is>
          <t>JÄMTLANDS LÄN</t>
        </is>
      </c>
      <c r="E1235" t="inlineStr">
        <is>
          <t>RAGUNDA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34968-2025</t>
        </is>
      </c>
      <c r="B1236" s="1" t="n">
        <v>45849.65663194445</v>
      </c>
      <c r="C1236" s="1" t="n">
        <v>46041</v>
      </c>
      <c r="D1236" t="inlineStr">
        <is>
          <t>JÄMTLANDS LÄN</t>
        </is>
      </c>
      <c r="E1236" t="inlineStr">
        <is>
          <t>RAGUNDA</t>
        </is>
      </c>
      <c r="F1236" t="inlineStr">
        <is>
          <t>SCA</t>
        </is>
      </c>
      <c r="G1236" t="n">
        <v>20.2</v>
      </c>
      <c r="H1236" t="n">
        <v>0</v>
      </c>
      <c r="I1236" t="n">
        <v>0</v>
      </c>
      <c r="J1236" t="n">
        <v>0</v>
      </c>
      <c r="K1236" t="n">
        <v>0</v>
      </c>
      <c r="L1236" t="n">
        <v>0</v>
      </c>
      <c r="M1236" t="n">
        <v>0</v>
      </c>
      <c r="N1236" t="n">
        <v>0</v>
      </c>
      <c r="O1236" t="n">
        <v>0</v>
      </c>
      <c r="P1236" t="n">
        <v>0</v>
      </c>
      <c r="Q1236" t="n">
        <v>0</v>
      </c>
      <c r="R1236" s="2" t="inlineStr"/>
    </row>
    <row r="1237" ht="15" customHeight="1">
      <c r="A1237" t="inlineStr">
        <is>
          <t>A 34999-2025</t>
        </is>
      </c>
      <c r="B1237" s="1" t="n">
        <v>45850.34450231482</v>
      </c>
      <c r="C1237" s="1" t="n">
        <v>46041</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35091-2025</t>
        </is>
      </c>
      <c r="B1238" s="1" t="n">
        <v>45852.53168981482</v>
      </c>
      <c r="C1238" s="1" t="n">
        <v>46041</v>
      </c>
      <c r="D1238" t="inlineStr">
        <is>
          <t>JÄMTLANDS LÄN</t>
        </is>
      </c>
      <c r="E1238" t="inlineStr">
        <is>
          <t>RAGUNDA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35355-2025</t>
        </is>
      </c>
      <c r="B1239" s="1" t="n">
        <v>45854.65663194445</v>
      </c>
      <c r="C1239" s="1" t="n">
        <v>46041</v>
      </c>
      <c r="D1239" t="inlineStr">
        <is>
          <t>JÄMTLANDS LÄN</t>
        </is>
      </c>
      <c r="E1239" t="inlineStr">
        <is>
          <t>RAGUNDA</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35477-2025</t>
        </is>
      </c>
      <c r="B1240" s="1" t="n">
        <v>45855.67899305555</v>
      </c>
      <c r="C1240" s="1" t="n">
        <v>46041</v>
      </c>
      <c r="D1240" t="inlineStr">
        <is>
          <t>JÄMTLANDS LÄN</t>
        </is>
      </c>
      <c r="E1240" t="inlineStr">
        <is>
          <t>RAGUNDA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35541-2025</t>
        </is>
      </c>
      <c r="B1241" s="1" t="n">
        <v>45856.46931712963</v>
      </c>
      <c r="C1241" s="1" t="n">
        <v>46041</v>
      </c>
      <c r="D1241" t="inlineStr">
        <is>
          <t>JÄMTLANDS LÄN</t>
        </is>
      </c>
      <c r="E1241" t="inlineStr">
        <is>
          <t>RAGUNDA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35462-2025</t>
        </is>
      </c>
      <c r="B1242" s="1" t="n">
        <v>45855.61523148148</v>
      </c>
      <c r="C1242" s="1" t="n">
        <v>46041</v>
      </c>
      <c r="D1242" t="inlineStr">
        <is>
          <t>JÄMTLANDS LÄN</t>
        </is>
      </c>
      <c r="E1242" t="inlineStr">
        <is>
          <t>RAGUNDA</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35689-2025</t>
        </is>
      </c>
      <c r="B1243" s="1" t="n">
        <v>45860.30229166667</v>
      </c>
      <c r="C1243" s="1" t="n">
        <v>46041</v>
      </c>
      <c r="D1243" t="inlineStr">
        <is>
          <t>JÄMTLANDS LÄN</t>
        </is>
      </c>
      <c r="E1243" t="inlineStr">
        <is>
          <t>RAGUNDA</t>
        </is>
      </c>
      <c r="G1243" t="n">
        <v>1.9</v>
      </c>
      <c r="H1243" t="n">
        <v>0</v>
      </c>
      <c r="I1243" t="n">
        <v>0</v>
      </c>
      <c r="J1243" t="n">
        <v>0</v>
      </c>
      <c r="K1243" t="n">
        <v>0</v>
      </c>
      <c r="L1243" t="n">
        <v>0</v>
      </c>
      <c r="M1243" t="n">
        <v>0</v>
      </c>
      <c r="N1243" t="n">
        <v>0</v>
      </c>
      <c r="O1243" t="n">
        <v>0</v>
      </c>
      <c r="P1243" t="n">
        <v>0</v>
      </c>
      <c r="Q1243" t="n">
        <v>0</v>
      </c>
      <c r="R1243" s="2" t="inlineStr"/>
    </row>
    <row r="1244">
      <c r="A1244" t="inlineStr">
        <is>
          <t>A 35658-2025</t>
        </is>
      </c>
      <c r="B1244" s="1" t="n">
        <v>45859.594375</v>
      </c>
      <c r="C1244" s="1" t="n">
        <v>46041</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2026-01-19T10:55:57Z</dcterms:created>
  <dcterms:modified xmlns:dcterms="http://purl.org/dc/terms/" xmlns:xsi="http://www.w3.org/2001/XMLSchema-instance" xsi:type="dcterms:W3CDTF">2026-01-19T10:55:59Z</dcterms:modified>
</cp:coreProperties>
</file>