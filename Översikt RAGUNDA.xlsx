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11987-2024</t>
        </is>
      </c>
      <c r="B2" s="1" t="n">
        <v>45376</v>
      </c>
      <c r="C2" s="1" t="n">
        <v>45930</v>
      </c>
      <c r="D2" t="inlineStr">
        <is>
          <t>JÄMTLANDS LÄN</t>
        </is>
      </c>
      <c r="E2" t="inlineStr">
        <is>
          <t>RAGUNDA</t>
        </is>
      </c>
      <c r="F2" t="inlineStr">
        <is>
          <t>SCA</t>
        </is>
      </c>
      <c r="G2" t="n">
        <v>43</v>
      </c>
      <c r="H2" t="n">
        <v>10</v>
      </c>
      <c r="I2" t="n">
        <v>5</v>
      </c>
      <c r="J2" t="n">
        <v>14</v>
      </c>
      <c r="K2" t="n">
        <v>1</v>
      </c>
      <c r="L2" t="n">
        <v>0</v>
      </c>
      <c r="M2" t="n">
        <v>0</v>
      </c>
      <c r="N2" t="n">
        <v>0</v>
      </c>
      <c r="O2" t="n">
        <v>15</v>
      </c>
      <c r="P2" t="n">
        <v>1</v>
      </c>
      <c r="Q2" t="n">
        <v>25</v>
      </c>
      <c r="R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2">
        <f>HYPERLINK("https://klasma.github.io/Logging_2303/artfynd/A 11987-2024 artfynd.xlsx", "A 11987-2024")</f>
        <v/>
      </c>
      <c r="T2">
        <f>HYPERLINK("https://klasma.github.io/Logging_2303/kartor/A 11987-2024 karta.png", "A 11987-2024")</f>
        <v/>
      </c>
      <c r="U2">
        <f>HYPERLINK("https://klasma.github.io/Logging_2303/knärot/A 11987-2024 karta knärot.png", "A 11987-2024")</f>
        <v/>
      </c>
      <c r="V2">
        <f>HYPERLINK("https://klasma.github.io/Logging_2303/klagomål/A 11987-2024 FSC-klagomål.docx", "A 11987-2024")</f>
        <v/>
      </c>
      <c r="W2">
        <f>HYPERLINK("https://klasma.github.io/Logging_2303/klagomålsmail/A 11987-2024 FSC-klagomål mail.docx", "A 11987-2024")</f>
        <v/>
      </c>
      <c r="X2">
        <f>HYPERLINK("https://klasma.github.io/Logging_2303/tillsyn/A 11987-2024 tillsynsbegäran.docx", "A 11987-2024")</f>
        <v/>
      </c>
      <c r="Y2">
        <f>HYPERLINK("https://klasma.github.io/Logging_2303/tillsynsmail/A 11987-2024 tillsynsbegäran mail.docx", "A 11987-2024")</f>
        <v/>
      </c>
      <c r="Z2">
        <f>HYPERLINK("https://klasma.github.io/Logging_2303/fåglar/A 11987-2024 prioriterade fågelarter.docx", "A 11987-2024")</f>
        <v/>
      </c>
    </row>
    <row r="3" ht="15" customHeight="1">
      <c r="A3" t="inlineStr">
        <is>
          <t>A 55431-2024</t>
        </is>
      </c>
      <c r="B3" s="1" t="n">
        <v>45622</v>
      </c>
      <c r="C3" s="1" t="n">
        <v>45930</v>
      </c>
      <c r="D3" t="inlineStr">
        <is>
          <t>JÄMTLANDS LÄN</t>
        </is>
      </c>
      <c r="E3" t="inlineStr">
        <is>
          <t>RAGUNDA</t>
        </is>
      </c>
      <c r="G3" t="n">
        <v>6.8</v>
      </c>
      <c r="H3" t="n">
        <v>6</v>
      </c>
      <c r="I3" t="n">
        <v>6</v>
      </c>
      <c r="J3" t="n">
        <v>16</v>
      </c>
      <c r="K3" t="n">
        <v>1</v>
      </c>
      <c r="L3" t="n">
        <v>0</v>
      </c>
      <c r="M3" t="n">
        <v>0</v>
      </c>
      <c r="N3" t="n">
        <v>0</v>
      </c>
      <c r="O3" t="n">
        <v>17</v>
      </c>
      <c r="P3" t="n">
        <v>1</v>
      </c>
      <c r="Q3" t="n">
        <v>25</v>
      </c>
      <c r="R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
        <f>HYPERLINK("https://klasma.github.io/Logging_2303/artfynd/A 55431-2024 artfynd.xlsx", "A 55431-2024")</f>
        <v/>
      </c>
      <c r="T3">
        <f>HYPERLINK("https://klasma.github.io/Logging_2303/kartor/A 55431-2024 karta.png", "A 55431-2024")</f>
        <v/>
      </c>
      <c r="U3">
        <f>HYPERLINK("https://klasma.github.io/Logging_2303/knärot/A 55431-2024 karta knärot.png", "A 55431-2024")</f>
        <v/>
      </c>
      <c r="V3">
        <f>HYPERLINK("https://klasma.github.io/Logging_2303/klagomål/A 55431-2024 FSC-klagomål.docx", "A 55431-2024")</f>
        <v/>
      </c>
      <c r="W3">
        <f>HYPERLINK("https://klasma.github.io/Logging_2303/klagomålsmail/A 55431-2024 FSC-klagomål mail.docx", "A 55431-2024")</f>
        <v/>
      </c>
      <c r="X3">
        <f>HYPERLINK("https://klasma.github.io/Logging_2303/tillsyn/A 55431-2024 tillsynsbegäran.docx", "A 55431-2024")</f>
        <v/>
      </c>
      <c r="Y3">
        <f>HYPERLINK("https://klasma.github.io/Logging_2303/tillsynsmail/A 55431-2024 tillsynsbegäran mail.docx", "A 55431-2024")</f>
        <v/>
      </c>
      <c r="Z3">
        <f>HYPERLINK("https://klasma.github.io/Logging_2303/fåglar/A 55431-2024 prioriterade fågelarter.docx", "A 55431-2024")</f>
        <v/>
      </c>
    </row>
    <row r="4" ht="15" customHeight="1">
      <c r="A4" t="inlineStr">
        <is>
          <t>A 41411-2024</t>
        </is>
      </c>
      <c r="B4" s="1" t="n">
        <v>45560.34460648148</v>
      </c>
      <c r="C4" s="1" t="n">
        <v>45930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45930</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45930</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45930</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45930</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45930</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45930</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45930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45930</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45930</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45930</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45930</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38683-2022</t>
        </is>
      </c>
      <c r="B20" s="1" t="n">
        <v>44813</v>
      </c>
      <c r="C20" s="1" t="n">
        <v>45930</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45930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10625-2024</t>
        </is>
      </c>
      <c r="B22" s="1" t="n">
        <v>45367.04916666666</v>
      </c>
      <c r="C22" s="1" t="n">
        <v>45930</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22985-2025</t>
        </is>
      </c>
      <c r="B23" s="1" t="n">
        <v>45790.57334490741</v>
      </c>
      <c r="C23" s="1" t="n">
        <v>45930</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45930</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45930</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29209-2024</t>
        </is>
      </c>
      <c r="B26" s="1" t="n">
        <v>45482.63819444444</v>
      </c>
      <c r="C26" s="1" t="n">
        <v>45930</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45930</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21213-2025</t>
        </is>
      </c>
      <c r="B28" s="1" t="n">
        <v>45779.49012731481</v>
      </c>
      <c r="C28" s="1" t="n">
        <v>45930</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45930</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32741-2025</t>
        </is>
      </c>
      <c r="B30" s="1" t="n">
        <v>45839.42482638889</v>
      </c>
      <c r="C30" s="1" t="n">
        <v>45930</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45930</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45930</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25632-2025</t>
        </is>
      </c>
      <c r="B33" s="1" t="n">
        <v>45803.59474537037</v>
      </c>
      <c r="C33" s="1" t="n">
        <v>45930</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31839-2022</t>
        </is>
      </c>
      <c r="B34" s="1" t="n">
        <v>44776</v>
      </c>
      <c r="C34" s="1" t="n">
        <v>45930</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45930</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21244-2025</t>
        </is>
      </c>
      <c r="B36" s="1" t="n">
        <v>45779.57335648148</v>
      </c>
      <c r="C36" s="1" t="n">
        <v>45930</v>
      </c>
      <c r="D36" t="inlineStr">
        <is>
          <t>JÄMTLANDS LÄN</t>
        </is>
      </c>
      <c r="E36" t="inlineStr">
        <is>
          <t>RAGUNDA</t>
        </is>
      </c>
      <c r="F36" t="inlineStr">
        <is>
          <t>SCA</t>
        </is>
      </c>
      <c r="G36" t="n">
        <v>4.1</v>
      </c>
      <c r="H36" t="n">
        <v>3</v>
      </c>
      <c r="I36" t="n">
        <v>3</v>
      </c>
      <c r="J36" t="n">
        <v>6</v>
      </c>
      <c r="K36" t="n">
        <v>1</v>
      </c>
      <c r="L36" t="n">
        <v>0</v>
      </c>
      <c r="M36" t="n">
        <v>0</v>
      </c>
      <c r="N36" t="n">
        <v>0</v>
      </c>
      <c r="O36" t="n">
        <v>7</v>
      </c>
      <c r="P36" t="n">
        <v>1</v>
      </c>
      <c r="Q36" t="n">
        <v>10</v>
      </c>
      <c r="R36" s="2" t="inlineStr">
        <is>
          <t>Ulltickeporing
Garnlav
Lunglav
Spillkråka
Talltita
Tretåig hackspett
Ullticka
Nästlav
Stuplav
Vedticka</t>
        </is>
      </c>
      <c r="S36">
        <f>HYPERLINK("https://klasma.github.io/Logging_2303/artfynd/A 21244-2025 artfynd.xlsx", "A 21244-2025")</f>
        <v/>
      </c>
      <c r="T36">
        <f>HYPERLINK("https://klasma.github.io/Logging_2303/kartor/A 21244-2025 karta.png", "A 21244-2025")</f>
        <v/>
      </c>
      <c r="V36">
        <f>HYPERLINK("https://klasma.github.io/Logging_2303/klagomål/A 21244-2025 FSC-klagomål.docx", "A 21244-2025")</f>
        <v/>
      </c>
      <c r="W36">
        <f>HYPERLINK("https://klasma.github.io/Logging_2303/klagomålsmail/A 21244-2025 FSC-klagomål mail.docx", "A 21244-2025")</f>
        <v/>
      </c>
      <c r="X36">
        <f>HYPERLINK("https://klasma.github.io/Logging_2303/tillsyn/A 21244-2025 tillsynsbegäran.docx", "A 21244-2025")</f>
        <v/>
      </c>
      <c r="Y36">
        <f>HYPERLINK("https://klasma.github.io/Logging_2303/tillsynsmail/A 21244-2025 tillsynsbegäran mail.docx", "A 21244-2025")</f>
        <v/>
      </c>
      <c r="Z36">
        <f>HYPERLINK("https://klasma.github.io/Logging_2303/fåglar/A 21244-2025 prioriterade fågelarter.docx", "A 21244-2025")</f>
        <v/>
      </c>
    </row>
    <row r="37" ht="15" customHeight="1">
      <c r="A37" t="inlineStr">
        <is>
          <t>A 13483-2022</t>
        </is>
      </c>
      <c r="B37" s="1" t="n">
        <v>44645.99859953704</v>
      </c>
      <c r="C37" s="1" t="n">
        <v>45930</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41412-2024</t>
        </is>
      </c>
      <c r="B38" s="1" t="n">
        <v>45560.34484953704</v>
      </c>
      <c r="C38" s="1" t="n">
        <v>45930</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45930</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45930</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55894-2022</t>
        </is>
      </c>
      <c r="B41" s="1" t="n">
        <v>44888</v>
      </c>
      <c r="C41" s="1" t="n">
        <v>45930</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12372-2024</t>
        </is>
      </c>
      <c r="B42" s="1" t="n">
        <v>45378</v>
      </c>
      <c r="C42" s="1" t="n">
        <v>45930</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19278-2025</t>
        </is>
      </c>
      <c r="B43" s="1" t="n">
        <v>45769.53180555555</v>
      </c>
      <c r="C43" s="1" t="n">
        <v>45930</v>
      </c>
      <c r="D43" t="inlineStr">
        <is>
          <t>JÄMTLANDS LÄN</t>
        </is>
      </c>
      <c r="E43" t="inlineStr">
        <is>
          <t>RAGUNDA</t>
        </is>
      </c>
      <c r="F43" t="inlineStr">
        <is>
          <t>SCA</t>
        </is>
      </c>
      <c r="G43" t="n">
        <v>11.8</v>
      </c>
      <c r="H43" t="n">
        <v>3</v>
      </c>
      <c r="I43" t="n">
        <v>2</v>
      </c>
      <c r="J43" t="n">
        <v>6</v>
      </c>
      <c r="K43" t="n">
        <v>1</v>
      </c>
      <c r="L43" t="n">
        <v>0</v>
      </c>
      <c r="M43" t="n">
        <v>0</v>
      </c>
      <c r="N43" t="n">
        <v>0</v>
      </c>
      <c r="O43" t="n">
        <v>7</v>
      </c>
      <c r="P43" t="n">
        <v>1</v>
      </c>
      <c r="Q43" t="n">
        <v>9</v>
      </c>
      <c r="R43" s="2" t="inlineStr">
        <is>
          <t>Knärot
Garnlav
Granticka
Lunglav
Talltita
Tretåig hackspett
Ullticka
Norrlandslav
Skinnlav</t>
        </is>
      </c>
      <c r="S43">
        <f>HYPERLINK("https://klasma.github.io/Logging_2303/artfynd/A 19278-2025 artfynd.xlsx", "A 19278-2025")</f>
        <v/>
      </c>
      <c r="T43">
        <f>HYPERLINK("https://klasma.github.io/Logging_2303/kartor/A 19278-2025 karta.png", "A 19278-2025")</f>
        <v/>
      </c>
      <c r="U43">
        <f>HYPERLINK("https://klasma.github.io/Logging_2303/knärot/A 19278-2025 karta knärot.png", "A 19278-2025")</f>
        <v/>
      </c>
      <c r="V43">
        <f>HYPERLINK("https://klasma.github.io/Logging_2303/klagomål/A 19278-2025 FSC-klagomål.docx", "A 19278-2025")</f>
        <v/>
      </c>
      <c r="W43">
        <f>HYPERLINK("https://klasma.github.io/Logging_2303/klagomålsmail/A 19278-2025 FSC-klagomål mail.docx", "A 19278-2025")</f>
        <v/>
      </c>
      <c r="X43">
        <f>HYPERLINK("https://klasma.github.io/Logging_2303/tillsyn/A 19278-2025 tillsynsbegäran.docx", "A 19278-2025")</f>
        <v/>
      </c>
      <c r="Y43">
        <f>HYPERLINK("https://klasma.github.io/Logging_2303/tillsynsmail/A 19278-2025 tillsynsbegäran mail.docx", "A 19278-2025")</f>
        <v/>
      </c>
      <c r="Z43">
        <f>HYPERLINK("https://klasma.github.io/Logging_2303/fåglar/A 19278-2025 prioriterade fågelarter.docx", "A 19278-2025")</f>
        <v/>
      </c>
    </row>
    <row r="44" ht="15" customHeight="1">
      <c r="A44" t="inlineStr">
        <is>
          <t>A 33822-2023</t>
        </is>
      </c>
      <c r="B44" s="1" t="n">
        <v>45121</v>
      </c>
      <c r="C44" s="1" t="n">
        <v>45930</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45930</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45930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4146-2025</t>
        </is>
      </c>
      <c r="B47" s="1" t="n">
        <v>45685.36501157407</v>
      </c>
      <c r="C47" s="1" t="n">
        <v>45930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45930</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45930</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45930</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32068-2024</t>
        </is>
      </c>
      <c r="B51" s="1" t="n">
        <v>45510</v>
      </c>
      <c r="C51" s="1" t="n">
        <v>45930</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41406-2023</t>
        </is>
      </c>
      <c r="B52" s="1" t="n">
        <v>45174</v>
      </c>
      <c r="C52" s="1" t="n">
        <v>45930</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56215-2020</t>
        </is>
      </c>
      <c r="B53" s="1" t="n">
        <v>44133</v>
      </c>
      <c r="C53" s="1" t="n">
        <v>45930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45930</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45930</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45930</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45930</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45930</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45930</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22466-2025</t>
        </is>
      </c>
      <c r="B60" s="1" t="n">
        <v>45786.61517361111</v>
      </c>
      <c r="C60" s="1" t="n">
        <v>45930</v>
      </c>
      <c r="D60" t="inlineStr">
        <is>
          <t>JÄMTLANDS LÄN</t>
        </is>
      </c>
      <c r="E60" t="inlineStr">
        <is>
          <t>RAGUNDA</t>
        </is>
      </c>
      <c r="F60" t="inlineStr">
        <is>
          <t>SCA</t>
        </is>
      </c>
      <c r="G60" t="n">
        <v>3.2</v>
      </c>
      <c r="H60" t="n">
        <v>3</v>
      </c>
      <c r="I60" t="n">
        <v>1</v>
      </c>
      <c r="J60" t="n">
        <v>4</v>
      </c>
      <c r="K60" t="n">
        <v>0</v>
      </c>
      <c r="L60" t="n">
        <v>0</v>
      </c>
      <c r="M60" t="n">
        <v>0</v>
      </c>
      <c r="N60" t="n">
        <v>0</v>
      </c>
      <c r="O60" t="n">
        <v>4</v>
      </c>
      <c r="P60" t="n">
        <v>0</v>
      </c>
      <c r="Q60" t="n">
        <v>7</v>
      </c>
      <c r="R60" s="2" t="inlineStr">
        <is>
          <t>Gammelgransskål
Garnlav
Lunglav
Tretåig hackspett
Stuplav
Kungsfågel
Revlummer</t>
        </is>
      </c>
      <c r="S60">
        <f>HYPERLINK("https://klasma.github.io/Logging_2303/artfynd/A 22466-2025 artfynd.xlsx", "A 22466-2025")</f>
        <v/>
      </c>
      <c r="T60">
        <f>HYPERLINK("https://klasma.github.io/Logging_2303/kartor/A 22466-2025 karta.png", "A 22466-2025")</f>
        <v/>
      </c>
      <c r="V60">
        <f>HYPERLINK("https://klasma.github.io/Logging_2303/klagomål/A 22466-2025 FSC-klagomål.docx", "A 22466-2025")</f>
        <v/>
      </c>
      <c r="W60">
        <f>HYPERLINK("https://klasma.github.io/Logging_2303/klagomålsmail/A 22466-2025 FSC-klagomål mail.docx", "A 22466-2025")</f>
        <v/>
      </c>
      <c r="X60">
        <f>HYPERLINK("https://klasma.github.io/Logging_2303/tillsyn/A 22466-2025 tillsynsbegäran.docx", "A 22466-2025")</f>
        <v/>
      </c>
      <c r="Y60">
        <f>HYPERLINK("https://klasma.github.io/Logging_2303/tillsynsmail/A 22466-2025 tillsynsbegäran mail.docx", "A 22466-2025")</f>
        <v/>
      </c>
      <c r="Z60">
        <f>HYPERLINK("https://klasma.github.io/Logging_2303/fåglar/A 22466-2025 prioriterade fågelarter.docx", "A 22466-2025")</f>
        <v/>
      </c>
    </row>
    <row r="61" ht="15" customHeight="1">
      <c r="A61" t="inlineStr">
        <is>
          <t>A 61386-2022</t>
        </is>
      </c>
      <c r="B61" s="1" t="n">
        <v>44915</v>
      </c>
      <c r="C61" s="1" t="n">
        <v>45930</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45930</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45930</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45930</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45930</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24169-2021</t>
        </is>
      </c>
      <c r="B66" s="1" t="n">
        <v>44336</v>
      </c>
      <c r="C66" s="1" t="n">
        <v>45930</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15977-2024</t>
        </is>
      </c>
      <c r="B67" s="1" t="n">
        <v>45405.57392361111</v>
      </c>
      <c r="C67" s="1" t="n">
        <v>45930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11829-2023</t>
        </is>
      </c>
      <c r="B68" s="1" t="n">
        <v>44994</v>
      </c>
      <c r="C68" s="1" t="n">
        <v>45930</v>
      </c>
      <c r="D68" t="inlineStr">
        <is>
          <t>JÄMTLANDS LÄN</t>
        </is>
      </c>
      <c r="E68" t="inlineStr">
        <is>
          <t>RAGUNDA</t>
        </is>
      </c>
      <c r="F68" t="inlineStr">
        <is>
          <t>SCA</t>
        </is>
      </c>
      <c r="G68" t="n">
        <v>1.8</v>
      </c>
      <c r="H68" t="n">
        <v>0</v>
      </c>
      <c r="I68" t="n">
        <v>1</v>
      </c>
      <c r="J68" t="n">
        <v>6</v>
      </c>
      <c r="K68" t="n">
        <v>0</v>
      </c>
      <c r="L68" t="n">
        <v>0</v>
      </c>
      <c r="M68" t="n">
        <v>0</v>
      </c>
      <c r="N68" t="n">
        <v>0</v>
      </c>
      <c r="O68" t="n">
        <v>6</v>
      </c>
      <c r="P68" t="n">
        <v>0</v>
      </c>
      <c r="Q68" t="n">
        <v>7</v>
      </c>
      <c r="R68" s="2" t="inlineStr">
        <is>
          <t>Garnlav
Kolflarnlav
Lunglav
Ullticka
Vedflamlav
Vedtrappmossa
Vedticka</t>
        </is>
      </c>
      <c r="S68">
        <f>HYPERLINK("https://klasma.github.io/Logging_2303/artfynd/A 11829-2023 artfynd.xlsx", "A 11829-2023")</f>
        <v/>
      </c>
      <c r="T68">
        <f>HYPERLINK("https://klasma.github.io/Logging_2303/kartor/A 11829-2023 karta.png", "A 11829-2023")</f>
        <v/>
      </c>
      <c r="U68">
        <f>HYPERLINK("https://klasma.github.io/Logging_2303/knärot/A 11829-2023 karta knärot.png", "A 11829-2023")</f>
        <v/>
      </c>
      <c r="V68">
        <f>HYPERLINK("https://klasma.github.io/Logging_2303/klagomål/A 11829-2023 FSC-klagomål.docx", "A 11829-2023")</f>
        <v/>
      </c>
      <c r="W68">
        <f>HYPERLINK("https://klasma.github.io/Logging_2303/klagomålsmail/A 11829-2023 FSC-klagomål mail.docx", "A 11829-2023")</f>
        <v/>
      </c>
      <c r="X68">
        <f>HYPERLINK("https://klasma.github.io/Logging_2303/tillsyn/A 11829-2023 tillsynsbegäran.docx", "A 11829-2023")</f>
        <v/>
      </c>
      <c r="Y68">
        <f>HYPERLINK("https://klasma.github.io/Logging_2303/tillsynsmail/A 11829-2023 tillsynsbegäran mail.docx", "A 11829-2023")</f>
        <v/>
      </c>
    </row>
    <row r="69" ht="15" customHeight="1">
      <c r="A69" t="inlineStr">
        <is>
          <t>A 26750-2025</t>
        </is>
      </c>
      <c r="B69" s="1" t="n">
        <v>45810.55061342593</v>
      </c>
      <c r="C69" s="1" t="n">
        <v>45930</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41929-2023</t>
        </is>
      </c>
      <c r="B70" s="1" t="n">
        <v>45176</v>
      </c>
      <c r="C70" s="1" t="n">
        <v>45930</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19399-2025</t>
        </is>
      </c>
      <c r="B71" s="1" t="n">
        <v>45769.67740740741</v>
      </c>
      <c r="C71" s="1" t="n">
        <v>45930</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50987-2020</t>
        </is>
      </c>
      <c r="B72" s="1" t="n">
        <v>44111</v>
      </c>
      <c r="C72" s="1" t="n">
        <v>45930</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45930</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30637-2024</t>
        </is>
      </c>
      <c r="B74" s="1" t="n">
        <v>45495.56244212963</v>
      </c>
      <c r="C74" s="1" t="n">
        <v>45930</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49239-2024</t>
        </is>
      </c>
      <c r="B75" s="1" t="n">
        <v>45595.44886574074</v>
      </c>
      <c r="C75" s="1" t="n">
        <v>45930</v>
      </c>
      <c r="D75" t="inlineStr">
        <is>
          <t>JÄMTLANDS LÄN</t>
        </is>
      </c>
      <c r="E75" t="inlineStr">
        <is>
          <t>RAGUNDA</t>
        </is>
      </c>
      <c r="F75" t="inlineStr">
        <is>
          <t>SCA</t>
        </is>
      </c>
      <c r="G75" t="n">
        <v>2.7</v>
      </c>
      <c r="H75" t="n">
        <v>2</v>
      </c>
      <c r="I75" t="n">
        <v>0</v>
      </c>
      <c r="J75" t="n">
        <v>5</v>
      </c>
      <c r="K75" t="n">
        <v>0</v>
      </c>
      <c r="L75" t="n">
        <v>0</v>
      </c>
      <c r="M75" t="n">
        <v>0</v>
      </c>
      <c r="N75" t="n">
        <v>0</v>
      </c>
      <c r="O75" t="n">
        <v>5</v>
      </c>
      <c r="P75" t="n">
        <v>0</v>
      </c>
      <c r="Q75" t="n">
        <v>6</v>
      </c>
      <c r="R75" s="2" t="inlineStr">
        <is>
          <t>Garnlav
Harticka
Lunglav
Tretåig hackspett
Vitgrynig nållav
Revlummer</t>
        </is>
      </c>
      <c r="S75">
        <f>HYPERLINK("https://klasma.github.io/Logging_2303/artfynd/A 49239-2024 artfynd.xlsx", "A 49239-2024")</f>
        <v/>
      </c>
      <c r="T75">
        <f>HYPERLINK("https://klasma.github.io/Logging_2303/kartor/A 49239-2024 karta.png", "A 49239-2024")</f>
        <v/>
      </c>
      <c r="V75">
        <f>HYPERLINK("https://klasma.github.io/Logging_2303/klagomål/A 49239-2024 FSC-klagomål.docx", "A 49239-2024")</f>
        <v/>
      </c>
      <c r="W75">
        <f>HYPERLINK("https://klasma.github.io/Logging_2303/klagomålsmail/A 49239-2024 FSC-klagomål mail.docx", "A 49239-2024")</f>
        <v/>
      </c>
      <c r="X75">
        <f>HYPERLINK("https://klasma.github.io/Logging_2303/tillsyn/A 49239-2024 tillsynsbegäran.docx", "A 49239-2024")</f>
        <v/>
      </c>
      <c r="Y75">
        <f>HYPERLINK("https://klasma.github.io/Logging_2303/tillsynsmail/A 49239-2024 tillsynsbegäran mail.docx", "A 49239-2024")</f>
        <v/>
      </c>
      <c r="Z75">
        <f>HYPERLINK("https://klasma.github.io/Logging_2303/fåglar/A 49239-2024 prioriterade fågelarter.docx", "A 49239-2024")</f>
        <v/>
      </c>
    </row>
    <row r="76" ht="15" customHeight="1">
      <c r="A76" t="inlineStr">
        <is>
          <t>A 27322-2024</t>
        </is>
      </c>
      <c r="B76" s="1" t="n">
        <v>45471.94783564815</v>
      </c>
      <c r="C76" s="1" t="n">
        <v>45930</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933-2023</t>
        </is>
      </c>
      <c r="B77" s="1" t="n">
        <v>44932</v>
      </c>
      <c r="C77" s="1" t="n">
        <v>45930</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11828-2023</t>
        </is>
      </c>
      <c r="B78" s="1" t="n">
        <v>44994</v>
      </c>
      <c r="C78" s="1" t="n">
        <v>45930</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36276-2025</t>
        </is>
      </c>
      <c r="B79" s="1" t="n">
        <v>45867.63619212963</v>
      </c>
      <c r="C79" s="1" t="n">
        <v>45930</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53021-2022</t>
        </is>
      </c>
      <c r="B80" s="1" t="n">
        <v>44875</v>
      </c>
      <c r="C80" s="1" t="n">
        <v>45930</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26326-2024</t>
        </is>
      </c>
      <c r="B81" s="1" t="n">
        <v>45468.97528935185</v>
      </c>
      <c r="C81" s="1" t="n">
        <v>45930</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34317-2025</t>
        </is>
      </c>
      <c r="B82" s="1" t="n">
        <v>45846.41361111111</v>
      </c>
      <c r="C82" s="1" t="n">
        <v>45930</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24431-2024</t>
        </is>
      </c>
      <c r="B83" s="1" t="n">
        <v>45457</v>
      </c>
      <c r="C83" s="1" t="n">
        <v>45930</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55646-2023</t>
        </is>
      </c>
      <c r="B84" s="1" t="n">
        <v>45238</v>
      </c>
      <c r="C84" s="1" t="n">
        <v>45930</v>
      </c>
      <c r="D84" t="inlineStr">
        <is>
          <t>JÄMTLANDS LÄN</t>
        </is>
      </c>
      <c r="E84" t="inlineStr">
        <is>
          <t>RAGUNDA</t>
        </is>
      </c>
      <c r="F84" t="inlineStr">
        <is>
          <t>SCA</t>
        </is>
      </c>
      <c r="G84" t="n">
        <v>3.9</v>
      </c>
      <c r="H84" t="n">
        <v>0</v>
      </c>
      <c r="I84" t="n">
        <v>1</v>
      </c>
      <c r="J84" t="n">
        <v>5</v>
      </c>
      <c r="K84" t="n">
        <v>0</v>
      </c>
      <c r="L84" t="n">
        <v>0</v>
      </c>
      <c r="M84" t="n">
        <v>0</v>
      </c>
      <c r="N84" t="n">
        <v>0</v>
      </c>
      <c r="O84" t="n">
        <v>5</v>
      </c>
      <c r="P84" t="n">
        <v>0</v>
      </c>
      <c r="Q84" t="n">
        <v>6</v>
      </c>
      <c r="R84" s="2" t="inlineStr">
        <is>
          <t>Gammelgransskål
Garnlav
Lunglav
Skrovellav
Småflikig brosklav
Korallblylav</t>
        </is>
      </c>
      <c r="S84">
        <f>HYPERLINK("https://klasma.github.io/Logging_2303/artfynd/A 55646-2023 artfynd.xlsx", "A 55646-2023")</f>
        <v/>
      </c>
      <c r="T84">
        <f>HYPERLINK("https://klasma.github.io/Logging_2303/kartor/A 55646-2023 karta.png", "A 55646-2023")</f>
        <v/>
      </c>
      <c r="V84">
        <f>HYPERLINK("https://klasma.github.io/Logging_2303/klagomål/A 55646-2023 FSC-klagomål.docx", "A 55646-2023")</f>
        <v/>
      </c>
      <c r="W84">
        <f>HYPERLINK("https://klasma.github.io/Logging_2303/klagomålsmail/A 55646-2023 FSC-klagomål mail.docx", "A 55646-2023")</f>
        <v/>
      </c>
      <c r="X84">
        <f>HYPERLINK("https://klasma.github.io/Logging_2303/tillsyn/A 55646-2023 tillsynsbegäran.docx", "A 55646-2023")</f>
        <v/>
      </c>
      <c r="Y84">
        <f>HYPERLINK("https://klasma.github.io/Logging_2303/tillsynsmail/A 55646-2023 tillsynsbegäran mail.docx", "A 55646-2023")</f>
        <v/>
      </c>
    </row>
    <row r="85" ht="15" customHeight="1">
      <c r="A85" t="inlineStr">
        <is>
          <t>A 30884-2025</t>
        </is>
      </c>
      <c r="B85" s="1" t="n">
        <v>45832.34564814815</v>
      </c>
      <c r="C85" s="1" t="n">
        <v>45930</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19402-2025</t>
        </is>
      </c>
      <c r="B86" s="1" t="n">
        <v>45769.67778935185</v>
      </c>
      <c r="C86" s="1" t="n">
        <v>45930</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39973-2025</t>
        </is>
      </c>
      <c r="B87" s="1" t="n">
        <v>45893.38584490741</v>
      </c>
      <c r="C87" s="1" t="n">
        <v>45930</v>
      </c>
      <c r="D87" t="inlineStr">
        <is>
          <t>JÄMTLANDS LÄN</t>
        </is>
      </c>
      <c r="E87" t="inlineStr">
        <is>
          <t>RAGUNDA</t>
        </is>
      </c>
      <c r="F87" t="inlineStr">
        <is>
          <t>Naturvårdsverket</t>
        </is>
      </c>
      <c r="G87" t="n">
        <v>8</v>
      </c>
      <c r="H87" t="n">
        <v>0</v>
      </c>
      <c r="I87" t="n">
        <v>1</v>
      </c>
      <c r="J87" t="n">
        <v>5</v>
      </c>
      <c r="K87" t="n">
        <v>0</v>
      </c>
      <c r="L87" t="n">
        <v>0</v>
      </c>
      <c r="M87" t="n">
        <v>0</v>
      </c>
      <c r="N87" t="n">
        <v>0</v>
      </c>
      <c r="O87" t="n">
        <v>5</v>
      </c>
      <c r="P87" t="n">
        <v>0</v>
      </c>
      <c r="Q87" t="n">
        <v>6</v>
      </c>
      <c r="R87" s="2" t="inlineStr">
        <is>
          <t>Granticka
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14908-2022</t>
        </is>
      </c>
      <c r="B88" s="1" t="n">
        <v>44656</v>
      </c>
      <c r="C88" s="1" t="n">
        <v>45930</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39974-2025</t>
        </is>
      </c>
      <c r="B89" s="1" t="n">
        <v>45893.38599537037</v>
      </c>
      <c r="C89" s="1" t="n">
        <v>45930</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35344-2025</t>
        </is>
      </c>
      <c r="B90" s="1" t="n">
        <v>45854.61494212963</v>
      </c>
      <c r="C90" s="1" t="n">
        <v>45930</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45930</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18629-2024</t>
        </is>
      </c>
      <c r="B92" s="1" t="n">
        <v>45425.96472222222</v>
      </c>
      <c r="C92" s="1" t="n">
        <v>45930</v>
      </c>
      <c r="D92" t="inlineStr">
        <is>
          <t>JÄMTLANDS LÄN</t>
        </is>
      </c>
      <c r="E92" t="inlineStr">
        <is>
          <t>RAGUNDA</t>
        </is>
      </c>
      <c r="F92" t="inlineStr">
        <is>
          <t>SCA</t>
        </is>
      </c>
      <c r="G92" t="n">
        <v>1.6</v>
      </c>
      <c r="H92" t="n">
        <v>2</v>
      </c>
      <c r="I92" t="n">
        <v>1</v>
      </c>
      <c r="J92" t="n">
        <v>3</v>
      </c>
      <c r="K92" t="n">
        <v>0</v>
      </c>
      <c r="L92" t="n">
        <v>0</v>
      </c>
      <c r="M92" t="n">
        <v>0</v>
      </c>
      <c r="N92" t="n">
        <v>0</v>
      </c>
      <c r="O92" t="n">
        <v>3</v>
      </c>
      <c r="P92" t="n">
        <v>0</v>
      </c>
      <c r="Q92" t="n">
        <v>5</v>
      </c>
      <c r="R92" s="2" t="inlineStr">
        <is>
          <t>Garnlav
Lunglav
Tretåig hackspett
Stuplav
Fläcknycklar</t>
        </is>
      </c>
      <c r="S92">
        <f>HYPERLINK("https://klasma.github.io/Logging_2303/artfynd/A 18629-2024 artfynd.xlsx", "A 18629-2024")</f>
        <v/>
      </c>
      <c r="T92">
        <f>HYPERLINK("https://klasma.github.io/Logging_2303/kartor/A 18629-2024 karta.png", "A 18629-2024")</f>
        <v/>
      </c>
      <c r="V92">
        <f>HYPERLINK("https://klasma.github.io/Logging_2303/klagomål/A 18629-2024 FSC-klagomål.docx", "A 18629-2024")</f>
        <v/>
      </c>
      <c r="W92">
        <f>HYPERLINK("https://klasma.github.io/Logging_2303/klagomålsmail/A 18629-2024 FSC-klagomål mail.docx", "A 18629-2024")</f>
        <v/>
      </c>
      <c r="X92">
        <f>HYPERLINK("https://klasma.github.io/Logging_2303/tillsyn/A 18629-2024 tillsynsbegäran.docx", "A 18629-2024")</f>
        <v/>
      </c>
      <c r="Y92">
        <f>HYPERLINK("https://klasma.github.io/Logging_2303/tillsynsmail/A 18629-2024 tillsynsbegäran mail.docx", "A 18629-2024")</f>
        <v/>
      </c>
      <c r="Z92">
        <f>HYPERLINK("https://klasma.github.io/Logging_2303/fåglar/A 18629-2024 prioriterade fågelarter.docx", "A 18629-2024")</f>
        <v/>
      </c>
    </row>
    <row r="93" ht="15" customHeight="1">
      <c r="A93" t="inlineStr">
        <is>
          <t>A 43106-2023</t>
        </is>
      </c>
      <c r="B93" s="1" t="n">
        <v>45182</v>
      </c>
      <c r="C93" s="1" t="n">
        <v>45930</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27313-2024</t>
        </is>
      </c>
      <c r="B94" s="1" t="n">
        <v>45471.94623842592</v>
      </c>
      <c r="C94" s="1" t="n">
        <v>45930</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39365-2024</t>
        </is>
      </c>
      <c r="B95" s="1" t="n">
        <v>45551.46912037037</v>
      </c>
      <c r="C95" s="1" t="n">
        <v>45930</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38169-2024</t>
        </is>
      </c>
      <c r="B96" s="1" t="n">
        <v>45545.45748842593</v>
      </c>
      <c r="C96" s="1" t="n">
        <v>45930</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15244-2025</t>
        </is>
      </c>
      <c r="B97" s="1" t="n">
        <v>45744.61550925926</v>
      </c>
      <c r="C97" s="1" t="n">
        <v>45930</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60683-2022</t>
        </is>
      </c>
      <c r="B98" s="1" t="n">
        <v>44911</v>
      </c>
      <c r="C98" s="1" t="n">
        <v>45930</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15379-2024</t>
        </is>
      </c>
      <c r="B99" s="1" t="n">
        <v>45400.94002314815</v>
      </c>
      <c r="C99" s="1" t="n">
        <v>45930</v>
      </c>
      <c r="D99" t="inlineStr">
        <is>
          <t>JÄMTLANDS LÄN</t>
        </is>
      </c>
      <c r="E99" t="inlineStr">
        <is>
          <t>RAGUNDA</t>
        </is>
      </c>
      <c r="F99" t="inlineStr">
        <is>
          <t>SCA</t>
        </is>
      </c>
      <c r="G99" t="n">
        <v>4.2</v>
      </c>
      <c r="H99" t="n">
        <v>3</v>
      </c>
      <c r="I99" t="n">
        <v>3</v>
      </c>
      <c r="J99" t="n">
        <v>0</v>
      </c>
      <c r="K99" t="n">
        <v>1</v>
      </c>
      <c r="L99" t="n">
        <v>0</v>
      </c>
      <c r="M99" t="n">
        <v>0</v>
      </c>
      <c r="N99" t="n">
        <v>0</v>
      </c>
      <c r="O99" t="n">
        <v>1</v>
      </c>
      <c r="P99" t="n">
        <v>1</v>
      </c>
      <c r="Q99" t="n">
        <v>5</v>
      </c>
      <c r="R99" s="2" t="inlineStr">
        <is>
          <t>Knärot
Finbräken
Guckusko
Svavelriska
Blåsippa</t>
        </is>
      </c>
      <c r="S99">
        <f>HYPERLINK("https://klasma.github.io/Logging_2303/artfynd/A 15379-2024 artfynd.xlsx", "A 15379-2024")</f>
        <v/>
      </c>
      <c r="T99">
        <f>HYPERLINK("https://klasma.github.io/Logging_2303/kartor/A 15379-2024 karta.png", "A 15379-2024")</f>
        <v/>
      </c>
      <c r="U99">
        <f>HYPERLINK("https://klasma.github.io/Logging_2303/knärot/A 15379-2024 karta knärot.png", "A 15379-2024")</f>
        <v/>
      </c>
      <c r="V99">
        <f>HYPERLINK("https://klasma.github.io/Logging_2303/klagomål/A 15379-2024 FSC-klagomål.docx", "A 15379-2024")</f>
        <v/>
      </c>
      <c r="W99">
        <f>HYPERLINK("https://klasma.github.io/Logging_2303/klagomålsmail/A 15379-2024 FSC-klagomål mail.docx", "A 15379-2024")</f>
        <v/>
      </c>
      <c r="X99">
        <f>HYPERLINK("https://klasma.github.io/Logging_2303/tillsyn/A 15379-2024 tillsynsbegäran.docx", "A 15379-2024")</f>
        <v/>
      </c>
      <c r="Y99">
        <f>HYPERLINK("https://klasma.github.io/Logging_2303/tillsynsmail/A 15379-2024 tillsynsbegäran mail.docx", "A 15379-2024")</f>
        <v/>
      </c>
    </row>
    <row r="100" ht="15" customHeight="1">
      <c r="A100" t="inlineStr">
        <is>
          <t>A 13266-2023</t>
        </is>
      </c>
      <c r="B100" s="1" t="n">
        <v>45002.94356481481</v>
      </c>
      <c r="C100" s="1" t="n">
        <v>45930</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45930</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30886-2025</t>
        </is>
      </c>
      <c r="B102" s="1" t="n">
        <v>45832.34578703704</v>
      </c>
      <c r="C102" s="1" t="n">
        <v>45930</v>
      </c>
      <c r="D102" t="inlineStr">
        <is>
          <t>JÄMTLANDS LÄN</t>
        </is>
      </c>
      <c r="E102" t="inlineStr">
        <is>
          <t>RAGUNDA</t>
        </is>
      </c>
      <c r="F102" t="inlineStr">
        <is>
          <t>SCA</t>
        </is>
      </c>
      <c r="G102" t="n">
        <v>4.4</v>
      </c>
      <c r="H102" t="n">
        <v>3</v>
      </c>
      <c r="I102" t="n">
        <v>1</v>
      </c>
      <c r="J102" t="n">
        <v>2</v>
      </c>
      <c r="K102" t="n">
        <v>1</v>
      </c>
      <c r="L102" t="n">
        <v>0</v>
      </c>
      <c r="M102" t="n">
        <v>0</v>
      </c>
      <c r="N102" t="n">
        <v>0</v>
      </c>
      <c r="O102" t="n">
        <v>3</v>
      </c>
      <c r="P102" t="n">
        <v>1</v>
      </c>
      <c r="Q102" t="n">
        <v>5</v>
      </c>
      <c r="R102" s="2" t="inlineStr">
        <is>
          <t>Knärot
Järpe
Lunglav
Ögonpyrola
Nattviol</t>
        </is>
      </c>
      <c r="S102">
        <f>HYPERLINK("https://klasma.github.io/Logging_2303/artfynd/A 30886-2025 artfynd.xlsx", "A 30886-2025")</f>
        <v/>
      </c>
      <c r="T102">
        <f>HYPERLINK("https://klasma.github.io/Logging_2303/kartor/A 30886-2025 karta.png", "A 30886-2025")</f>
        <v/>
      </c>
      <c r="U102">
        <f>HYPERLINK("https://klasma.github.io/Logging_2303/knärot/A 30886-2025 karta knärot.png", "A 30886-2025")</f>
        <v/>
      </c>
      <c r="V102">
        <f>HYPERLINK("https://klasma.github.io/Logging_2303/klagomål/A 30886-2025 FSC-klagomål.docx", "A 30886-2025")</f>
        <v/>
      </c>
      <c r="W102">
        <f>HYPERLINK("https://klasma.github.io/Logging_2303/klagomålsmail/A 30886-2025 FSC-klagomål mail.docx", "A 30886-2025")</f>
        <v/>
      </c>
      <c r="X102">
        <f>HYPERLINK("https://klasma.github.io/Logging_2303/tillsyn/A 30886-2025 tillsynsbegäran.docx", "A 30886-2025")</f>
        <v/>
      </c>
      <c r="Y102">
        <f>HYPERLINK("https://klasma.github.io/Logging_2303/tillsynsmail/A 30886-2025 tillsynsbegäran mail.docx", "A 30886-2025")</f>
        <v/>
      </c>
      <c r="Z102">
        <f>HYPERLINK("https://klasma.github.io/Logging_2303/fåglar/A 30886-2025 prioriterade fågelarter.docx", "A 30886-2025")</f>
        <v/>
      </c>
    </row>
    <row r="103" ht="15" customHeight="1">
      <c r="A103" t="inlineStr">
        <is>
          <t>A 45969-2023</t>
        </is>
      </c>
      <c r="B103" s="1" t="n">
        <v>45195</v>
      </c>
      <c r="C103" s="1" t="n">
        <v>45930</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57073-2023</t>
        </is>
      </c>
      <c r="B104" s="1" t="n">
        <v>45244</v>
      </c>
      <c r="C104" s="1" t="n">
        <v>45930</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8636-2021</t>
        </is>
      </c>
      <c r="B105" s="1" t="n">
        <v>44245</v>
      </c>
      <c r="C105" s="1" t="n">
        <v>45930</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45930</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45930</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45930</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45930</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45930</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40653-2025</t>
        </is>
      </c>
      <c r="B111" s="1" t="n">
        <v>45896.63618055556</v>
      </c>
      <c r="C111" s="1" t="n">
        <v>45930</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30465-2024</t>
        </is>
      </c>
      <c r="B112" s="1" t="n">
        <v>45491</v>
      </c>
      <c r="C112" s="1" t="n">
        <v>45930</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22467-2025</t>
        </is>
      </c>
      <c r="B113" s="1" t="n">
        <v>45786.61534722222</v>
      </c>
      <c r="C113" s="1" t="n">
        <v>45930</v>
      </c>
      <c r="D113" t="inlineStr">
        <is>
          <t>JÄMTLANDS LÄN</t>
        </is>
      </c>
      <c r="E113" t="inlineStr">
        <is>
          <t>RAGUNDA</t>
        </is>
      </c>
      <c r="F113" t="inlineStr">
        <is>
          <t>SCA</t>
        </is>
      </c>
      <c r="G113" t="n">
        <v>1.7</v>
      </c>
      <c r="H113" t="n">
        <v>1</v>
      </c>
      <c r="I113" t="n">
        <v>1</v>
      </c>
      <c r="J113" t="n">
        <v>3</v>
      </c>
      <c r="K113" t="n">
        <v>0</v>
      </c>
      <c r="L113" t="n">
        <v>0</v>
      </c>
      <c r="M113" t="n">
        <v>0</v>
      </c>
      <c r="N113" t="n">
        <v>0</v>
      </c>
      <c r="O113" t="n">
        <v>3</v>
      </c>
      <c r="P113" t="n">
        <v>0</v>
      </c>
      <c r="Q113" t="n">
        <v>4</v>
      </c>
      <c r="R113" s="2" t="inlineStr">
        <is>
          <t>Garnlav
Järpe
Lunglav
Bårdlav</t>
        </is>
      </c>
      <c r="S113">
        <f>HYPERLINK("https://klasma.github.io/Logging_2303/artfynd/A 22467-2025 artfynd.xlsx", "A 22467-2025")</f>
        <v/>
      </c>
      <c r="T113">
        <f>HYPERLINK("https://klasma.github.io/Logging_2303/kartor/A 22467-2025 karta.png", "A 22467-2025")</f>
        <v/>
      </c>
      <c r="V113">
        <f>HYPERLINK("https://klasma.github.io/Logging_2303/klagomål/A 22467-2025 FSC-klagomål.docx", "A 22467-2025")</f>
        <v/>
      </c>
      <c r="W113">
        <f>HYPERLINK("https://klasma.github.io/Logging_2303/klagomålsmail/A 22467-2025 FSC-klagomål mail.docx", "A 22467-2025")</f>
        <v/>
      </c>
      <c r="X113">
        <f>HYPERLINK("https://klasma.github.io/Logging_2303/tillsyn/A 22467-2025 tillsynsbegäran.docx", "A 22467-2025")</f>
        <v/>
      </c>
      <c r="Y113">
        <f>HYPERLINK("https://klasma.github.io/Logging_2303/tillsynsmail/A 22467-2025 tillsynsbegäran mail.docx", "A 22467-2025")</f>
        <v/>
      </c>
      <c r="Z113">
        <f>HYPERLINK("https://klasma.github.io/Logging_2303/fåglar/A 22467-2025 prioriterade fågelarter.docx", "A 22467-2025")</f>
        <v/>
      </c>
    </row>
    <row r="114" ht="15" customHeight="1">
      <c r="A114" t="inlineStr">
        <is>
          <t>A 32903-2024</t>
        </is>
      </c>
      <c r="B114" s="1" t="n">
        <v>45516.94723379629</v>
      </c>
      <c r="C114" s="1" t="n">
        <v>45930</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30483-2024</t>
        </is>
      </c>
      <c r="B115" s="1" t="n">
        <v>45491</v>
      </c>
      <c r="C115" s="1" t="n">
        <v>45930</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23931-2024</t>
        </is>
      </c>
      <c r="B116" s="1" t="n">
        <v>45455.96195601852</v>
      </c>
      <c r="C116" s="1" t="n">
        <v>45930</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45930</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43960-2023</t>
        </is>
      </c>
      <c r="B118" s="1" t="n">
        <v>45187</v>
      </c>
      <c r="C118" s="1" t="n">
        <v>45930</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15836-2024</t>
        </is>
      </c>
      <c r="B119" s="1" t="n">
        <v>45404</v>
      </c>
      <c r="C119" s="1" t="n">
        <v>45930</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21372-2025</t>
        </is>
      </c>
      <c r="B120" s="1" t="n">
        <v>45782.44871527778</v>
      </c>
      <c r="C120" s="1" t="n">
        <v>45930</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45930</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45930</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60670-2022</t>
        </is>
      </c>
      <c r="B123" s="1" t="n">
        <v>44911</v>
      </c>
      <c r="C123" s="1" t="n">
        <v>45930</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26082-2025</t>
        </is>
      </c>
      <c r="B124" s="1" t="n">
        <v>45805.34415509259</v>
      </c>
      <c r="C124" s="1" t="n">
        <v>45930</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51686-2020</t>
        </is>
      </c>
      <c r="B125" s="1" t="n">
        <v>44113</v>
      </c>
      <c r="C125" s="1" t="n">
        <v>45930</v>
      </c>
      <c r="D125" t="inlineStr">
        <is>
          <t>JÄMTLANDS LÄN</t>
        </is>
      </c>
      <c r="E125" t="inlineStr">
        <is>
          <t>RAGUNDA</t>
        </is>
      </c>
      <c r="F125" t="inlineStr">
        <is>
          <t>SCA</t>
        </is>
      </c>
      <c r="G125" t="n">
        <v>1.8</v>
      </c>
      <c r="H125" t="n">
        <v>0</v>
      </c>
      <c r="I125" t="n">
        <v>1</v>
      </c>
      <c r="J125" t="n">
        <v>3</v>
      </c>
      <c r="K125" t="n">
        <v>0</v>
      </c>
      <c r="L125" t="n">
        <v>0</v>
      </c>
      <c r="M125" t="n">
        <v>0</v>
      </c>
      <c r="N125" t="n">
        <v>0</v>
      </c>
      <c r="O125" t="n">
        <v>3</v>
      </c>
      <c r="P125" t="n">
        <v>0</v>
      </c>
      <c r="Q125" t="n">
        <v>4</v>
      </c>
      <c r="R125" s="2" t="inlineStr">
        <is>
          <t>Kolflarnlav
Lunglav
Skrovellav
Stuplav</t>
        </is>
      </c>
      <c r="S125">
        <f>HYPERLINK("https://klasma.github.io/Logging_2303/artfynd/A 51686-2020 artfynd.xlsx", "A 51686-2020")</f>
        <v/>
      </c>
      <c r="T125">
        <f>HYPERLINK("https://klasma.github.io/Logging_2303/kartor/A 51686-2020 karta.png", "A 51686-2020")</f>
        <v/>
      </c>
      <c r="V125">
        <f>HYPERLINK("https://klasma.github.io/Logging_2303/klagomål/A 51686-2020 FSC-klagomål.docx", "A 51686-2020")</f>
        <v/>
      </c>
      <c r="W125">
        <f>HYPERLINK("https://klasma.github.io/Logging_2303/klagomålsmail/A 51686-2020 FSC-klagomål mail.docx", "A 51686-2020")</f>
        <v/>
      </c>
      <c r="X125">
        <f>HYPERLINK("https://klasma.github.io/Logging_2303/tillsyn/A 51686-2020 tillsynsbegäran.docx", "A 51686-2020")</f>
        <v/>
      </c>
      <c r="Y125">
        <f>HYPERLINK("https://klasma.github.io/Logging_2303/tillsynsmail/A 51686-2020 tillsynsbegäran mail.docx", "A 51686-2020")</f>
        <v/>
      </c>
    </row>
    <row r="126" ht="15" customHeight="1">
      <c r="A126" t="inlineStr">
        <is>
          <t>A 52644-2024</t>
        </is>
      </c>
      <c r="B126" s="1" t="n">
        <v>45610.34415509259</v>
      </c>
      <c r="C126" s="1" t="n">
        <v>45930</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17092-2022</t>
        </is>
      </c>
      <c r="B127" s="1" t="n">
        <v>44677</v>
      </c>
      <c r="C127" s="1" t="n">
        <v>45930</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45930</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45930</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45930</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45930</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45930</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58368-2024</t>
        </is>
      </c>
      <c r="B133" s="1" t="n">
        <v>45632.69822916666</v>
      </c>
      <c r="C133" s="1" t="n">
        <v>45930</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32416-2025</t>
        </is>
      </c>
      <c r="B134" s="1" t="n">
        <v>45838</v>
      </c>
      <c r="C134" s="1" t="n">
        <v>45930</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53022-2022</t>
        </is>
      </c>
      <c r="B135" s="1" t="n">
        <v>44875</v>
      </c>
      <c r="C135" s="1" t="n">
        <v>45930</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48054-2022</t>
        </is>
      </c>
      <c r="B136" s="1" t="n">
        <v>44855</v>
      </c>
      <c r="C136" s="1" t="n">
        <v>45930</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45930</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18616-2024</t>
        </is>
      </c>
      <c r="B138" s="1" t="n">
        <v>45425.96285879629</v>
      </c>
      <c r="C138" s="1" t="n">
        <v>45930</v>
      </c>
      <c r="D138" t="inlineStr">
        <is>
          <t>JÄMTLANDS LÄN</t>
        </is>
      </c>
      <c r="E138" t="inlineStr">
        <is>
          <t>RAGUNDA</t>
        </is>
      </c>
      <c r="F138" t="inlineStr">
        <is>
          <t>SCA</t>
        </is>
      </c>
      <c r="G138" t="n">
        <v>3.4</v>
      </c>
      <c r="H138" t="n">
        <v>0</v>
      </c>
      <c r="I138" t="n">
        <v>0</v>
      </c>
      <c r="J138" t="n">
        <v>3</v>
      </c>
      <c r="K138" t="n">
        <v>0</v>
      </c>
      <c r="L138" t="n">
        <v>0</v>
      </c>
      <c r="M138" t="n">
        <v>0</v>
      </c>
      <c r="N138" t="n">
        <v>0</v>
      </c>
      <c r="O138" t="n">
        <v>3</v>
      </c>
      <c r="P138" t="n">
        <v>0</v>
      </c>
      <c r="Q138" t="n">
        <v>3</v>
      </c>
      <c r="R138" s="2" t="inlineStr">
        <is>
          <t>Granticka
Orange taggsvamp
Ullticka</t>
        </is>
      </c>
      <c r="S138">
        <f>HYPERLINK("https://klasma.github.io/Logging_2303/artfynd/A 18616-2024 artfynd.xlsx", "A 18616-2024")</f>
        <v/>
      </c>
      <c r="T138">
        <f>HYPERLINK("https://klasma.github.io/Logging_2303/kartor/A 18616-2024 karta.png", "A 18616-2024")</f>
        <v/>
      </c>
      <c r="V138">
        <f>HYPERLINK("https://klasma.github.io/Logging_2303/klagomål/A 18616-2024 FSC-klagomål.docx", "A 18616-2024")</f>
        <v/>
      </c>
      <c r="W138">
        <f>HYPERLINK("https://klasma.github.io/Logging_2303/klagomålsmail/A 18616-2024 FSC-klagomål mail.docx", "A 18616-2024")</f>
        <v/>
      </c>
      <c r="X138">
        <f>HYPERLINK("https://klasma.github.io/Logging_2303/tillsyn/A 18616-2024 tillsynsbegäran.docx", "A 18616-2024")</f>
        <v/>
      </c>
      <c r="Y138">
        <f>HYPERLINK("https://klasma.github.io/Logging_2303/tillsynsmail/A 18616-2024 tillsynsbegäran mail.docx", "A 18616-2024")</f>
        <v/>
      </c>
    </row>
    <row r="139" ht="15" customHeight="1">
      <c r="A139" t="inlineStr">
        <is>
          <t>A 58737-2022</t>
        </is>
      </c>
      <c r="B139" s="1" t="n">
        <v>44902</v>
      </c>
      <c r="C139" s="1" t="n">
        <v>45930</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41877-2025</t>
        </is>
      </c>
      <c r="B140" s="1" t="n">
        <v>45903.345625</v>
      </c>
      <c r="C140" s="1" t="n">
        <v>45930</v>
      </c>
      <c r="D140" t="inlineStr">
        <is>
          <t>JÄMTLANDS LÄN</t>
        </is>
      </c>
      <c r="E140" t="inlineStr">
        <is>
          <t>RAGUNDA</t>
        </is>
      </c>
      <c r="G140" t="n">
        <v>27.7</v>
      </c>
      <c r="H140" t="n">
        <v>1</v>
      </c>
      <c r="I140" t="n">
        <v>0</v>
      </c>
      <c r="J140" t="n">
        <v>2</v>
      </c>
      <c r="K140" t="n">
        <v>1</v>
      </c>
      <c r="L140" t="n">
        <v>0</v>
      </c>
      <c r="M140" t="n">
        <v>0</v>
      </c>
      <c r="N140" t="n">
        <v>0</v>
      </c>
      <c r="O140" t="n">
        <v>3</v>
      </c>
      <c r="P140" t="n">
        <v>1</v>
      </c>
      <c r="Q140" t="n">
        <v>3</v>
      </c>
      <c r="R140" s="2" t="inlineStr">
        <is>
          <t>Knärot
Garnlav
Mörk kolflarnlav</t>
        </is>
      </c>
      <c r="S140">
        <f>HYPERLINK("https://klasma.github.io/Logging_2303/artfynd/A 41877-2025 artfynd.xlsx", "A 41877-2025")</f>
        <v/>
      </c>
      <c r="T140">
        <f>HYPERLINK("https://klasma.github.io/Logging_2303/kartor/A 41877-2025 karta.png", "A 41877-2025")</f>
        <v/>
      </c>
      <c r="U140">
        <f>HYPERLINK("https://klasma.github.io/Logging_2303/knärot/A 41877-2025 karta knärot.png", "A 41877-2025")</f>
        <v/>
      </c>
      <c r="V140">
        <f>HYPERLINK("https://klasma.github.io/Logging_2303/klagomål/A 41877-2025 FSC-klagomål.docx", "A 41877-2025")</f>
        <v/>
      </c>
      <c r="W140">
        <f>HYPERLINK("https://klasma.github.io/Logging_2303/klagomålsmail/A 41877-2025 FSC-klagomål mail.docx", "A 41877-2025")</f>
        <v/>
      </c>
      <c r="X140">
        <f>HYPERLINK("https://klasma.github.io/Logging_2303/tillsyn/A 41877-2025 tillsynsbegäran.docx", "A 41877-2025")</f>
        <v/>
      </c>
      <c r="Y140">
        <f>HYPERLINK("https://klasma.github.io/Logging_2303/tillsynsmail/A 41877-2025 tillsynsbegäran mail.docx", "A 41877-2025")</f>
        <v/>
      </c>
    </row>
    <row r="141" ht="15" customHeight="1">
      <c r="A141" t="inlineStr">
        <is>
          <t>A 20776-2024</t>
        </is>
      </c>
      <c r="B141" s="1" t="n">
        <v>45436.94686342592</v>
      </c>
      <c r="C141" s="1" t="n">
        <v>45930</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57941-2024</t>
        </is>
      </c>
      <c r="B142" s="1" t="n">
        <v>45631</v>
      </c>
      <c r="C142" s="1" t="n">
        <v>45930</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30470-2024</t>
        </is>
      </c>
      <c r="B143" s="1" t="n">
        <v>45491.94715277778</v>
      </c>
      <c r="C143" s="1" t="n">
        <v>45930</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7519-2023</t>
        </is>
      </c>
      <c r="B144" s="1" t="n">
        <v>44971</v>
      </c>
      <c r="C144" s="1" t="n">
        <v>45930</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5048-2025</t>
        </is>
      </c>
      <c r="B145" s="1" t="n">
        <v>45691.44769675926</v>
      </c>
      <c r="C145" s="1" t="n">
        <v>45930</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45930</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16305-2025</t>
        </is>
      </c>
      <c r="B147" s="1" t="n">
        <v>45751.34650462963</v>
      </c>
      <c r="C147" s="1" t="n">
        <v>45930</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45930</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25769-2025</t>
        </is>
      </c>
      <c r="B149" s="1" t="n">
        <v>45804.34474537037</v>
      </c>
      <c r="C149" s="1" t="n">
        <v>45930</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51010-2020</t>
        </is>
      </c>
      <c r="B150" s="1" t="n">
        <v>44111</v>
      </c>
      <c r="C150" s="1" t="n">
        <v>45930</v>
      </c>
      <c r="D150" t="inlineStr">
        <is>
          <t>JÄMTLANDS LÄN</t>
        </is>
      </c>
      <c r="E150" t="inlineStr">
        <is>
          <t>RAGUNDA</t>
        </is>
      </c>
      <c r="F150" t="inlineStr">
        <is>
          <t>SCA</t>
        </is>
      </c>
      <c r="G150" t="n">
        <v>4.1</v>
      </c>
      <c r="H150" t="n">
        <v>0</v>
      </c>
      <c r="I150" t="n">
        <v>0</v>
      </c>
      <c r="J150" t="n">
        <v>3</v>
      </c>
      <c r="K150" t="n">
        <v>0</v>
      </c>
      <c r="L150" t="n">
        <v>0</v>
      </c>
      <c r="M150" t="n">
        <v>0</v>
      </c>
      <c r="N150" t="n">
        <v>0</v>
      </c>
      <c r="O150" t="n">
        <v>3</v>
      </c>
      <c r="P150" t="n">
        <v>0</v>
      </c>
      <c r="Q150" t="n">
        <v>3</v>
      </c>
      <c r="R150" s="2" t="inlineStr">
        <is>
          <t>Garnlav
Lunglav
Ullticka</t>
        </is>
      </c>
      <c r="S150">
        <f>HYPERLINK("https://klasma.github.io/Logging_2303/artfynd/A 51010-2020 artfynd.xlsx", "A 51010-2020")</f>
        <v/>
      </c>
      <c r="T150">
        <f>HYPERLINK("https://klasma.github.io/Logging_2303/kartor/A 51010-2020 karta.png", "A 51010-2020")</f>
        <v/>
      </c>
      <c r="V150">
        <f>HYPERLINK("https://klasma.github.io/Logging_2303/klagomål/A 51010-2020 FSC-klagomål.docx", "A 51010-2020")</f>
        <v/>
      </c>
      <c r="W150">
        <f>HYPERLINK("https://klasma.github.io/Logging_2303/klagomålsmail/A 51010-2020 FSC-klagomål mail.docx", "A 51010-2020")</f>
        <v/>
      </c>
      <c r="X150">
        <f>HYPERLINK("https://klasma.github.io/Logging_2303/tillsyn/A 51010-2020 tillsynsbegäran.docx", "A 51010-2020")</f>
        <v/>
      </c>
      <c r="Y150">
        <f>HYPERLINK("https://klasma.github.io/Logging_2303/tillsynsmail/A 51010-2020 tillsynsbegäran mail.docx", "A 51010-2020")</f>
        <v/>
      </c>
    </row>
    <row r="151" ht="15" customHeight="1">
      <c r="A151" t="inlineStr">
        <is>
          <t>A 22571-2025</t>
        </is>
      </c>
      <c r="B151" s="1" t="n">
        <v>45789.36503472222</v>
      </c>
      <c r="C151" s="1" t="n">
        <v>45930</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45930</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49047-2023</t>
        </is>
      </c>
      <c r="B153" s="1" t="n">
        <v>45209</v>
      </c>
      <c r="C153" s="1" t="n">
        <v>45930</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36504-2023</t>
        </is>
      </c>
      <c r="B154" s="1" t="n">
        <v>45152</v>
      </c>
      <c r="C154" s="1" t="n">
        <v>45930</v>
      </c>
      <c r="D154" t="inlineStr">
        <is>
          <t>JÄMTLANDS LÄN</t>
        </is>
      </c>
      <c r="E154" t="inlineStr">
        <is>
          <t>RAGUNDA</t>
        </is>
      </c>
      <c r="F154" t="inlineStr">
        <is>
          <t>SCA</t>
        </is>
      </c>
      <c r="G154" t="n">
        <v>2</v>
      </c>
      <c r="H154" t="n">
        <v>0</v>
      </c>
      <c r="I154" t="n">
        <v>0</v>
      </c>
      <c r="J154" t="n">
        <v>3</v>
      </c>
      <c r="K154" t="n">
        <v>0</v>
      </c>
      <c r="L154" t="n">
        <v>0</v>
      </c>
      <c r="M154" t="n">
        <v>0</v>
      </c>
      <c r="N154" t="n">
        <v>0</v>
      </c>
      <c r="O154" t="n">
        <v>3</v>
      </c>
      <c r="P154" t="n">
        <v>0</v>
      </c>
      <c r="Q154" t="n">
        <v>3</v>
      </c>
      <c r="R154" s="2" t="inlineStr">
        <is>
          <t>Gammelgransskål
Garnlav
Granticka</t>
        </is>
      </c>
      <c r="S154">
        <f>HYPERLINK("https://klasma.github.io/Logging_2303/artfynd/A 36504-2023 artfynd.xlsx", "A 36504-2023")</f>
        <v/>
      </c>
      <c r="T154">
        <f>HYPERLINK("https://klasma.github.io/Logging_2303/kartor/A 36504-2023 karta.png", "A 36504-2023")</f>
        <v/>
      </c>
      <c r="V154">
        <f>HYPERLINK("https://klasma.github.io/Logging_2303/klagomål/A 36504-2023 FSC-klagomål.docx", "A 36504-2023")</f>
        <v/>
      </c>
      <c r="W154">
        <f>HYPERLINK("https://klasma.github.io/Logging_2303/klagomålsmail/A 36504-2023 FSC-klagomål mail.docx", "A 36504-2023")</f>
        <v/>
      </c>
      <c r="X154">
        <f>HYPERLINK("https://klasma.github.io/Logging_2303/tillsyn/A 36504-2023 tillsynsbegäran.docx", "A 36504-2023")</f>
        <v/>
      </c>
      <c r="Y154">
        <f>HYPERLINK("https://klasma.github.io/Logging_2303/tillsynsmail/A 36504-2023 tillsynsbegäran mail.docx", "A 36504-2023")</f>
        <v/>
      </c>
    </row>
    <row r="155" ht="15" customHeight="1">
      <c r="A155" t="inlineStr">
        <is>
          <t>A 33278-2022</t>
        </is>
      </c>
      <c r="B155" s="1" t="n">
        <v>44788</v>
      </c>
      <c r="C155" s="1" t="n">
        <v>45930</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17043-2022</t>
        </is>
      </c>
      <c r="B156" s="1" t="n">
        <v>44676</v>
      </c>
      <c r="C156" s="1" t="n">
        <v>45930</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45930</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45930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45930</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45930</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26324-2024</t>
        </is>
      </c>
      <c r="B161" s="1" t="n">
        <v>45468.97495370371</v>
      </c>
      <c r="C161" s="1" t="n">
        <v>45930</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Knärot
Vedtrappmossa</t>
        </is>
      </c>
      <c r="S161">
        <f>HYPERLINK("https://klasma.github.io/Logging_2303/artfynd/A 26324-2024 artfynd.xlsx", "A 26324-2024")</f>
        <v/>
      </c>
      <c r="T161">
        <f>HYPERLINK("https://klasma.github.io/Logging_2303/kartor/A 26324-2024 karta.png", "A 26324-2024")</f>
        <v/>
      </c>
      <c r="U161">
        <f>HYPERLINK("https://klasma.github.io/Logging_2303/knärot/A 26324-2024 karta knärot.png", "A 26324-2024")</f>
        <v/>
      </c>
      <c r="V161">
        <f>HYPERLINK("https://klasma.github.io/Logging_2303/klagomål/A 26324-2024 FSC-klagomål.docx", "A 26324-2024")</f>
        <v/>
      </c>
      <c r="W161">
        <f>HYPERLINK("https://klasma.github.io/Logging_2303/klagomålsmail/A 26324-2024 FSC-klagomål mail.docx", "A 26324-2024")</f>
        <v/>
      </c>
      <c r="X161">
        <f>HYPERLINK("https://klasma.github.io/Logging_2303/tillsyn/A 26324-2024 tillsynsbegäran.docx", "A 26324-2024")</f>
        <v/>
      </c>
      <c r="Y161">
        <f>HYPERLINK("https://klasma.github.io/Logging_2303/tillsynsmail/A 26324-2024 tillsynsbegäran mail.docx", "A 26324-2024")</f>
        <v/>
      </c>
    </row>
    <row r="162" ht="15" customHeight="1">
      <c r="A162" t="inlineStr">
        <is>
          <t>A 14502-2024</t>
        </is>
      </c>
      <c r="B162" s="1" t="n">
        <v>45394</v>
      </c>
      <c r="C162" s="1" t="n">
        <v>45930</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11843-2023</t>
        </is>
      </c>
      <c r="B163" s="1" t="n">
        <v>44993</v>
      </c>
      <c r="C163" s="1" t="n">
        <v>45930</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39495-2024</t>
        </is>
      </c>
      <c r="B164" s="1" t="n">
        <v>45551.65726851852</v>
      </c>
      <c r="C164" s="1" t="n">
        <v>45930</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45930</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26482-2023</t>
        </is>
      </c>
      <c r="B166" s="1" t="n">
        <v>45089</v>
      </c>
      <c r="C166" s="1" t="n">
        <v>45930</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45930</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11544-2024</t>
        </is>
      </c>
      <c r="B168" s="1" t="n">
        <v>45372.95680555556</v>
      </c>
      <c r="C168" s="1" t="n">
        <v>45930</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57940-2024</t>
        </is>
      </c>
      <c r="B169" s="1" t="n">
        <v>45631</v>
      </c>
      <c r="C169" s="1" t="n">
        <v>45930</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36756-2023</t>
        </is>
      </c>
      <c r="B170" s="1" t="n">
        <v>45153</v>
      </c>
      <c r="C170" s="1" t="n">
        <v>45930</v>
      </c>
      <c r="D170" t="inlineStr">
        <is>
          <t>JÄMTLANDS LÄN</t>
        </is>
      </c>
      <c r="E170" t="inlineStr">
        <is>
          <t>RAGUNDA</t>
        </is>
      </c>
      <c r="G170" t="n">
        <v>3.5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10866-2025</t>
        </is>
      </c>
      <c r="B171" s="1" t="n">
        <v>45722.61543981481</v>
      </c>
      <c r="C171" s="1" t="n">
        <v>45930</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10884-2025</t>
        </is>
      </c>
      <c r="B172" s="1" t="n">
        <v>45722.65670138889</v>
      </c>
      <c r="C172" s="1" t="n">
        <v>45930</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45930</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11086-2025</t>
        </is>
      </c>
      <c r="B174" s="1" t="n">
        <v>45723.57329861111</v>
      </c>
      <c r="C174" s="1" t="n">
        <v>45930</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41490-2022</t>
        </is>
      </c>
      <c r="B175" s="1" t="n">
        <v>44826.94976851852</v>
      </c>
      <c r="C175" s="1" t="n">
        <v>45930</v>
      </c>
      <c r="D175" t="inlineStr">
        <is>
          <t>JÄMTLANDS LÄN</t>
        </is>
      </c>
      <c r="E175" t="inlineStr">
        <is>
          <t>RAGUNDA</t>
        </is>
      </c>
      <c r="F175" t="inlineStr">
        <is>
          <t>SCA</t>
        </is>
      </c>
      <c r="G175" t="n">
        <v>2.7</v>
      </c>
      <c r="H175" t="n">
        <v>0</v>
      </c>
      <c r="I175" t="n">
        <v>1</v>
      </c>
      <c r="J175" t="n">
        <v>1</v>
      </c>
      <c r="K175" t="n">
        <v>0</v>
      </c>
      <c r="L175" t="n">
        <v>0</v>
      </c>
      <c r="M175" t="n">
        <v>0</v>
      </c>
      <c r="N175" t="n">
        <v>0</v>
      </c>
      <c r="O175" t="n">
        <v>1</v>
      </c>
      <c r="P175" t="n">
        <v>0</v>
      </c>
      <c r="Q175" t="n">
        <v>2</v>
      </c>
      <c r="R175" s="2" t="inlineStr">
        <is>
          <t>Lunglav
Skinnlav</t>
        </is>
      </c>
      <c r="S175">
        <f>HYPERLINK("https://klasma.github.io/Logging_2303/artfynd/A 41490-2022 artfynd.xlsx", "A 41490-2022")</f>
        <v/>
      </c>
      <c r="T175">
        <f>HYPERLINK("https://klasma.github.io/Logging_2303/kartor/A 41490-2022 karta.png", "A 41490-2022")</f>
        <v/>
      </c>
      <c r="V175">
        <f>HYPERLINK("https://klasma.github.io/Logging_2303/klagomål/A 41490-2022 FSC-klagomål.docx", "A 41490-2022")</f>
        <v/>
      </c>
      <c r="W175">
        <f>HYPERLINK("https://klasma.github.io/Logging_2303/klagomålsmail/A 41490-2022 FSC-klagomål mail.docx", "A 41490-2022")</f>
        <v/>
      </c>
      <c r="X175">
        <f>HYPERLINK("https://klasma.github.io/Logging_2303/tillsyn/A 41490-2022 tillsynsbegäran.docx", "A 41490-2022")</f>
        <v/>
      </c>
      <c r="Y175">
        <f>HYPERLINK("https://klasma.github.io/Logging_2303/tillsynsmail/A 41490-2022 tillsynsbegäran mail.docx", "A 41490-2022")</f>
        <v/>
      </c>
    </row>
    <row r="176" ht="15" customHeight="1">
      <c r="A176" t="inlineStr">
        <is>
          <t>A 19384-2025</t>
        </is>
      </c>
      <c r="B176" s="1" t="n">
        <v>45769.65692129629</v>
      </c>
      <c r="C176" s="1" t="n">
        <v>45930</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55647-2023</t>
        </is>
      </c>
      <c r="B177" s="1" t="n">
        <v>45238</v>
      </c>
      <c r="C177" s="1" t="n">
        <v>45930</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21245-2025</t>
        </is>
      </c>
      <c r="B178" s="1" t="n">
        <v>45779.57350694444</v>
      </c>
      <c r="C178" s="1" t="n">
        <v>45930</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50089-2022</t>
        </is>
      </c>
      <c r="B179" s="1" t="n">
        <v>44865</v>
      </c>
      <c r="C179" s="1" t="n">
        <v>45930</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25155-2025</t>
        </is>
      </c>
      <c r="B180" s="1" t="n">
        <v>45800.42782407408</v>
      </c>
      <c r="C180" s="1" t="n">
        <v>45930</v>
      </c>
      <c r="D180" t="inlineStr">
        <is>
          <t>JÄMTLANDS LÄN</t>
        </is>
      </c>
      <c r="E180" t="inlineStr">
        <is>
          <t>RAGUNDA</t>
        </is>
      </c>
      <c r="F180" t="inlineStr">
        <is>
          <t>SCA</t>
        </is>
      </c>
      <c r="G180" t="n">
        <v>1.7</v>
      </c>
      <c r="H180" t="n">
        <v>1</v>
      </c>
      <c r="I180" t="n">
        <v>0</v>
      </c>
      <c r="J180" t="n">
        <v>1</v>
      </c>
      <c r="K180" t="n">
        <v>0</v>
      </c>
      <c r="L180" t="n">
        <v>0</v>
      </c>
      <c r="M180" t="n">
        <v>0</v>
      </c>
      <c r="N180" t="n">
        <v>0</v>
      </c>
      <c r="O180" t="n">
        <v>1</v>
      </c>
      <c r="P180" t="n">
        <v>0</v>
      </c>
      <c r="Q180" t="n">
        <v>2</v>
      </c>
      <c r="R180" s="2" t="inlineStr">
        <is>
          <t>Leptoporus mollis
Fläcknycklar</t>
        </is>
      </c>
      <c r="S180">
        <f>HYPERLINK("https://klasma.github.io/Logging_2303/artfynd/A 25155-2025 artfynd.xlsx", "A 25155-2025")</f>
        <v/>
      </c>
      <c r="T180">
        <f>HYPERLINK("https://klasma.github.io/Logging_2303/kartor/A 25155-2025 karta.png", "A 25155-2025")</f>
        <v/>
      </c>
      <c r="V180">
        <f>HYPERLINK("https://klasma.github.io/Logging_2303/klagomål/A 25155-2025 FSC-klagomål.docx", "A 25155-2025")</f>
        <v/>
      </c>
      <c r="W180">
        <f>HYPERLINK("https://klasma.github.io/Logging_2303/klagomålsmail/A 25155-2025 FSC-klagomål mail.docx", "A 25155-2025")</f>
        <v/>
      </c>
      <c r="X180">
        <f>HYPERLINK("https://klasma.github.io/Logging_2303/tillsyn/A 25155-2025 tillsynsbegäran.docx", "A 25155-2025")</f>
        <v/>
      </c>
      <c r="Y180">
        <f>HYPERLINK("https://klasma.github.io/Logging_2303/tillsynsmail/A 25155-2025 tillsynsbegäran mail.docx", "A 25155-2025")</f>
        <v/>
      </c>
    </row>
    <row r="181" ht="15" customHeight="1">
      <c r="A181" t="inlineStr">
        <is>
          <t>A 32736-2023</t>
        </is>
      </c>
      <c r="B181" s="1" t="n">
        <v>45121</v>
      </c>
      <c r="C181" s="1" t="n">
        <v>45930</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Vedtrappmossa
Stor aspticka</t>
        </is>
      </c>
      <c r="S181">
        <f>HYPERLINK("https://klasma.github.io/Logging_2303/artfynd/A 32736-2023 artfynd.xlsx", "A 32736-2023")</f>
        <v/>
      </c>
      <c r="T181">
        <f>HYPERLINK("https://klasma.github.io/Logging_2303/kartor/A 32736-2023 karta.png", "A 32736-2023")</f>
        <v/>
      </c>
      <c r="V181">
        <f>HYPERLINK("https://klasma.github.io/Logging_2303/klagomål/A 32736-2023 FSC-klagomål.docx", "A 32736-2023")</f>
        <v/>
      </c>
      <c r="W181">
        <f>HYPERLINK("https://klasma.github.io/Logging_2303/klagomålsmail/A 32736-2023 FSC-klagomål mail.docx", "A 32736-2023")</f>
        <v/>
      </c>
      <c r="X181">
        <f>HYPERLINK("https://klasma.github.io/Logging_2303/tillsyn/A 32736-2023 tillsynsbegäran.docx", "A 32736-2023")</f>
        <v/>
      </c>
      <c r="Y181">
        <f>HYPERLINK("https://klasma.github.io/Logging_2303/tillsynsmail/A 32736-2023 tillsynsbegäran mail.docx", "A 32736-2023")</f>
        <v/>
      </c>
    </row>
    <row r="182" ht="15" customHeight="1">
      <c r="A182" t="inlineStr">
        <is>
          <t>A 48427-2023</t>
        </is>
      </c>
      <c r="B182" s="1" t="n">
        <v>45205</v>
      </c>
      <c r="C182" s="1" t="n">
        <v>45930</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45021-2023</t>
        </is>
      </c>
      <c r="B183" s="1" t="n">
        <v>45190</v>
      </c>
      <c r="C183" s="1" t="n">
        <v>45930</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31960-2025</t>
        </is>
      </c>
      <c r="B184" s="1" t="n">
        <v>45835.344375</v>
      </c>
      <c r="C184" s="1" t="n">
        <v>45930</v>
      </c>
      <c r="D184" t="inlineStr">
        <is>
          <t>JÄMTLANDS LÄN</t>
        </is>
      </c>
      <c r="E184" t="inlineStr">
        <is>
          <t>RAGUNDA</t>
        </is>
      </c>
      <c r="F184" t="inlineStr">
        <is>
          <t>SCA</t>
        </is>
      </c>
      <c r="G184" t="n">
        <v>1.6</v>
      </c>
      <c r="H184" t="n">
        <v>0</v>
      </c>
      <c r="I184" t="n">
        <v>0</v>
      </c>
      <c r="J184" t="n">
        <v>2</v>
      </c>
      <c r="K184" t="n">
        <v>0</v>
      </c>
      <c r="L184" t="n">
        <v>0</v>
      </c>
      <c r="M184" t="n">
        <v>0</v>
      </c>
      <c r="N184" t="n">
        <v>0</v>
      </c>
      <c r="O184" t="n">
        <v>2</v>
      </c>
      <c r="P184" t="n">
        <v>0</v>
      </c>
      <c r="Q184" t="n">
        <v>2</v>
      </c>
      <c r="R184" s="2" t="inlineStr">
        <is>
          <t>Gammelgransskål
Garnlav</t>
        </is>
      </c>
      <c r="S184">
        <f>HYPERLINK("https://klasma.github.io/Logging_2303/artfynd/A 31960-2025 artfynd.xlsx", "A 31960-2025")</f>
        <v/>
      </c>
      <c r="T184">
        <f>HYPERLINK("https://klasma.github.io/Logging_2303/kartor/A 31960-2025 karta.png", "A 31960-2025")</f>
        <v/>
      </c>
      <c r="V184">
        <f>HYPERLINK("https://klasma.github.io/Logging_2303/klagomål/A 31960-2025 FSC-klagomål.docx", "A 31960-2025")</f>
        <v/>
      </c>
      <c r="W184">
        <f>HYPERLINK("https://klasma.github.io/Logging_2303/klagomålsmail/A 31960-2025 FSC-klagomål mail.docx", "A 31960-2025")</f>
        <v/>
      </c>
      <c r="X184">
        <f>HYPERLINK("https://klasma.github.io/Logging_2303/tillsyn/A 31960-2025 tillsynsbegäran.docx", "A 31960-2025")</f>
        <v/>
      </c>
      <c r="Y184">
        <f>HYPERLINK("https://klasma.github.io/Logging_2303/tillsynsmail/A 31960-2025 tillsynsbegäran mail.docx", "A 31960-2025")</f>
        <v/>
      </c>
    </row>
    <row r="185" ht="15" customHeight="1">
      <c r="A185" t="inlineStr">
        <is>
          <t>A 44409-2023</t>
        </is>
      </c>
      <c r="B185" s="1" t="n">
        <v>45188</v>
      </c>
      <c r="C185" s="1" t="n">
        <v>45930</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45930</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45930</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35131-2025</t>
        </is>
      </c>
      <c r="B188" s="1" t="n">
        <v>45852.63597222222</v>
      </c>
      <c r="C188" s="1" t="n">
        <v>45930</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45035-2023</t>
        </is>
      </c>
      <c r="B189" s="1" t="n">
        <v>45191</v>
      </c>
      <c r="C189" s="1" t="n">
        <v>45930</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56285-2023</t>
        </is>
      </c>
      <c r="B190" s="1" t="n">
        <v>45241</v>
      </c>
      <c r="C190" s="1" t="n">
        <v>45930</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34715-2024</t>
        </is>
      </c>
      <c r="B191" s="1" t="n">
        <v>45526.56393518519</v>
      </c>
      <c r="C191" s="1" t="n">
        <v>45930</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51916-2021</t>
        </is>
      </c>
      <c r="B192" s="1" t="n">
        <v>44462</v>
      </c>
      <c r="C192" s="1" t="n">
        <v>45930</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45930</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45930</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45930</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45930</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45930</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16316-2025</t>
        </is>
      </c>
      <c r="B198" s="1" t="n">
        <v>45751.34795138889</v>
      </c>
      <c r="C198" s="1" t="n">
        <v>45930</v>
      </c>
      <c r="D198" t="inlineStr">
        <is>
          <t>JÄMTLANDS LÄN</t>
        </is>
      </c>
      <c r="E198" t="inlineStr">
        <is>
          <t>RAGUNDA</t>
        </is>
      </c>
      <c r="F198" t="inlineStr">
        <is>
          <t>SCA</t>
        </is>
      </c>
      <c r="G198" t="n">
        <v>1.7</v>
      </c>
      <c r="H198" t="n">
        <v>1</v>
      </c>
      <c r="I198" t="n">
        <v>0</v>
      </c>
      <c r="J198" t="n">
        <v>0</v>
      </c>
      <c r="K198" t="n">
        <v>0</v>
      </c>
      <c r="L198" t="n">
        <v>0</v>
      </c>
      <c r="M198" t="n">
        <v>0</v>
      </c>
      <c r="N198" t="n">
        <v>0</v>
      </c>
      <c r="O198" t="n">
        <v>0</v>
      </c>
      <c r="P198" t="n">
        <v>0</v>
      </c>
      <c r="Q198" t="n">
        <v>1</v>
      </c>
      <c r="R198" s="2" t="inlineStr">
        <is>
          <t>Dactylorhiza incarnata subsp. incarnata</t>
        </is>
      </c>
      <c r="S198">
        <f>HYPERLINK("https://klasma.github.io/Logging_2303/artfynd/A 16316-2025 artfynd.xlsx", "A 16316-2025")</f>
        <v/>
      </c>
      <c r="T198">
        <f>HYPERLINK("https://klasma.github.io/Logging_2303/kartor/A 16316-2025 karta.png", "A 16316-2025")</f>
        <v/>
      </c>
      <c r="V198">
        <f>HYPERLINK("https://klasma.github.io/Logging_2303/klagomål/A 16316-2025 FSC-klagomål.docx", "A 16316-2025")</f>
        <v/>
      </c>
      <c r="W198">
        <f>HYPERLINK("https://klasma.github.io/Logging_2303/klagomålsmail/A 16316-2025 FSC-klagomål mail.docx", "A 16316-2025")</f>
        <v/>
      </c>
      <c r="X198">
        <f>HYPERLINK("https://klasma.github.io/Logging_2303/tillsyn/A 16316-2025 tillsynsbegäran.docx", "A 16316-2025")</f>
        <v/>
      </c>
      <c r="Y198">
        <f>HYPERLINK("https://klasma.github.io/Logging_2303/tillsynsmail/A 16316-2025 tillsynsbegäran mail.docx", "A 16316-2025")</f>
        <v/>
      </c>
    </row>
    <row r="199" ht="15" customHeight="1">
      <c r="A199" t="inlineStr">
        <is>
          <t>A 27286-2022</t>
        </is>
      </c>
      <c r="B199" s="1" t="n">
        <v>44741</v>
      </c>
      <c r="C199" s="1" t="n">
        <v>45930</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1057-2024</t>
        </is>
      </c>
      <c r="B200" s="1" t="n">
        <v>45301</v>
      </c>
      <c r="C200" s="1" t="n">
        <v>45930</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26317-2024</t>
        </is>
      </c>
      <c r="B201" s="1" t="n">
        <v>45468</v>
      </c>
      <c r="C201" s="1" t="n">
        <v>45930</v>
      </c>
      <c r="D201" t="inlineStr">
        <is>
          <t>JÄMTLANDS LÄN</t>
        </is>
      </c>
      <c r="E201" t="inlineStr">
        <is>
          <t>RAGUNDA</t>
        </is>
      </c>
      <c r="F201" t="inlineStr">
        <is>
          <t>SCA</t>
        </is>
      </c>
      <c r="G201" t="n">
        <v>3.8</v>
      </c>
      <c r="H201" t="n">
        <v>0</v>
      </c>
      <c r="I201" t="n">
        <v>0</v>
      </c>
      <c r="J201" t="n">
        <v>1</v>
      </c>
      <c r="K201" t="n">
        <v>0</v>
      </c>
      <c r="L201" t="n">
        <v>0</v>
      </c>
      <c r="M201" t="n">
        <v>0</v>
      </c>
      <c r="N201" t="n">
        <v>0</v>
      </c>
      <c r="O201" t="n">
        <v>1</v>
      </c>
      <c r="P201" t="n">
        <v>0</v>
      </c>
      <c r="Q201" t="n">
        <v>1</v>
      </c>
      <c r="R201" s="2" t="inlineStr">
        <is>
          <t>Kortskaftad ärgspik</t>
        </is>
      </c>
      <c r="S201">
        <f>HYPERLINK("https://klasma.github.io/Logging_2303/artfynd/A 26317-2024 artfynd.xlsx", "A 26317-2024")</f>
        <v/>
      </c>
      <c r="T201">
        <f>HYPERLINK("https://klasma.github.io/Logging_2303/kartor/A 26317-2024 karta.png", "A 26317-2024")</f>
        <v/>
      </c>
      <c r="V201">
        <f>HYPERLINK("https://klasma.github.io/Logging_2303/klagomål/A 26317-2024 FSC-klagomål.docx", "A 26317-2024")</f>
        <v/>
      </c>
      <c r="W201">
        <f>HYPERLINK("https://klasma.github.io/Logging_2303/klagomålsmail/A 26317-2024 FSC-klagomål mail.docx", "A 26317-2024")</f>
        <v/>
      </c>
      <c r="X201">
        <f>HYPERLINK("https://klasma.github.io/Logging_2303/tillsyn/A 26317-2024 tillsynsbegäran.docx", "A 26317-2024")</f>
        <v/>
      </c>
      <c r="Y201">
        <f>HYPERLINK("https://klasma.github.io/Logging_2303/tillsynsmail/A 26317-2024 tillsynsbegäran mail.docx", "A 26317-2024")</f>
        <v/>
      </c>
    </row>
    <row r="202" ht="15" customHeight="1">
      <c r="A202" t="inlineStr">
        <is>
          <t>A 978-2024</t>
        </is>
      </c>
      <c r="B202" s="1" t="n">
        <v>45301</v>
      </c>
      <c r="C202" s="1" t="n">
        <v>45930</v>
      </c>
      <c r="D202" t="inlineStr">
        <is>
          <t>JÄMTLANDS LÄN</t>
        </is>
      </c>
      <c r="E202" t="inlineStr">
        <is>
          <t>RAGUNDA</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978-2024 artfynd.xlsx", "A 978-2024")</f>
        <v/>
      </c>
      <c r="T202">
        <f>HYPERLINK("https://klasma.github.io/Logging_2303/kartor/A 978-2024 karta.png", "A 978-2024")</f>
        <v/>
      </c>
      <c r="V202">
        <f>HYPERLINK("https://klasma.github.io/Logging_2303/klagomål/A 978-2024 FSC-klagomål.docx", "A 978-2024")</f>
        <v/>
      </c>
      <c r="W202">
        <f>HYPERLINK("https://klasma.github.io/Logging_2303/klagomålsmail/A 978-2024 FSC-klagomål mail.docx", "A 978-2024")</f>
        <v/>
      </c>
      <c r="X202">
        <f>HYPERLINK("https://klasma.github.io/Logging_2303/tillsyn/A 978-2024 tillsynsbegäran.docx", "A 978-2024")</f>
        <v/>
      </c>
      <c r="Y202">
        <f>HYPERLINK("https://klasma.github.io/Logging_2303/tillsynsmail/A 978-2024 tillsynsbegäran mail.docx", "A 978-2024")</f>
        <v/>
      </c>
      <c r="Z202">
        <f>HYPERLINK("https://klasma.github.io/Logging_2303/fåglar/A 978-2024 prioriterade fågelarter.docx", "A 978-2024")</f>
        <v/>
      </c>
    </row>
    <row r="203" ht="15" customHeight="1">
      <c r="A203" t="inlineStr">
        <is>
          <t>A 29921-2024</t>
        </is>
      </c>
      <c r="B203" s="1" t="n">
        <v>45487.92863425926</v>
      </c>
      <c r="C203" s="1" t="n">
        <v>45930</v>
      </c>
      <c r="D203" t="inlineStr">
        <is>
          <t>JÄMTLANDS LÄN</t>
        </is>
      </c>
      <c r="E203" t="inlineStr">
        <is>
          <t>RAGUNDA</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HYPERLINK("https://klasma.github.io/Logging_2303/artfynd/A 29921-2024 artfynd.xlsx", "A 29921-2024")</f>
        <v/>
      </c>
      <c r="T203">
        <f>HYPERLINK("https://klasma.github.io/Logging_2303/kartor/A 29921-2024 karta.png", "A 29921-2024")</f>
        <v/>
      </c>
      <c r="U203">
        <f>HYPERLINK("https://klasma.github.io/Logging_2303/knärot/A 29921-2024 karta knärot.png", "A 29921-2024")</f>
        <v/>
      </c>
      <c r="V203">
        <f>HYPERLINK("https://klasma.github.io/Logging_2303/klagomål/A 29921-2024 FSC-klagomål.docx", "A 29921-2024")</f>
        <v/>
      </c>
      <c r="W203">
        <f>HYPERLINK("https://klasma.github.io/Logging_2303/klagomålsmail/A 29921-2024 FSC-klagomål mail.docx", "A 29921-2024")</f>
        <v/>
      </c>
      <c r="X203">
        <f>HYPERLINK("https://klasma.github.io/Logging_2303/tillsyn/A 29921-2024 tillsynsbegäran.docx", "A 29921-2024")</f>
        <v/>
      </c>
      <c r="Y203">
        <f>HYPERLINK("https://klasma.github.io/Logging_2303/tillsynsmail/A 29921-2024 tillsynsbegäran mail.docx", "A 29921-2024")</f>
        <v/>
      </c>
    </row>
    <row r="204" ht="15" customHeight="1">
      <c r="A204" t="inlineStr">
        <is>
          <t>A 59104-2023</t>
        </is>
      </c>
      <c r="B204" s="1" t="n">
        <v>45252</v>
      </c>
      <c r="C204" s="1" t="n">
        <v>45930</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40841-2025</t>
        </is>
      </c>
      <c r="B205" s="1" t="n">
        <v>45897.531875</v>
      </c>
      <c r="C205" s="1" t="n">
        <v>45930</v>
      </c>
      <c r="D205" t="inlineStr">
        <is>
          <t>JÄMTLANDS LÄN</t>
        </is>
      </c>
      <c r="E205" t="inlineStr">
        <is>
          <t>RAGUNDA</t>
        </is>
      </c>
      <c r="F205" t="inlineStr">
        <is>
          <t>SCA</t>
        </is>
      </c>
      <c r="G205" t="n">
        <v>1.1</v>
      </c>
      <c r="H205" t="n">
        <v>0</v>
      </c>
      <c r="I205" t="n">
        <v>0</v>
      </c>
      <c r="J205" t="n">
        <v>1</v>
      </c>
      <c r="K205" t="n">
        <v>0</v>
      </c>
      <c r="L205" t="n">
        <v>0</v>
      </c>
      <c r="M205" t="n">
        <v>0</v>
      </c>
      <c r="N205" t="n">
        <v>0</v>
      </c>
      <c r="O205" t="n">
        <v>1</v>
      </c>
      <c r="P205" t="n">
        <v>0</v>
      </c>
      <c r="Q205" t="n">
        <v>1</v>
      </c>
      <c r="R205" s="2" t="inlineStr">
        <is>
          <t>Garnlav</t>
        </is>
      </c>
      <c r="S205">
        <f>HYPERLINK("https://klasma.github.io/Logging_2303/artfynd/A 40841-2025 artfynd.xlsx", "A 40841-2025")</f>
        <v/>
      </c>
      <c r="T205">
        <f>HYPERLINK("https://klasma.github.io/Logging_2303/kartor/A 40841-2025 karta.png", "A 40841-2025")</f>
        <v/>
      </c>
      <c r="V205">
        <f>HYPERLINK("https://klasma.github.io/Logging_2303/klagomål/A 40841-2025 FSC-klagomål.docx", "A 40841-2025")</f>
        <v/>
      </c>
      <c r="W205">
        <f>HYPERLINK("https://klasma.github.io/Logging_2303/klagomålsmail/A 40841-2025 FSC-klagomål mail.docx", "A 40841-2025")</f>
        <v/>
      </c>
      <c r="X205">
        <f>HYPERLINK("https://klasma.github.io/Logging_2303/tillsyn/A 40841-2025 tillsynsbegäran.docx", "A 40841-2025")</f>
        <v/>
      </c>
      <c r="Y205">
        <f>HYPERLINK("https://klasma.github.io/Logging_2303/tillsynsmail/A 40841-2025 tillsynsbegäran mail.docx", "A 40841-2025")</f>
        <v/>
      </c>
    </row>
    <row r="206" ht="15" customHeight="1">
      <c r="A206" t="inlineStr">
        <is>
          <t>A 30485-2024</t>
        </is>
      </c>
      <c r="B206" s="1" t="n">
        <v>45491.95008101852</v>
      </c>
      <c r="C206" s="1" t="n">
        <v>45930</v>
      </c>
      <c r="D206" t="inlineStr">
        <is>
          <t>JÄMTLANDS LÄN</t>
        </is>
      </c>
      <c r="E206" t="inlineStr">
        <is>
          <t>RAGUNDA</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HYPERLINK("https://klasma.github.io/Logging_2303/artfynd/A 30485-2024 artfynd.xlsx", "A 30485-2024")</f>
        <v/>
      </c>
      <c r="T206">
        <f>HYPERLINK("https://klasma.github.io/Logging_2303/kartor/A 30485-2024 karta.png", "A 30485-2024")</f>
        <v/>
      </c>
      <c r="V206">
        <f>HYPERLINK("https://klasma.github.io/Logging_2303/klagomål/A 30485-2024 FSC-klagomål.docx", "A 30485-2024")</f>
        <v/>
      </c>
      <c r="W206">
        <f>HYPERLINK("https://klasma.github.io/Logging_2303/klagomålsmail/A 30485-2024 FSC-klagomål mail.docx", "A 30485-2024")</f>
        <v/>
      </c>
      <c r="X206">
        <f>HYPERLINK("https://klasma.github.io/Logging_2303/tillsyn/A 30485-2024 tillsynsbegäran.docx", "A 30485-2024")</f>
        <v/>
      </c>
      <c r="Y206">
        <f>HYPERLINK("https://klasma.github.io/Logging_2303/tillsynsmail/A 30485-2024 tillsynsbegäran mail.docx", "A 30485-2024")</f>
        <v/>
      </c>
    </row>
    <row r="207" ht="15" customHeight="1">
      <c r="A207" t="inlineStr">
        <is>
          <t>A 31773-2021</t>
        </is>
      </c>
      <c r="B207" s="1" t="n">
        <v>44369</v>
      </c>
      <c r="C207" s="1" t="n">
        <v>45930</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23930-2024</t>
        </is>
      </c>
      <c r="B208" s="1" t="n">
        <v>45455.96184027778</v>
      </c>
      <c r="C208" s="1" t="n">
        <v>45930</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48477-2023</t>
        </is>
      </c>
      <c r="B209" s="1" t="n">
        <v>45206</v>
      </c>
      <c r="C209" s="1" t="n">
        <v>45930</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6703-2024</t>
        </is>
      </c>
      <c r="B210" s="1" t="n">
        <v>45341</v>
      </c>
      <c r="C210" s="1" t="n">
        <v>45930</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24443-2024</t>
        </is>
      </c>
      <c r="B211" s="1" t="n">
        <v>45457.9640625</v>
      </c>
      <c r="C211" s="1" t="n">
        <v>45930</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33432-2023</t>
        </is>
      </c>
      <c r="B212" s="1" t="n">
        <v>45128</v>
      </c>
      <c r="C212" s="1" t="n">
        <v>45930</v>
      </c>
      <c r="D212" t="inlineStr">
        <is>
          <t>JÄMTLANDS LÄN</t>
        </is>
      </c>
      <c r="E212" t="inlineStr">
        <is>
          <t>RAGUNDA</t>
        </is>
      </c>
      <c r="F212" t="inlineStr">
        <is>
          <t>SCA</t>
        </is>
      </c>
      <c r="G212" t="n">
        <v>10</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33432-2023 artfynd.xlsx", "A 33432-2023")</f>
        <v/>
      </c>
      <c r="T212">
        <f>HYPERLINK("https://klasma.github.io/Logging_2303/kartor/A 33432-2023 karta.png", "A 33432-2023")</f>
        <v/>
      </c>
      <c r="V212">
        <f>HYPERLINK("https://klasma.github.io/Logging_2303/klagomål/A 33432-2023 FSC-klagomål.docx", "A 33432-2023")</f>
        <v/>
      </c>
      <c r="W212">
        <f>HYPERLINK("https://klasma.github.io/Logging_2303/klagomålsmail/A 33432-2023 FSC-klagomål mail.docx", "A 33432-2023")</f>
        <v/>
      </c>
      <c r="X212">
        <f>HYPERLINK("https://klasma.github.io/Logging_2303/tillsyn/A 33432-2023 tillsynsbegäran.docx", "A 33432-2023")</f>
        <v/>
      </c>
      <c r="Y212">
        <f>HYPERLINK("https://klasma.github.io/Logging_2303/tillsynsmail/A 33432-2023 tillsynsbegäran mail.docx", "A 33432-2023")</f>
        <v/>
      </c>
      <c r="Z212">
        <f>HYPERLINK("https://klasma.github.io/Logging_2303/fåglar/A 33432-2023 prioriterade fågelarter.docx", "A 33432-2023")</f>
        <v/>
      </c>
    </row>
    <row r="213" ht="15" customHeight="1">
      <c r="A213" t="inlineStr">
        <is>
          <t>A 48429-2023</t>
        </is>
      </c>
      <c r="B213" s="1" t="n">
        <v>45205</v>
      </c>
      <c r="C213" s="1" t="n">
        <v>45930</v>
      </c>
      <c r="D213" t="inlineStr">
        <is>
          <t>JÄMTLANDS LÄN</t>
        </is>
      </c>
      <c r="E213" t="inlineStr">
        <is>
          <t>RAGUNDA</t>
        </is>
      </c>
      <c r="F213" t="inlineStr">
        <is>
          <t>SCA</t>
        </is>
      </c>
      <c r="G213" t="n">
        <v>1.8</v>
      </c>
      <c r="H213" t="n">
        <v>0</v>
      </c>
      <c r="I213" t="n">
        <v>1</v>
      </c>
      <c r="J213" t="n">
        <v>0</v>
      </c>
      <c r="K213" t="n">
        <v>0</v>
      </c>
      <c r="L213" t="n">
        <v>0</v>
      </c>
      <c r="M213" t="n">
        <v>0</v>
      </c>
      <c r="N213" t="n">
        <v>0</v>
      </c>
      <c r="O213" t="n">
        <v>0</v>
      </c>
      <c r="P213" t="n">
        <v>0</v>
      </c>
      <c r="Q213" t="n">
        <v>1</v>
      </c>
      <c r="R213" s="2" t="inlineStr">
        <is>
          <t>Dropptaggsvamp</t>
        </is>
      </c>
      <c r="S213">
        <f>HYPERLINK("https://klasma.github.io/Logging_2303/artfynd/A 48429-2023 artfynd.xlsx", "A 48429-2023")</f>
        <v/>
      </c>
      <c r="T213">
        <f>HYPERLINK("https://klasma.github.io/Logging_2303/kartor/A 48429-2023 karta.png", "A 48429-2023")</f>
        <v/>
      </c>
      <c r="V213">
        <f>HYPERLINK("https://klasma.github.io/Logging_2303/klagomål/A 48429-2023 FSC-klagomål.docx", "A 48429-2023")</f>
        <v/>
      </c>
      <c r="W213">
        <f>HYPERLINK("https://klasma.github.io/Logging_2303/klagomålsmail/A 48429-2023 FSC-klagomål mail.docx", "A 48429-2023")</f>
        <v/>
      </c>
      <c r="X213">
        <f>HYPERLINK("https://klasma.github.io/Logging_2303/tillsyn/A 48429-2023 tillsynsbegäran.docx", "A 48429-2023")</f>
        <v/>
      </c>
      <c r="Y213">
        <f>HYPERLINK("https://klasma.github.io/Logging_2303/tillsynsmail/A 48429-2023 tillsynsbegäran mail.docx", "A 48429-2023")</f>
        <v/>
      </c>
    </row>
    <row r="214" ht="15" customHeight="1">
      <c r="A214" t="inlineStr">
        <is>
          <t>A 18985-2023</t>
        </is>
      </c>
      <c r="B214" s="1" t="n">
        <v>45044</v>
      </c>
      <c r="C214" s="1" t="n">
        <v>45930</v>
      </c>
      <c r="D214" t="inlineStr">
        <is>
          <t>JÄMTLANDS LÄN</t>
        </is>
      </c>
      <c r="E214" t="inlineStr">
        <is>
          <t>RAGUNDA</t>
        </is>
      </c>
      <c r="F214" t="inlineStr">
        <is>
          <t>SCA</t>
        </is>
      </c>
      <c r="G214" t="n">
        <v>2.6</v>
      </c>
      <c r="H214" t="n">
        <v>0</v>
      </c>
      <c r="I214" t="n">
        <v>0</v>
      </c>
      <c r="J214" t="n">
        <v>1</v>
      </c>
      <c r="K214" t="n">
        <v>0</v>
      </c>
      <c r="L214" t="n">
        <v>0</v>
      </c>
      <c r="M214" t="n">
        <v>0</v>
      </c>
      <c r="N214" t="n">
        <v>0</v>
      </c>
      <c r="O214" t="n">
        <v>1</v>
      </c>
      <c r="P214" t="n">
        <v>0</v>
      </c>
      <c r="Q214" t="n">
        <v>1</v>
      </c>
      <c r="R214" s="2" t="inlineStr">
        <is>
          <t>Doftskinn</t>
        </is>
      </c>
      <c r="S214">
        <f>HYPERLINK("https://klasma.github.io/Logging_2303/artfynd/A 18985-2023 artfynd.xlsx", "A 18985-2023")</f>
        <v/>
      </c>
      <c r="T214">
        <f>HYPERLINK("https://klasma.github.io/Logging_2303/kartor/A 18985-2023 karta.png", "A 18985-2023")</f>
        <v/>
      </c>
      <c r="V214">
        <f>HYPERLINK("https://klasma.github.io/Logging_2303/klagomål/A 18985-2023 FSC-klagomål.docx", "A 18985-2023")</f>
        <v/>
      </c>
      <c r="W214">
        <f>HYPERLINK("https://klasma.github.io/Logging_2303/klagomålsmail/A 18985-2023 FSC-klagomål mail.docx", "A 18985-2023")</f>
        <v/>
      </c>
      <c r="X214">
        <f>HYPERLINK("https://klasma.github.io/Logging_2303/tillsyn/A 18985-2023 tillsynsbegäran.docx", "A 18985-2023")</f>
        <v/>
      </c>
      <c r="Y214">
        <f>HYPERLINK("https://klasma.github.io/Logging_2303/tillsynsmail/A 18985-2023 tillsynsbegäran mail.docx", "A 18985-2023")</f>
        <v/>
      </c>
    </row>
    <row r="215" ht="15" customHeight="1">
      <c r="A215" t="inlineStr">
        <is>
          <t>A 11040-2023</t>
        </is>
      </c>
      <c r="B215" s="1" t="n">
        <v>44991</v>
      </c>
      <c r="C215" s="1" t="n">
        <v>45930</v>
      </c>
      <c r="D215" t="inlineStr">
        <is>
          <t>JÄMTLANDS LÄN</t>
        </is>
      </c>
      <c r="E215" t="inlineStr">
        <is>
          <t>RAGUNDA</t>
        </is>
      </c>
      <c r="F215" t="inlineStr">
        <is>
          <t>SCA</t>
        </is>
      </c>
      <c r="G215" t="n">
        <v>10.2</v>
      </c>
      <c r="H215" t="n">
        <v>0</v>
      </c>
      <c r="I215" t="n">
        <v>0</v>
      </c>
      <c r="J215" t="n">
        <v>1</v>
      </c>
      <c r="K215" t="n">
        <v>0</v>
      </c>
      <c r="L215" t="n">
        <v>0</v>
      </c>
      <c r="M215" t="n">
        <v>0</v>
      </c>
      <c r="N215" t="n">
        <v>0</v>
      </c>
      <c r="O215" t="n">
        <v>1</v>
      </c>
      <c r="P215" t="n">
        <v>0</v>
      </c>
      <c r="Q215" t="n">
        <v>1</v>
      </c>
      <c r="R215" s="2" t="inlineStr">
        <is>
          <t>Lunglav</t>
        </is>
      </c>
      <c r="S215">
        <f>HYPERLINK("https://klasma.github.io/Logging_2303/artfynd/A 11040-2023 artfynd.xlsx", "A 11040-2023")</f>
        <v/>
      </c>
      <c r="T215">
        <f>HYPERLINK("https://klasma.github.io/Logging_2303/kartor/A 11040-2023 karta.png", "A 11040-2023")</f>
        <v/>
      </c>
      <c r="V215">
        <f>HYPERLINK("https://klasma.github.io/Logging_2303/klagomål/A 11040-2023 FSC-klagomål.docx", "A 11040-2023")</f>
        <v/>
      </c>
      <c r="W215">
        <f>HYPERLINK("https://klasma.github.io/Logging_2303/klagomålsmail/A 11040-2023 FSC-klagomål mail.docx", "A 11040-2023")</f>
        <v/>
      </c>
      <c r="X215">
        <f>HYPERLINK("https://klasma.github.io/Logging_2303/tillsyn/A 11040-2023 tillsynsbegäran.docx", "A 11040-2023")</f>
        <v/>
      </c>
      <c r="Y215">
        <f>HYPERLINK("https://klasma.github.io/Logging_2303/tillsynsmail/A 11040-2023 tillsynsbegäran mail.docx", "A 11040-2023")</f>
        <v/>
      </c>
    </row>
    <row r="216" ht="15" customHeight="1">
      <c r="A216" t="inlineStr">
        <is>
          <t>A 36854-2023</t>
        </is>
      </c>
      <c r="B216" s="1" t="n">
        <v>45153</v>
      </c>
      <c r="C216" s="1" t="n">
        <v>45930</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45930</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45930</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49091-2022</t>
        </is>
      </c>
      <c r="B219" s="1" t="n">
        <v>44860</v>
      </c>
      <c r="C219" s="1" t="n">
        <v>45930</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32069-2024</t>
        </is>
      </c>
      <c r="B220" s="1" t="n">
        <v>45510</v>
      </c>
      <c r="C220" s="1" t="n">
        <v>45930</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Lunglav</t>
        </is>
      </c>
      <c r="S220">
        <f>HYPERLINK("https://klasma.github.io/Logging_2303/artfynd/A 32069-2024 artfynd.xlsx", "A 32069-2024")</f>
        <v/>
      </c>
      <c r="T220">
        <f>HYPERLINK("https://klasma.github.io/Logging_2303/kartor/A 32069-2024 karta.png", "A 32069-2024")</f>
        <v/>
      </c>
      <c r="V220">
        <f>HYPERLINK("https://klasma.github.io/Logging_2303/klagomål/A 32069-2024 FSC-klagomål.docx", "A 32069-2024")</f>
        <v/>
      </c>
      <c r="W220">
        <f>HYPERLINK("https://klasma.github.io/Logging_2303/klagomålsmail/A 32069-2024 FSC-klagomål mail.docx", "A 32069-2024")</f>
        <v/>
      </c>
      <c r="X220">
        <f>HYPERLINK("https://klasma.github.io/Logging_2303/tillsyn/A 32069-2024 tillsynsbegäran.docx", "A 32069-2024")</f>
        <v/>
      </c>
      <c r="Y220">
        <f>HYPERLINK("https://klasma.github.io/Logging_2303/tillsynsmail/A 32069-2024 tillsynsbegäran mail.docx", "A 32069-2024")</f>
        <v/>
      </c>
    </row>
    <row r="221" ht="15" customHeight="1">
      <c r="A221" t="inlineStr">
        <is>
          <t>A 50164-2023</t>
        </is>
      </c>
      <c r="B221" s="1" t="n">
        <v>45208</v>
      </c>
      <c r="C221" s="1" t="n">
        <v>45930</v>
      </c>
      <c r="D221" t="inlineStr">
        <is>
          <t>JÄMTLANDS LÄN</t>
        </is>
      </c>
      <c r="E221" t="inlineStr">
        <is>
          <t>RAGUNDA</t>
        </is>
      </c>
      <c r="G221" t="n">
        <v>2.9</v>
      </c>
      <c r="H221" t="n">
        <v>0</v>
      </c>
      <c r="I221" t="n">
        <v>0</v>
      </c>
      <c r="J221" t="n">
        <v>0</v>
      </c>
      <c r="K221" t="n">
        <v>1</v>
      </c>
      <c r="L221" t="n">
        <v>0</v>
      </c>
      <c r="M221" t="n">
        <v>0</v>
      </c>
      <c r="N221" t="n">
        <v>0</v>
      </c>
      <c r="O221" t="n">
        <v>1</v>
      </c>
      <c r="P221" t="n">
        <v>1</v>
      </c>
      <c r="Q221" t="n">
        <v>1</v>
      </c>
      <c r="R221" s="2" t="inlineStr">
        <is>
          <t>Mindre barkplattbagge</t>
        </is>
      </c>
      <c r="S221">
        <f>HYPERLINK("https://klasma.github.io/Logging_2303/artfynd/A 50164-2023 artfynd.xlsx", "A 50164-2023")</f>
        <v/>
      </c>
      <c r="T221">
        <f>HYPERLINK("https://klasma.github.io/Logging_2303/kartor/A 50164-2023 karta.png", "A 50164-2023")</f>
        <v/>
      </c>
      <c r="V221">
        <f>HYPERLINK("https://klasma.github.io/Logging_2303/klagomål/A 50164-2023 FSC-klagomål.docx", "A 50164-2023")</f>
        <v/>
      </c>
      <c r="W221">
        <f>HYPERLINK("https://klasma.github.io/Logging_2303/klagomålsmail/A 50164-2023 FSC-klagomål mail.docx", "A 50164-2023")</f>
        <v/>
      </c>
      <c r="X221">
        <f>HYPERLINK("https://klasma.github.io/Logging_2303/tillsyn/A 50164-2023 tillsynsbegäran.docx", "A 50164-2023")</f>
        <v/>
      </c>
      <c r="Y221">
        <f>HYPERLINK("https://klasma.github.io/Logging_2303/tillsynsmail/A 50164-2023 tillsynsbegäran mail.docx", "A 50164-2023")</f>
        <v/>
      </c>
    </row>
    <row r="222" ht="15" customHeight="1">
      <c r="A222" t="inlineStr">
        <is>
          <t>A 2929-2024</t>
        </is>
      </c>
      <c r="B222" s="1" t="n">
        <v>45315</v>
      </c>
      <c r="C222" s="1" t="n">
        <v>45930</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50233-2024</t>
        </is>
      </c>
      <c r="B223" s="1" t="n">
        <v>45600.55265046296</v>
      </c>
      <c r="C223" s="1" t="n">
        <v>45930</v>
      </c>
      <c r="D223" t="inlineStr">
        <is>
          <t>JÄMTLANDS LÄN</t>
        </is>
      </c>
      <c r="E223" t="inlineStr">
        <is>
          <t>RAGUNDA</t>
        </is>
      </c>
      <c r="F223" t="inlineStr">
        <is>
          <t>SCA</t>
        </is>
      </c>
      <c r="G223" t="n">
        <v>5.6</v>
      </c>
      <c r="H223" t="n">
        <v>0</v>
      </c>
      <c r="I223" t="n">
        <v>0</v>
      </c>
      <c r="J223" t="n">
        <v>1</v>
      </c>
      <c r="K223" t="n">
        <v>0</v>
      </c>
      <c r="L223" t="n">
        <v>0</v>
      </c>
      <c r="M223" t="n">
        <v>0</v>
      </c>
      <c r="N223" t="n">
        <v>0</v>
      </c>
      <c r="O223" t="n">
        <v>1</v>
      </c>
      <c r="P223" t="n">
        <v>0</v>
      </c>
      <c r="Q223" t="n">
        <v>1</v>
      </c>
      <c r="R223" s="2" t="inlineStr">
        <is>
          <t>Granticka</t>
        </is>
      </c>
      <c r="S223">
        <f>HYPERLINK("https://klasma.github.io/Logging_2303/artfynd/A 50233-2024 artfynd.xlsx", "A 50233-2024")</f>
        <v/>
      </c>
      <c r="T223">
        <f>HYPERLINK("https://klasma.github.io/Logging_2303/kartor/A 50233-2024 karta.png", "A 50233-2024")</f>
        <v/>
      </c>
      <c r="V223">
        <f>HYPERLINK("https://klasma.github.io/Logging_2303/klagomål/A 50233-2024 FSC-klagomål.docx", "A 50233-2024")</f>
        <v/>
      </c>
      <c r="W223">
        <f>HYPERLINK("https://klasma.github.io/Logging_2303/klagomålsmail/A 50233-2024 FSC-klagomål mail.docx", "A 50233-2024")</f>
        <v/>
      </c>
      <c r="X223">
        <f>HYPERLINK("https://klasma.github.io/Logging_2303/tillsyn/A 50233-2024 tillsynsbegäran.docx", "A 50233-2024")</f>
        <v/>
      </c>
      <c r="Y223">
        <f>HYPERLINK("https://klasma.github.io/Logging_2303/tillsynsmail/A 50233-2024 tillsynsbegäran mail.docx", "A 50233-2024")</f>
        <v/>
      </c>
    </row>
    <row r="224" ht="15" customHeight="1">
      <c r="A224" t="inlineStr">
        <is>
          <t>A 58846-2024</t>
        </is>
      </c>
      <c r="B224" s="1" t="n">
        <v>45636.3863425926</v>
      </c>
      <c r="C224" s="1" t="n">
        <v>45930</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45930</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21212-2025</t>
        </is>
      </c>
      <c r="B226" s="1" t="n">
        <v>45779.48993055556</v>
      </c>
      <c r="C226" s="1" t="n">
        <v>45930</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19751-2025</t>
        </is>
      </c>
      <c r="B227" s="1" t="n">
        <v>45771.3859837963</v>
      </c>
      <c r="C227" s="1" t="n">
        <v>45930</v>
      </c>
      <c r="D227" t="inlineStr">
        <is>
          <t>JÄMTLANDS LÄN</t>
        </is>
      </c>
      <c r="E227" t="inlineStr">
        <is>
          <t>RAGUNDA</t>
        </is>
      </c>
      <c r="F227" t="inlineStr">
        <is>
          <t>SCA</t>
        </is>
      </c>
      <c r="G227" t="n">
        <v>1.1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19751-2025 artfynd.xlsx", "A 19751-2025")</f>
        <v/>
      </c>
      <c r="T227">
        <f>HYPERLINK("https://klasma.github.io/Logging_2303/kartor/A 19751-2025 karta.png", "A 19751-2025")</f>
        <v/>
      </c>
      <c r="V227">
        <f>HYPERLINK("https://klasma.github.io/Logging_2303/klagomål/A 19751-2025 FSC-klagomål.docx", "A 19751-2025")</f>
        <v/>
      </c>
      <c r="W227">
        <f>HYPERLINK("https://klasma.github.io/Logging_2303/klagomålsmail/A 19751-2025 FSC-klagomål mail.docx", "A 19751-2025")</f>
        <v/>
      </c>
      <c r="X227">
        <f>HYPERLINK("https://klasma.github.io/Logging_2303/tillsyn/A 19751-2025 tillsynsbegäran.docx", "A 19751-2025")</f>
        <v/>
      </c>
      <c r="Y227">
        <f>HYPERLINK("https://klasma.github.io/Logging_2303/tillsynsmail/A 19751-2025 tillsynsbegäran mail.docx", "A 19751-2025")</f>
        <v/>
      </c>
      <c r="Z227">
        <f>HYPERLINK("https://klasma.github.io/Logging_2303/fåglar/A 19751-2025 prioriterade fågelarter.docx", "A 19751-2025")</f>
        <v/>
      </c>
    </row>
    <row r="228" ht="15" customHeight="1">
      <c r="A228" t="inlineStr">
        <is>
          <t>A 36224-2023</t>
        </is>
      </c>
      <c r="B228" s="1" t="n">
        <v>45149</v>
      </c>
      <c r="C228" s="1" t="n">
        <v>45930</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17340-2023</t>
        </is>
      </c>
      <c r="B229" s="1" t="n">
        <v>45033</v>
      </c>
      <c r="C229" s="1" t="n">
        <v>45930</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27573-2025</t>
        </is>
      </c>
      <c r="B230" s="1" t="n">
        <v>45813.49061342593</v>
      </c>
      <c r="C230" s="1" t="n">
        <v>45930</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16724-2025</t>
        </is>
      </c>
      <c r="B231" s="1" t="n">
        <v>45754.51064814815</v>
      </c>
      <c r="C231" s="1" t="n">
        <v>45930</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62072-2023</t>
        </is>
      </c>
      <c r="B232" s="1" t="n">
        <v>45266</v>
      </c>
      <c r="C232" s="1" t="n">
        <v>45930</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30390-2025</t>
        </is>
      </c>
      <c r="B233" s="1" t="n">
        <v>45827.57371527778</v>
      </c>
      <c r="C233" s="1" t="n">
        <v>45930</v>
      </c>
      <c r="D233" t="inlineStr">
        <is>
          <t>JÄMTLANDS LÄN</t>
        </is>
      </c>
      <c r="E233" t="inlineStr">
        <is>
          <t>RAGUNDA</t>
        </is>
      </c>
      <c r="F233" t="inlineStr">
        <is>
          <t>SCA</t>
        </is>
      </c>
      <c r="G233" t="n">
        <v>11.2</v>
      </c>
      <c r="H233" t="n">
        <v>0</v>
      </c>
      <c r="I233" t="n">
        <v>0</v>
      </c>
      <c r="J233" t="n">
        <v>1</v>
      </c>
      <c r="K233" t="n">
        <v>0</v>
      </c>
      <c r="L233" t="n">
        <v>0</v>
      </c>
      <c r="M233" t="n">
        <v>0</v>
      </c>
      <c r="N233" t="n">
        <v>0</v>
      </c>
      <c r="O233" t="n">
        <v>1</v>
      </c>
      <c r="P233" t="n">
        <v>0</v>
      </c>
      <c r="Q233" t="n">
        <v>1</v>
      </c>
      <c r="R233" s="2" t="inlineStr">
        <is>
          <t>Lunglav</t>
        </is>
      </c>
      <c r="S233">
        <f>HYPERLINK("https://klasma.github.io/Logging_2303/artfynd/A 30390-2025 artfynd.xlsx", "A 30390-2025")</f>
        <v/>
      </c>
      <c r="T233">
        <f>HYPERLINK("https://klasma.github.io/Logging_2303/kartor/A 30390-2025 karta.png", "A 30390-2025")</f>
        <v/>
      </c>
      <c r="U233">
        <f>HYPERLINK("https://klasma.github.io/Logging_2303/knärot/A 30390-2025 karta knärot.png", "A 30390-2025")</f>
        <v/>
      </c>
      <c r="V233">
        <f>HYPERLINK("https://klasma.github.io/Logging_2303/klagomål/A 30390-2025 FSC-klagomål.docx", "A 30390-2025")</f>
        <v/>
      </c>
      <c r="W233">
        <f>HYPERLINK("https://klasma.github.io/Logging_2303/klagomålsmail/A 30390-2025 FSC-klagomål mail.docx", "A 30390-2025")</f>
        <v/>
      </c>
      <c r="X233">
        <f>HYPERLINK("https://klasma.github.io/Logging_2303/tillsyn/A 30390-2025 tillsynsbegäran.docx", "A 30390-2025")</f>
        <v/>
      </c>
      <c r="Y233">
        <f>HYPERLINK("https://klasma.github.io/Logging_2303/tillsynsmail/A 30390-2025 tillsynsbegäran mail.docx", "A 30390-2025")</f>
        <v/>
      </c>
    </row>
    <row r="234" ht="15" customHeight="1">
      <c r="A234" t="inlineStr">
        <is>
          <t>A 25694-2023</t>
        </is>
      </c>
      <c r="B234" s="1" t="n">
        <v>45089</v>
      </c>
      <c r="C234" s="1" t="n">
        <v>45930</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22054-2025</t>
        </is>
      </c>
      <c r="B235" s="1" t="n">
        <v>45785.36525462963</v>
      </c>
      <c r="C235" s="1" t="n">
        <v>45930</v>
      </c>
      <c r="D235" t="inlineStr">
        <is>
          <t>JÄMTLANDS LÄN</t>
        </is>
      </c>
      <c r="E235" t="inlineStr">
        <is>
          <t>RAGUNDA</t>
        </is>
      </c>
      <c r="F235" t="inlineStr">
        <is>
          <t>SCA</t>
        </is>
      </c>
      <c r="G235" t="n">
        <v>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22054-2025 artfynd.xlsx", "A 22054-2025")</f>
        <v/>
      </c>
      <c r="T235">
        <f>HYPERLINK("https://klasma.github.io/Logging_2303/kartor/A 22054-2025 karta.png", "A 22054-2025")</f>
        <v/>
      </c>
      <c r="V235">
        <f>HYPERLINK("https://klasma.github.io/Logging_2303/klagomål/A 22054-2025 FSC-klagomål.docx", "A 22054-2025")</f>
        <v/>
      </c>
      <c r="W235">
        <f>HYPERLINK("https://klasma.github.io/Logging_2303/klagomålsmail/A 22054-2025 FSC-klagomål mail.docx", "A 22054-2025")</f>
        <v/>
      </c>
      <c r="X235">
        <f>HYPERLINK("https://klasma.github.io/Logging_2303/tillsyn/A 22054-2025 tillsynsbegäran.docx", "A 22054-2025")</f>
        <v/>
      </c>
      <c r="Y235">
        <f>HYPERLINK("https://klasma.github.io/Logging_2303/tillsynsmail/A 22054-2025 tillsynsbegäran mail.docx", "A 22054-2025")</f>
        <v/>
      </c>
      <c r="Z235">
        <f>HYPERLINK("https://klasma.github.io/Logging_2303/fåglar/A 22054-2025 prioriterade fågelarter.docx", "A 22054-2025")</f>
        <v/>
      </c>
    </row>
    <row r="236" ht="15" customHeight="1">
      <c r="A236" t="inlineStr">
        <is>
          <t>A 49770-2024</t>
        </is>
      </c>
      <c r="B236" s="1" t="n">
        <v>45597.34461805555</v>
      </c>
      <c r="C236" s="1" t="n">
        <v>45930</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32445-2025</t>
        </is>
      </c>
      <c r="B237" s="1" t="n">
        <v>45838.38627314815</v>
      </c>
      <c r="C237" s="1" t="n">
        <v>45930</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32445-2025 artfynd.xlsx", "A 32445-2025")</f>
        <v/>
      </c>
      <c r="T237">
        <f>HYPERLINK("https://klasma.github.io/Logging_2303/kartor/A 32445-2025 karta.png", "A 32445-2025")</f>
        <v/>
      </c>
      <c r="V237">
        <f>HYPERLINK("https://klasma.github.io/Logging_2303/klagomål/A 32445-2025 FSC-klagomål.docx", "A 32445-2025")</f>
        <v/>
      </c>
      <c r="W237">
        <f>HYPERLINK("https://klasma.github.io/Logging_2303/klagomålsmail/A 32445-2025 FSC-klagomål mail.docx", "A 32445-2025")</f>
        <v/>
      </c>
      <c r="X237">
        <f>HYPERLINK("https://klasma.github.io/Logging_2303/tillsyn/A 32445-2025 tillsynsbegäran.docx", "A 32445-2025")</f>
        <v/>
      </c>
      <c r="Y237">
        <f>HYPERLINK("https://klasma.github.io/Logging_2303/tillsynsmail/A 32445-2025 tillsynsbegäran mail.docx", "A 32445-2025")</f>
        <v/>
      </c>
      <c r="Z237">
        <f>HYPERLINK("https://klasma.github.io/Logging_2303/fåglar/A 32445-2025 prioriterade fågelarter.docx", "A 32445-2025")</f>
        <v/>
      </c>
    </row>
    <row r="238" ht="15" customHeight="1">
      <c r="A238" t="inlineStr">
        <is>
          <t>A 36757-2023</t>
        </is>
      </c>
      <c r="B238" s="1" t="n">
        <v>45153</v>
      </c>
      <c r="C238" s="1" t="n">
        <v>45930</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34474-2025</t>
        </is>
      </c>
      <c r="B239" s="1" t="n">
        <v>45847.36528935185</v>
      </c>
      <c r="C239" s="1" t="n">
        <v>45930</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43404-2023</t>
        </is>
      </c>
      <c r="B240" s="1" t="n">
        <v>45183</v>
      </c>
      <c r="C240" s="1" t="n">
        <v>45930</v>
      </c>
      <c r="D240" t="inlineStr">
        <is>
          <t>JÄMTLANDS LÄN</t>
        </is>
      </c>
      <c r="E240" t="inlineStr">
        <is>
          <t>RAGUNDA</t>
        </is>
      </c>
      <c r="F240" t="inlineStr">
        <is>
          <t>SCA</t>
        </is>
      </c>
      <c r="G240" t="n">
        <v>0.9</v>
      </c>
      <c r="H240" t="n">
        <v>0</v>
      </c>
      <c r="I240" t="n">
        <v>1</v>
      </c>
      <c r="J240" t="n">
        <v>0</v>
      </c>
      <c r="K240" t="n">
        <v>0</v>
      </c>
      <c r="L240" t="n">
        <v>0</v>
      </c>
      <c r="M240" t="n">
        <v>0</v>
      </c>
      <c r="N240" t="n">
        <v>0</v>
      </c>
      <c r="O240" t="n">
        <v>0</v>
      </c>
      <c r="P240" t="n">
        <v>0</v>
      </c>
      <c r="Q240" t="n">
        <v>1</v>
      </c>
      <c r="R240" s="2" t="inlineStr">
        <is>
          <t>Kryddspindling</t>
        </is>
      </c>
      <c r="S240">
        <f>HYPERLINK("https://klasma.github.io/Logging_2303/artfynd/A 43404-2023 artfynd.xlsx", "A 43404-2023")</f>
        <v/>
      </c>
      <c r="T240">
        <f>HYPERLINK("https://klasma.github.io/Logging_2303/kartor/A 43404-2023 karta.png", "A 43404-2023")</f>
        <v/>
      </c>
      <c r="V240">
        <f>HYPERLINK("https://klasma.github.io/Logging_2303/klagomål/A 43404-2023 FSC-klagomål.docx", "A 43404-2023")</f>
        <v/>
      </c>
      <c r="W240">
        <f>HYPERLINK("https://klasma.github.io/Logging_2303/klagomålsmail/A 43404-2023 FSC-klagomål mail.docx", "A 43404-2023")</f>
        <v/>
      </c>
      <c r="X240">
        <f>HYPERLINK("https://klasma.github.io/Logging_2303/tillsyn/A 43404-2023 tillsynsbegäran.docx", "A 43404-2023")</f>
        <v/>
      </c>
      <c r="Y240">
        <f>HYPERLINK("https://klasma.github.io/Logging_2303/tillsynsmail/A 43404-2023 tillsynsbegäran mail.docx", "A 43404-2023")</f>
        <v/>
      </c>
    </row>
    <row r="241" ht="15" customHeight="1">
      <c r="A241" t="inlineStr">
        <is>
          <t>A 61324-2024</t>
        </is>
      </c>
      <c r="B241" s="1" t="n">
        <v>45646.34438657408</v>
      </c>
      <c r="C241" s="1" t="n">
        <v>45930</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45930</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45930</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19728-2025</t>
        </is>
      </c>
      <c r="B244" s="1" t="n">
        <v>45771.36548611111</v>
      </c>
      <c r="C244" s="1" t="n">
        <v>45930</v>
      </c>
      <c r="D244" t="inlineStr">
        <is>
          <t>JÄMTLANDS LÄN</t>
        </is>
      </c>
      <c r="E244" t="inlineStr">
        <is>
          <t>RAGUNDA</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19728-2025 artfynd.xlsx", "A 19728-2025")</f>
        <v/>
      </c>
      <c r="T244">
        <f>HYPERLINK("https://klasma.github.io/Logging_2303/kartor/A 19728-2025 karta.png", "A 19728-2025")</f>
        <v/>
      </c>
      <c r="V244">
        <f>HYPERLINK("https://klasma.github.io/Logging_2303/klagomål/A 19728-2025 FSC-klagomål.docx", "A 19728-2025")</f>
        <v/>
      </c>
      <c r="W244">
        <f>HYPERLINK("https://klasma.github.io/Logging_2303/klagomålsmail/A 19728-2025 FSC-klagomål mail.docx", "A 19728-2025")</f>
        <v/>
      </c>
      <c r="X244">
        <f>HYPERLINK("https://klasma.github.io/Logging_2303/tillsyn/A 19728-2025 tillsynsbegäran.docx", "A 19728-2025")</f>
        <v/>
      </c>
      <c r="Y244">
        <f>HYPERLINK("https://klasma.github.io/Logging_2303/tillsynsmail/A 19728-2025 tillsynsbegäran mail.docx", "A 19728-2025")</f>
        <v/>
      </c>
      <c r="Z244">
        <f>HYPERLINK("https://klasma.github.io/Logging_2303/fåglar/A 19728-2025 prioriterade fågelarter.docx", "A 19728-2025")</f>
        <v/>
      </c>
    </row>
    <row r="245" ht="15" customHeight="1">
      <c r="A245" t="inlineStr">
        <is>
          <t>A 20774-2024</t>
        </is>
      </c>
      <c r="B245" s="1" t="n">
        <v>45436.94644675926</v>
      </c>
      <c r="C245" s="1" t="n">
        <v>45930</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52898-2020</t>
        </is>
      </c>
      <c r="B246" s="1" t="n">
        <v>44119</v>
      </c>
      <c r="C246" s="1" t="n">
        <v>45930</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57941-2020</t>
        </is>
      </c>
      <c r="B247" s="1" t="n">
        <v>44141</v>
      </c>
      <c r="C247" s="1" t="n">
        <v>45930</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45930</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45930</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45930</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45930</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45930</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45930</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45930</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45930</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45930</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45930</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45930</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45930</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45930</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45930</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45930</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45930</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45930</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45930</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45930</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45930</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45930</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45930</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45930</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45930</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45930</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45930</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45930</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45930</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45930</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45930</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45930</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45930</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45930</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45930</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45930</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45930</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45930</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45930</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45930</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45930</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45930</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45930</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45930</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45930</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45930</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45930</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45930</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45930</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45930</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45930</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45930</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45930</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45930</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45930</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45930</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45930</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45930</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45930</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45930</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45930</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45930</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45930</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45930</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45930</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45930</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45930</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45930</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45930</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45930</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45930</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45930</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45930</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45930</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45930</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45930</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45930</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45930</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45930</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45930</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45930</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45930</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45930</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45930</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45930</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45930</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45930</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45930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45930</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45930</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45930</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45930</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45930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45930</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45930</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45930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10120-2022</t>
        </is>
      </c>
      <c r="B343" s="1" t="n">
        <v>44621</v>
      </c>
      <c r="C343" s="1" t="n">
        <v>45930</v>
      </c>
      <c r="D343" t="inlineStr">
        <is>
          <t>JÄMTLANDS LÄN</t>
        </is>
      </c>
      <c r="E343" t="inlineStr">
        <is>
          <t>RAGUNDA</t>
        </is>
      </c>
      <c r="G343" t="n">
        <v>0.4</v>
      </c>
      <c r="H343" t="n">
        <v>0</v>
      </c>
      <c r="I343" t="n">
        <v>0</v>
      </c>
      <c r="J343" t="n">
        <v>0</v>
      </c>
      <c r="K343" t="n">
        <v>0</v>
      </c>
      <c r="L343" t="n">
        <v>0</v>
      </c>
      <c r="M343" t="n">
        <v>0</v>
      </c>
      <c r="N343" t="n">
        <v>0</v>
      </c>
      <c r="O343" t="n">
        <v>0</v>
      </c>
      <c r="P343" t="n">
        <v>0</v>
      </c>
      <c r="Q343" t="n">
        <v>0</v>
      </c>
      <c r="R343" s="2" t="inlineStr"/>
    </row>
    <row r="344" ht="15" customHeight="1">
      <c r="A344" t="inlineStr">
        <is>
          <t>A 13964-2022</t>
        </is>
      </c>
      <c r="B344" s="1" t="n">
        <v>44650</v>
      </c>
      <c r="C344" s="1" t="n">
        <v>45930</v>
      </c>
      <c r="D344" t="inlineStr">
        <is>
          <t>JÄMTLANDS LÄN</t>
        </is>
      </c>
      <c r="E344" t="inlineStr">
        <is>
          <t>RAGUNDA</t>
        </is>
      </c>
      <c r="G344" t="n">
        <v>2.6</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45930</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45930</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45930</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57246-2020</t>
        </is>
      </c>
      <c r="B348" s="1" t="n">
        <v>44138</v>
      </c>
      <c r="C348" s="1" t="n">
        <v>45930</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9187-2022</t>
        </is>
      </c>
      <c r="B349" s="1" t="n">
        <v>44615</v>
      </c>
      <c r="C349" s="1" t="n">
        <v>45930</v>
      </c>
      <c r="D349" t="inlineStr">
        <is>
          <t>JÄMTLANDS LÄN</t>
        </is>
      </c>
      <c r="E349" t="inlineStr">
        <is>
          <t>RAGUNDA</t>
        </is>
      </c>
      <c r="G349" t="n">
        <v>2</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45930</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57713-2020</t>
        </is>
      </c>
      <c r="B351" s="1" t="n">
        <v>44140</v>
      </c>
      <c r="C351" s="1" t="n">
        <v>45930</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45930</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45930</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6177-2022</t>
        </is>
      </c>
      <c r="B354" s="1" t="n">
        <v>44599.98685185185</v>
      </c>
      <c r="C354" s="1" t="n">
        <v>45930</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57730-2020</t>
        </is>
      </c>
      <c r="B355" s="1" t="n">
        <v>44140</v>
      </c>
      <c r="C355" s="1" t="n">
        <v>45930</v>
      </c>
      <c r="D355" t="inlineStr">
        <is>
          <t>JÄMTLANDS LÄN</t>
        </is>
      </c>
      <c r="E355" t="inlineStr">
        <is>
          <t>RAGUNDA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35749-2022</t>
        </is>
      </c>
      <c r="B356" s="1" t="n">
        <v>44799.94394675926</v>
      </c>
      <c r="C356" s="1" t="n">
        <v>45930</v>
      </c>
      <c r="D356" t="inlineStr">
        <is>
          <t>JÄMTLANDS LÄN</t>
        </is>
      </c>
      <c r="E356" t="inlineStr">
        <is>
          <t>RAGUNDA</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1858-2022</t>
        </is>
      </c>
      <c r="B357" s="1" t="n">
        <v>44574</v>
      </c>
      <c r="C357" s="1" t="n">
        <v>45930</v>
      </c>
      <c r="D357" t="inlineStr">
        <is>
          <t>JÄMTLANDS LÄN</t>
        </is>
      </c>
      <c r="E357" t="inlineStr">
        <is>
          <t>RAGUNDA</t>
        </is>
      </c>
      <c r="G357" t="n">
        <v>5.7</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45930</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54836-2022</t>
        </is>
      </c>
      <c r="B359" s="1" t="n">
        <v>44883.94918981481</v>
      </c>
      <c r="C359" s="1" t="n">
        <v>45930</v>
      </c>
      <c r="D359" t="inlineStr">
        <is>
          <t>JÄMTLANDS LÄN</t>
        </is>
      </c>
      <c r="E359" t="inlineStr">
        <is>
          <t>RAGUNDA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53522-2020</t>
        </is>
      </c>
      <c r="B360" s="1" t="n">
        <v>44124</v>
      </c>
      <c r="C360" s="1" t="n">
        <v>45930</v>
      </c>
      <c r="D360" t="inlineStr">
        <is>
          <t>JÄMTLANDS LÄN</t>
        </is>
      </c>
      <c r="E360" t="inlineStr">
        <is>
          <t>RAGUNDA</t>
        </is>
      </c>
      <c r="G360" t="n">
        <v>1.3</v>
      </c>
      <c r="H360" t="n">
        <v>0</v>
      </c>
      <c r="I360" t="n">
        <v>0</v>
      </c>
      <c r="J360" t="n">
        <v>0</v>
      </c>
      <c r="K360" t="n">
        <v>0</v>
      </c>
      <c r="L360" t="n">
        <v>0</v>
      </c>
      <c r="M360" t="n">
        <v>0</v>
      </c>
      <c r="N360" t="n">
        <v>0</v>
      </c>
      <c r="O360" t="n">
        <v>0</v>
      </c>
      <c r="P360" t="n">
        <v>0</v>
      </c>
      <c r="Q360" t="n">
        <v>0</v>
      </c>
      <c r="R360" s="2" t="inlineStr"/>
    </row>
    <row r="361" ht="15" customHeight="1">
      <c r="A361" t="inlineStr">
        <is>
          <t>A 59996-2021</t>
        </is>
      </c>
      <c r="B361" s="1" t="n">
        <v>44494.93930555556</v>
      </c>
      <c r="C361" s="1" t="n">
        <v>45930</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38733-2022</t>
        </is>
      </c>
      <c r="B362" s="1" t="n">
        <v>44815</v>
      </c>
      <c r="C362" s="1" t="n">
        <v>45930</v>
      </c>
      <c r="D362" t="inlineStr">
        <is>
          <t>JÄMTLANDS LÄN</t>
        </is>
      </c>
      <c r="E362" t="inlineStr">
        <is>
          <t>RAGUNDA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2336-2022</t>
        </is>
      </c>
      <c r="B363" s="1" t="n">
        <v>44578.92284722222</v>
      </c>
      <c r="C363" s="1" t="n">
        <v>45930</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58984-2021</t>
        </is>
      </c>
      <c r="B364" s="1" t="n">
        <v>44489.94711805556</v>
      </c>
      <c r="C364" s="1" t="n">
        <v>45930</v>
      </c>
      <c r="D364" t="inlineStr">
        <is>
          <t>JÄMTLANDS LÄN</t>
        </is>
      </c>
      <c r="E364" t="inlineStr">
        <is>
          <t>RAGUNDA</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22655-2021</t>
        </is>
      </c>
      <c r="B365" s="1" t="n">
        <v>44322</v>
      </c>
      <c r="C365" s="1" t="n">
        <v>45930</v>
      </c>
      <c r="D365" t="inlineStr">
        <is>
          <t>JÄMTLANDS LÄN</t>
        </is>
      </c>
      <c r="E365" t="inlineStr">
        <is>
          <t>RAGUNDA</t>
        </is>
      </c>
      <c r="G365" t="n">
        <v>5.8</v>
      </c>
      <c r="H365" t="n">
        <v>0</v>
      </c>
      <c r="I365" t="n">
        <v>0</v>
      </c>
      <c r="J365" t="n">
        <v>0</v>
      </c>
      <c r="K365" t="n">
        <v>0</v>
      </c>
      <c r="L365" t="n">
        <v>0</v>
      </c>
      <c r="M365" t="n">
        <v>0</v>
      </c>
      <c r="N365" t="n">
        <v>0</v>
      </c>
      <c r="O365" t="n">
        <v>0</v>
      </c>
      <c r="P365" t="n">
        <v>0</v>
      </c>
      <c r="Q365" t="n">
        <v>0</v>
      </c>
      <c r="R365" s="2" t="inlineStr"/>
    </row>
    <row r="366" ht="15" customHeight="1">
      <c r="A366" t="inlineStr">
        <is>
          <t>A 40978-2022</t>
        </is>
      </c>
      <c r="B366" s="1" t="n">
        <v>44823</v>
      </c>
      <c r="C366" s="1" t="n">
        <v>45930</v>
      </c>
      <c r="D366" t="inlineStr">
        <is>
          <t>JÄMTLANDS LÄN</t>
        </is>
      </c>
      <c r="E366" t="inlineStr">
        <is>
          <t>RAGUNDA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24741-2022</t>
        </is>
      </c>
      <c r="B367" s="1" t="n">
        <v>44727</v>
      </c>
      <c r="C367" s="1" t="n">
        <v>45930</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21194-2022</t>
        </is>
      </c>
      <c r="B368" s="1" t="n">
        <v>44704.9422337963</v>
      </c>
      <c r="C368" s="1" t="n">
        <v>45930</v>
      </c>
      <c r="D368" t="inlineStr">
        <is>
          <t>JÄMTLANDS LÄN</t>
        </is>
      </c>
      <c r="E368" t="inlineStr">
        <is>
          <t>RAGUNDA</t>
        </is>
      </c>
      <c r="F368" t="inlineStr">
        <is>
          <t>SCA</t>
        </is>
      </c>
      <c r="G368" t="n">
        <v>10.6</v>
      </c>
      <c r="H368" t="n">
        <v>0</v>
      </c>
      <c r="I368" t="n">
        <v>0</v>
      </c>
      <c r="J368" t="n">
        <v>0</v>
      </c>
      <c r="K368" t="n">
        <v>0</v>
      </c>
      <c r="L368" t="n">
        <v>0</v>
      </c>
      <c r="M368" t="n">
        <v>0</v>
      </c>
      <c r="N368" t="n">
        <v>0</v>
      </c>
      <c r="O368" t="n">
        <v>0</v>
      </c>
      <c r="P368" t="n">
        <v>0</v>
      </c>
      <c r="Q368" t="n">
        <v>0</v>
      </c>
      <c r="R368" s="2" t="inlineStr"/>
    </row>
    <row r="369" ht="15" customHeight="1">
      <c r="A369" t="inlineStr">
        <is>
          <t>A 60313-2021</t>
        </is>
      </c>
      <c r="B369" s="1" t="n">
        <v>44495</v>
      </c>
      <c r="C369" s="1" t="n">
        <v>45930</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48536-2022</t>
        </is>
      </c>
      <c r="B370" s="1" t="n">
        <v>44858</v>
      </c>
      <c r="C370" s="1" t="n">
        <v>45930</v>
      </c>
      <c r="D370" t="inlineStr">
        <is>
          <t>JÄMTLANDS LÄN</t>
        </is>
      </c>
      <c r="E370" t="inlineStr">
        <is>
          <t>RAGUNDA</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41613-2021</t>
        </is>
      </c>
      <c r="B371" s="1" t="n">
        <v>44425</v>
      </c>
      <c r="C371" s="1" t="n">
        <v>45930</v>
      </c>
      <c r="D371" t="inlineStr">
        <is>
          <t>JÄMTLANDS LÄN</t>
        </is>
      </c>
      <c r="E371" t="inlineStr">
        <is>
          <t>RAGUNDA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45930</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56193-2022</t>
        </is>
      </c>
      <c r="B373" s="1" t="n">
        <v>44889</v>
      </c>
      <c r="C373" s="1" t="n">
        <v>45930</v>
      </c>
      <c r="D373" t="inlineStr">
        <is>
          <t>JÄMTLANDS LÄN</t>
        </is>
      </c>
      <c r="E373" t="inlineStr">
        <is>
          <t>RAGUNDA</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5515-2022</t>
        </is>
      </c>
      <c r="B374" s="1" t="n">
        <v>44595</v>
      </c>
      <c r="C374" s="1" t="n">
        <v>45930</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60957-2021</t>
        </is>
      </c>
      <c r="B375" s="1" t="n">
        <v>44496</v>
      </c>
      <c r="C375" s="1" t="n">
        <v>45930</v>
      </c>
      <c r="D375" t="inlineStr">
        <is>
          <t>JÄMTLANDS LÄN</t>
        </is>
      </c>
      <c r="E375" t="inlineStr">
        <is>
          <t>RAGUNDA</t>
        </is>
      </c>
      <c r="G375" t="n">
        <v>1.6</v>
      </c>
      <c r="H375" t="n">
        <v>0</v>
      </c>
      <c r="I375" t="n">
        <v>0</v>
      </c>
      <c r="J375" t="n">
        <v>0</v>
      </c>
      <c r="K375" t="n">
        <v>0</v>
      </c>
      <c r="L375" t="n">
        <v>0</v>
      </c>
      <c r="M375" t="n">
        <v>0</v>
      </c>
      <c r="N375" t="n">
        <v>0</v>
      </c>
      <c r="O375" t="n">
        <v>0</v>
      </c>
      <c r="P375" t="n">
        <v>0</v>
      </c>
      <c r="Q375" t="n">
        <v>0</v>
      </c>
      <c r="R375" s="2" t="inlineStr"/>
    </row>
    <row r="376" ht="15" customHeight="1">
      <c r="A376" t="inlineStr">
        <is>
          <t>A 26122-2022</t>
        </is>
      </c>
      <c r="B376" s="1" t="n">
        <v>44734.94193287037</v>
      </c>
      <c r="C376" s="1" t="n">
        <v>45930</v>
      </c>
      <c r="D376" t="inlineStr">
        <is>
          <t>JÄMTLANDS LÄN</t>
        </is>
      </c>
      <c r="E376" t="inlineStr">
        <is>
          <t>RAGUNDA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21193-2022</t>
        </is>
      </c>
      <c r="B377" s="1" t="n">
        <v>44704.94217592593</v>
      </c>
      <c r="C377" s="1" t="n">
        <v>45930</v>
      </c>
      <c r="D377" t="inlineStr">
        <is>
          <t>JÄMTLANDS LÄN</t>
        </is>
      </c>
      <c r="E377" t="inlineStr">
        <is>
          <t>RAGUNDA</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37806-2021</t>
        </is>
      </c>
      <c r="B378" s="1" t="n">
        <v>44402.42243055555</v>
      </c>
      <c r="C378" s="1" t="n">
        <v>45930</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13917-2023</t>
        </is>
      </c>
      <c r="B379" s="1" t="n">
        <v>45007</v>
      </c>
      <c r="C379" s="1" t="n">
        <v>45930</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18820-2023</t>
        </is>
      </c>
      <c r="B380" s="1" t="n">
        <v>45042</v>
      </c>
      <c r="C380" s="1" t="n">
        <v>45930</v>
      </c>
      <c r="D380" t="inlineStr">
        <is>
          <t>JÄMTLANDS LÄN</t>
        </is>
      </c>
      <c r="E380" t="inlineStr">
        <is>
          <t>RAGUNDA</t>
        </is>
      </c>
      <c r="G380" t="n">
        <v>18.8</v>
      </c>
      <c r="H380" t="n">
        <v>0</v>
      </c>
      <c r="I380" t="n">
        <v>0</v>
      </c>
      <c r="J380" t="n">
        <v>0</v>
      </c>
      <c r="K380" t="n">
        <v>0</v>
      </c>
      <c r="L380" t="n">
        <v>0</v>
      </c>
      <c r="M380" t="n">
        <v>0</v>
      </c>
      <c r="N380" t="n">
        <v>0</v>
      </c>
      <c r="O380" t="n">
        <v>0</v>
      </c>
      <c r="P380" t="n">
        <v>0</v>
      </c>
      <c r="Q380" t="n">
        <v>0</v>
      </c>
      <c r="R380" s="2" t="inlineStr"/>
    </row>
    <row r="381" ht="15" customHeight="1">
      <c r="A381" t="inlineStr">
        <is>
          <t>A 11147-2025</t>
        </is>
      </c>
      <c r="B381" s="1" t="n">
        <v>45723.67777777778</v>
      </c>
      <c r="C381" s="1" t="n">
        <v>45930</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24280-2021</t>
        </is>
      </c>
      <c r="B382" s="1" t="n">
        <v>44336</v>
      </c>
      <c r="C382" s="1" t="n">
        <v>45930</v>
      </c>
      <c r="D382" t="inlineStr">
        <is>
          <t>JÄMTLANDS LÄN</t>
        </is>
      </c>
      <c r="E382" t="inlineStr">
        <is>
          <t>RAGUNDA</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14821-2025</t>
        </is>
      </c>
      <c r="B383" s="1" t="n">
        <v>45743.36</v>
      </c>
      <c r="C383" s="1" t="n">
        <v>45930</v>
      </c>
      <c r="D383" t="inlineStr">
        <is>
          <t>JÄMTLANDS LÄN</t>
        </is>
      </c>
      <c r="E383" t="inlineStr">
        <is>
          <t>RAGUNDA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29409-2021</t>
        </is>
      </c>
      <c r="B384" s="1" t="n">
        <v>44361.55445601852</v>
      </c>
      <c r="C384" s="1" t="n">
        <v>45930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32288-2022</t>
        </is>
      </c>
      <c r="B385" s="1" t="n">
        <v>44781</v>
      </c>
      <c r="C385" s="1" t="n">
        <v>45930</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25027-2022</t>
        </is>
      </c>
      <c r="B386" s="1" t="n">
        <v>44728.94392361111</v>
      </c>
      <c r="C386" s="1" t="n">
        <v>45930</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62358-2023</t>
        </is>
      </c>
      <c r="B387" s="1" t="n">
        <v>45267</v>
      </c>
      <c r="C387" s="1" t="n">
        <v>45930</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19264-2025</t>
        </is>
      </c>
      <c r="B388" s="1" t="n">
        <v>45769.51087962963</v>
      </c>
      <c r="C388" s="1" t="n">
        <v>45930</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23304-2023</t>
        </is>
      </c>
      <c r="B389" s="1" t="n">
        <v>45075.945</v>
      </c>
      <c r="C389" s="1" t="n">
        <v>45930</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31854-2022</t>
        </is>
      </c>
      <c r="B390" s="1" t="n">
        <v>44776</v>
      </c>
      <c r="C390" s="1" t="n">
        <v>45930</v>
      </c>
      <c r="D390" t="inlineStr">
        <is>
          <t>JÄMTLANDS LÄN</t>
        </is>
      </c>
      <c r="E390" t="inlineStr">
        <is>
          <t>RAGUNDA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47803-2022</t>
        </is>
      </c>
      <c r="B391" s="1" t="n">
        <v>44854.95390046296</v>
      </c>
      <c r="C391" s="1" t="n">
        <v>45930</v>
      </c>
      <c r="D391" t="inlineStr">
        <is>
          <t>JÄMTLANDS LÄN</t>
        </is>
      </c>
      <c r="E391" t="inlineStr">
        <is>
          <t>RAGUNDA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45930</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45930</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45930</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45930</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28597-2021</t>
        </is>
      </c>
      <c r="B396" s="1" t="n">
        <v>44356.91935185185</v>
      </c>
      <c r="C396" s="1" t="n">
        <v>45930</v>
      </c>
      <c r="D396" t="inlineStr">
        <is>
          <t>JÄMTLANDS LÄN</t>
        </is>
      </c>
      <c r="E396" t="inlineStr">
        <is>
          <t>RAGUNDA</t>
        </is>
      </c>
      <c r="G396" t="n">
        <v>3.1</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45930</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45930</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45930</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26948-2021</t>
        </is>
      </c>
      <c r="B400" s="1" t="n">
        <v>44349.92013888889</v>
      </c>
      <c r="C400" s="1" t="n">
        <v>45930</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19600-2021</t>
        </is>
      </c>
      <c r="B401" s="1" t="n">
        <v>44308</v>
      </c>
      <c r="C401" s="1" t="n">
        <v>45930</v>
      </c>
      <c r="D401" t="inlineStr">
        <is>
          <t>JÄMTLANDS LÄN</t>
        </is>
      </c>
      <c r="E401" t="inlineStr">
        <is>
          <t>RAGUNDA</t>
        </is>
      </c>
      <c r="G401" t="n">
        <v>4.3</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44832.95300925926</v>
      </c>
      <c r="C402" s="1" t="n">
        <v>45930</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45930</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16460-2022</t>
        </is>
      </c>
      <c r="B404" s="1" t="n">
        <v>44671</v>
      </c>
      <c r="C404" s="1" t="n">
        <v>45930</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15581-2024</t>
        </is>
      </c>
      <c r="B405" s="1" t="n">
        <v>45401</v>
      </c>
      <c r="C405" s="1" t="n">
        <v>45930</v>
      </c>
      <c r="D405" t="inlineStr">
        <is>
          <t>JÄMTLANDS LÄN</t>
        </is>
      </c>
      <c r="E405" t="inlineStr">
        <is>
          <t>RAGUNDA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15611-2024</t>
        </is>
      </c>
      <c r="B406" s="1" t="n">
        <v>45401</v>
      </c>
      <c r="C406" s="1" t="n">
        <v>45930</v>
      </c>
      <c r="D406" t="inlineStr">
        <is>
          <t>JÄMTLANDS LÄN</t>
        </is>
      </c>
      <c r="E406" t="inlineStr">
        <is>
          <t>RAGUNDA</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42267-2022</t>
        </is>
      </c>
      <c r="B407" s="1" t="n">
        <v>44830</v>
      </c>
      <c r="C407" s="1" t="n">
        <v>45930</v>
      </c>
      <c r="D407" t="inlineStr">
        <is>
          <t>JÄMTLANDS LÄN</t>
        </is>
      </c>
      <c r="E407" t="inlineStr">
        <is>
          <t>RAGUNDA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36941-2022</t>
        </is>
      </c>
      <c r="B408" s="1" t="n">
        <v>44805</v>
      </c>
      <c r="C408" s="1" t="n">
        <v>45930</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20548-2021</t>
        </is>
      </c>
      <c r="B409" s="1" t="n">
        <v>44315</v>
      </c>
      <c r="C409" s="1" t="n">
        <v>45930</v>
      </c>
      <c r="D409" t="inlineStr">
        <is>
          <t>JÄMTLANDS LÄN</t>
        </is>
      </c>
      <c r="E409" t="inlineStr">
        <is>
          <t>RAGUNDA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49530-2022</t>
        </is>
      </c>
      <c r="B410" s="1" t="n">
        <v>44861</v>
      </c>
      <c r="C410" s="1" t="n">
        <v>45930</v>
      </c>
      <c r="D410" t="inlineStr">
        <is>
          <t>JÄMTLANDS LÄN</t>
        </is>
      </c>
      <c r="E410" t="inlineStr">
        <is>
          <t>RAGUNDA</t>
        </is>
      </c>
      <c r="F410" t="inlineStr">
        <is>
          <t>SCA</t>
        </is>
      </c>
      <c r="G410" t="n">
        <v>13.4</v>
      </c>
      <c r="H410" t="n">
        <v>0</v>
      </c>
      <c r="I410" t="n">
        <v>0</v>
      </c>
      <c r="J410" t="n">
        <v>0</v>
      </c>
      <c r="K410" t="n">
        <v>0</v>
      </c>
      <c r="L410" t="n">
        <v>0</v>
      </c>
      <c r="M410" t="n">
        <v>0</v>
      </c>
      <c r="N410" t="n">
        <v>0</v>
      </c>
      <c r="O410" t="n">
        <v>0</v>
      </c>
      <c r="P410" t="n">
        <v>0</v>
      </c>
      <c r="Q410" t="n">
        <v>0</v>
      </c>
      <c r="R410" s="2" t="inlineStr"/>
    </row>
    <row r="411" ht="15" customHeight="1">
      <c r="A411" t="inlineStr">
        <is>
          <t>A 11780-2024</t>
        </is>
      </c>
      <c r="B411" s="1" t="n">
        <v>45374</v>
      </c>
      <c r="C411" s="1" t="n">
        <v>45930</v>
      </c>
      <c r="D411" t="inlineStr">
        <is>
          <t>JÄMTLANDS LÄN</t>
        </is>
      </c>
      <c r="E411" t="inlineStr">
        <is>
          <t>RAGUNDA</t>
        </is>
      </c>
      <c r="G411" t="n">
        <v>14.6</v>
      </c>
      <c r="H411" t="n">
        <v>0</v>
      </c>
      <c r="I411" t="n">
        <v>0</v>
      </c>
      <c r="J411" t="n">
        <v>0</v>
      </c>
      <c r="K411" t="n">
        <v>0</v>
      </c>
      <c r="L411" t="n">
        <v>0</v>
      </c>
      <c r="M411" t="n">
        <v>0</v>
      </c>
      <c r="N411" t="n">
        <v>0</v>
      </c>
      <c r="O411" t="n">
        <v>0</v>
      </c>
      <c r="P411" t="n">
        <v>0</v>
      </c>
      <c r="Q411" t="n">
        <v>0</v>
      </c>
      <c r="R411" s="2" t="inlineStr"/>
    </row>
    <row r="412" ht="15" customHeight="1">
      <c r="A412" t="inlineStr">
        <is>
          <t>A 22131-2021</t>
        </is>
      </c>
      <c r="B412" s="1" t="n">
        <v>44323</v>
      </c>
      <c r="C412" s="1" t="n">
        <v>45930</v>
      </c>
      <c r="D412" t="inlineStr">
        <is>
          <t>JÄMTLANDS LÄN</t>
        </is>
      </c>
      <c r="E412" t="inlineStr">
        <is>
          <t>RAGUNDA</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59557-2023</t>
        </is>
      </c>
      <c r="B413" s="1" t="n">
        <v>45253</v>
      </c>
      <c r="C413" s="1" t="n">
        <v>45930</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50157-2023</t>
        </is>
      </c>
      <c r="B414" s="1" t="n">
        <v>45208</v>
      </c>
      <c r="C414" s="1" t="n">
        <v>45930</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38664-2022</t>
        </is>
      </c>
      <c r="B415" s="1" t="n">
        <v>44813</v>
      </c>
      <c r="C415" s="1" t="n">
        <v>45930</v>
      </c>
      <c r="D415" t="inlineStr">
        <is>
          <t>JÄMTLANDS LÄN</t>
        </is>
      </c>
      <c r="E415" t="inlineStr">
        <is>
          <t>RAGUNDA</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42893-2022</t>
        </is>
      </c>
      <c r="B416" s="1" t="n">
        <v>44832</v>
      </c>
      <c r="C416" s="1" t="n">
        <v>45930</v>
      </c>
      <c r="D416" t="inlineStr">
        <is>
          <t>JÄMTLANDS LÄN</t>
        </is>
      </c>
      <c r="E416" t="inlineStr">
        <is>
          <t>RAGUNDA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38425-2022</t>
        </is>
      </c>
      <c r="B417" s="1" t="n">
        <v>44812.94709490741</v>
      </c>
      <c r="C417" s="1" t="n">
        <v>45930</v>
      </c>
      <c r="D417" t="inlineStr">
        <is>
          <t>JÄMTLANDS LÄN</t>
        </is>
      </c>
      <c r="E417" t="inlineStr">
        <is>
          <t>RAGUNDA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36922-2022</t>
        </is>
      </c>
      <c r="B418" s="1" t="n">
        <v>44805.94592592592</v>
      </c>
      <c r="C418" s="1" t="n">
        <v>45930</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14513-2025</t>
        </is>
      </c>
      <c r="B419" s="1" t="n">
        <v>45741.63675925926</v>
      </c>
      <c r="C419" s="1" t="n">
        <v>45930</v>
      </c>
      <c r="D419" t="inlineStr">
        <is>
          <t>JÄMTLANDS LÄN</t>
        </is>
      </c>
      <c r="E419" t="inlineStr">
        <is>
          <t>RAGUNDA</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47568-2022</t>
        </is>
      </c>
      <c r="B420" s="1" t="n">
        <v>44853.9499537037</v>
      </c>
      <c r="C420" s="1" t="n">
        <v>45930</v>
      </c>
      <c r="D420" t="inlineStr">
        <is>
          <t>JÄMTLANDS LÄN</t>
        </is>
      </c>
      <c r="E420" t="inlineStr">
        <is>
          <t>RAGUNDA</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21195-2022</t>
        </is>
      </c>
      <c r="B421" s="1" t="n">
        <v>44704.94229166667</v>
      </c>
      <c r="C421" s="1" t="n">
        <v>45930</v>
      </c>
      <c r="D421" t="inlineStr">
        <is>
          <t>JÄMTLANDS LÄN</t>
        </is>
      </c>
      <c r="E421" t="inlineStr">
        <is>
          <t>RAGUNDA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49531-2022</t>
        </is>
      </c>
      <c r="B422" s="1" t="n">
        <v>44861</v>
      </c>
      <c r="C422" s="1" t="n">
        <v>45930</v>
      </c>
      <c r="D422" t="inlineStr">
        <is>
          <t>JÄMTLANDS LÄN</t>
        </is>
      </c>
      <c r="E422" t="inlineStr">
        <is>
          <t>RAGUNDA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9326-2024</t>
        </is>
      </c>
      <c r="B423" s="1" t="n">
        <v>45358.95818287037</v>
      </c>
      <c r="C423" s="1" t="n">
        <v>45930</v>
      </c>
      <c r="D423" t="inlineStr">
        <is>
          <t>JÄMTLANDS LÄN</t>
        </is>
      </c>
      <c r="E423" t="inlineStr">
        <is>
          <t>RAGUNDA</t>
        </is>
      </c>
      <c r="G423" t="n">
        <v>0.7</v>
      </c>
      <c r="H423" t="n">
        <v>0</v>
      </c>
      <c r="I423" t="n">
        <v>0</v>
      </c>
      <c r="J423" t="n">
        <v>0</v>
      </c>
      <c r="K423" t="n">
        <v>0</v>
      </c>
      <c r="L423" t="n">
        <v>0</v>
      </c>
      <c r="M423" t="n">
        <v>0</v>
      </c>
      <c r="N423" t="n">
        <v>0</v>
      </c>
      <c r="O423" t="n">
        <v>0</v>
      </c>
      <c r="P423" t="n">
        <v>0</v>
      </c>
      <c r="Q423" t="n">
        <v>0</v>
      </c>
      <c r="R423" s="2" t="inlineStr"/>
    </row>
    <row r="424" ht="15" customHeight="1">
      <c r="A424" t="inlineStr">
        <is>
          <t>A 26945-2021</t>
        </is>
      </c>
      <c r="B424" s="1" t="n">
        <v>44349.91995370371</v>
      </c>
      <c r="C424" s="1" t="n">
        <v>45930</v>
      </c>
      <c r="D424" t="inlineStr">
        <is>
          <t>JÄMTLANDS LÄN</t>
        </is>
      </c>
      <c r="E424" t="inlineStr">
        <is>
          <t>RAGUNDA</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7281-2025</t>
        </is>
      </c>
      <c r="B425" s="1" t="n">
        <v>45702.63572916666</v>
      </c>
      <c r="C425" s="1" t="n">
        <v>45930</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15664-2022</t>
        </is>
      </c>
      <c r="B426" s="1" t="n">
        <v>44662</v>
      </c>
      <c r="C426" s="1" t="n">
        <v>45930</v>
      </c>
      <c r="D426" t="inlineStr">
        <is>
          <t>JÄMTLANDS LÄN</t>
        </is>
      </c>
      <c r="E426" t="inlineStr">
        <is>
          <t>RAGUNDA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21984-2022</t>
        </is>
      </c>
      <c r="B427" s="1" t="n">
        <v>44704</v>
      </c>
      <c r="C427" s="1" t="n">
        <v>45930</v>
      </c>
      <c r="D427" t="inlineStr">
        <is>
          <t>JÄMTLANDS LÄN</t>
        </is>
      </c>
      <c r="E427" t="inlineStr">
        <is>
          <t>RAGUNDA</t>
        </is>
      </c>
      <c r="G427" t="n">
        <v>0.5</v>
      </c>
      <c r="H427" t="n">
        <v>0</v>
      </c>
      <c r="I427" t="n">
        <v>0</v>
      </c>
      <c r="J427" t="n">
        <v>0</v>
      </c>
      <c r="K427" t="n">
        <v>0</v>
      </c>
      <c r="L427" t="n">
        <v>0</v>
      </c>
      <c r="M427" t="n">
        <v>0</v>
      </c>
      <c r="N427" t="n">
        <v>0</v>
      </c>
      <c r="O427" t="n">
        <v>0</v>
      </c>
      <c r="P427" t="n">
        <v>0</v>
      </c>
      <c r="Q427" t="n">
        <v>0</v>
      </c>
      <c r="R427" s="2" t="inlineStr"/>
    </row>
    <row r="428" ht="15" customHeight="1">
      <c r="A428" t="inlineStr">
        <is>
          <t>A 18341-2022</t>
        </is>
      </c>
      <c r="B428" s="1" t="n">
        <v>44685</v>
      </c>
      <c r="C428" s="1" t="n">
        <v>45930</v>
      </c>
      <c r="D428" t="inlineStr">
        <is>
          <t>JÄMTLANDS LÄN</t>
        </is>
      </c>
      <c r="E428" t="inlineStr">
        <is>
          <t>RAGUNDA</t>
        </is>
      </c>
      <c r="G428" t="n">
        <v>0.2</v>
      </c>
      <c r="H428" t="n">
        <v>0</v>
      </c>
      <c r="I428" t="n">
        <v>0</v>
      </c>
      <c r="J428" t="n">
        <v>0</v>
      </c>
      <c r="K428" t="n">
        <v>0</v>
      </c>
      <c r="L428" t="n">
        <v>0</v>
      </c>
      <c r="M428" t="n">
        <v>0</v>
      </c>
      <c r="N428" t="n">
        <v>0</v>
      </c>
      <c r="O428" t="n">
        <v>0</v>
      </c>
      <c r="P428" t="n">
        <v>0</v>
      </c>
      <c r="Q428" t="n">
        <v>0</v>
      </c>
      <c r="R428" s="2" t="inlineStr"/>
    </row>
    <row r="429" ht="15" customHeight="1">
      <c r="A429" t="inlineStr">
        <is>
          <t>A 13935-2024</t>
        </is>
      </c>
      <c r="B429" s="1" t="n">
        <v>45391.95329861111</v>
      </c>
      <c r="C429" s="1" t="n">
        <v>45930</v>
      </c>
      <c r="D429" t="inlineStr">
        <is>
          <t>JÄMTLANDS LÄN</t>
        </is>
      </c>
      <c r="E429" t="inlineStr">
        <is>
          <t>RAGUNDA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9185-2022</t>
        </is>
      </c>
      <c r="B430" s="1" t="n">
        <v>44615</v>
      </c>
      <c r="C430" s="1" t="n">
        <v>45930</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44241-2021</t>
        </is>
      </c>
      <c r="B431" s="1" t="n">
        <v>44434.94517361111</v>
      </c>
      <c r="C431" s="1" t="n">
        <v>45930</v>
      </c>
      <c r="D431" t="inlineStr">
        <is>
          <t>JÄMTLANDS LÄN</t>
        </is>
      </c>
      <c r="E431" t="inlineStr">
        <is>
          <t>RAGUNDA</t>
        </is>
      </c>
      <c r="G431" t="n">
        <v>0.8</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45930</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43405-2023</t>
        </is>
      </c>
      <c r="B433" s="1" t="n">
        <v>45183.95563657407</v>
      </c>
      <c r="C433" s="1" t="n">
        <v>45930</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39698-2022</t>
        </is>
      </c>
      <c r="B434" s="1" t="n">
        <v>44818</v>
      </c>
      <c r="C434" s="1" t="n">
        <v>45930</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56984-2022</t>
        </is>
      </c>
      <c r="B435" s="1" t="n">
        <v>44894.79018518519</v>
      </c>
      <c r="C435" s="1" t="n">
        <v>45930</v>
      </c>
      <c r="D435" t="inlineStr">
        <is>
          <t>JÄMTLANDS LÄN</t>
        </is>
      </c>
      <c r="E435" t="inlineStr">
        <is>
          <t>RAGUNDA</t>
        </is>
      </c>
      <c r="G435" t="n">
        <v>1.4</v>
      </c>
      <c r="H435" t="n">
        <v>0</v>
      </c>
      <c r="I435" t="n">
        <v>0</v>
      </c>
      <c r="J435" t="n">
        <v>0</v>
      </c>
      <c r="K435" t="n">
        <v>0</v>
      </c>
      <c r="L435" t="n">
        <v>0</v>
      </c>
      <c r="M435" t="n">
        <v>0</v>
      </c>
      <c r="N435" t="n">
        <v>0</v>
      </c>
      <c r="O435" t="n">
        <v>0</v>
      </c>
      <c r="P435" t="n">
        <v>0</v>
      </c>
      <c r="Q435" t="n">
        <v>0</v>
      </c>
      <c r="R435" s="2" t="inlineStr"/>
    </row>
    <row r="436" ht="15" customHeight="1">
      <c r="A436" t="inlineStr">
        <is>
          <t>A 43147-2022</t>
        </is>
      </c>
      <c r="B436" s="1" t="n">
        <v>44833.9519212963</v>
      </c>
      <c r="C436" s="1" t="n">
        <v>45930</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59670-2023</t>
        </is>
      </c>
      <c r="B437" s="1" t="n">
        <v>45254.96516203704</v>
      </c>
      <c r="C437" s="1" t="n">
        <v>45930</v>
      </c>
      <c r="D437" t="inlineStr">
        <is>
          <t>JÄMTLANDS LÄN</t>
        </is>
      </c>
      <c r="E437" t="inlineStr">
        <is>
          <t>RAGUNDA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34968-2025</t>
        </is>
      </c>
      <c r="B438" s="1" t="n">
        <v>45849.65663194445</v>
      </c>
      <c r="C438" s="1" t="n">
        <v>45930</v>
      </c>
      <c r="D438" t="inlineStr">
        <is>
          <t>JÄMTLANDS LÄN</t>
        </is>
      </c>
      <c r="E438" t="inlineStr">
        <is>
          <t>RAGUNDA</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39949-2025</t>
        </is>
      </c>
      <c r="B439" s="1" t="n">
        <v>45892.38619212963</v>
      </c>
      <c r="C439" s="1" t="n">
        <v>45930</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39955-2025</t>
        </is>
      </c>
      <c r="B440" s="1" t="n">
        <v>45892.44824074074</v>
      </c>
      <c r="C440" s="1" t="n">
        <v>45930</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34999-2025</t>
        </is>
      </c>
      <c r="B441" s="1" t="n">
        <v>45850.34450231482</v>
      </c>
      <c r="C441" s="1" t="n">
        <v>45930</v>
      </c>
      <c r="D441" t="inlineStr">
        <is>
          <t>JÄMTLANDS LÄN</t>
        </is>
      </c>
      <c r="E441" t="inlineStr">
        <is>
          <t>RAGUNDA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35091-2025</t>
        </is>
      </c>
      <c r="B442" s="1" t="n">
        <v>45852.53168981482</v>
      </c>
      <c r="C442" s="1" t="n">
        <v>45930</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58193-2022</t>
        </is>
      </c>
      <c r="B443" s="1" t="n">
        <v>44900.95700231481</v>
      </c>
      <c r="C443" s="1" t="n">
        <v>45930</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5958-2023</t>
        </is>
      </c>
      <c r="B444" s="1" t="n">
        <v>44963</v>
      </c>
      <c r="C444" s="1" t="n">
        <v>45930</v>
      </c>
      <c r="D444" t="inlineStr">
        <is>
          <t>JÄMTLANDS LÄN</t>
        </is>
      </c>
      <c r="E444" t="inlineStr">
        <is>
          <t>RAGUNDA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18194-2025</t>
        </is>
      </c>
      <c r="B445" s="1" t="n">
        <v>45761.67744212963</v>
      </c>
      <c r="C445" s="1" t="n">
        <v>45930</v>
      </c>
      <c r="D445" t="inlineStr">
        <is>
          <t>JÄMTLANDS LÄN</t>
        </is>
      </c>
      <c r="E445" t="inlineStr">
        <is>
          <t>RAGUNDA</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26991-2023</t>
        </is>
      </c>
      <c r="B446" s="1" t="n">
        <v>45093.92207175926</v>
      </c>
      <c r="C446" s="1" t="n">
        <v>45930</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13299-2024</t>
        </is>
      </c>
      <c r="B447" s="1" t="n">
        <v>45386.68003472222</v>
      </c>
      <c r="C447" s="1" t="n">
        <v>45930</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58537-2022</t>
        </is>
      </c>
      <c r="B448" s="1" t="n">
        <v>44894</v>
      </c>
      <c r="C448" s="1" t="n">
        <v>45930</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53347-2023</t>
        </is>
      </c>
      <c r="B449" s="1" t="n">
        <v>45223</v>
      </c>
      <c r="C449" s="1" t="n">
        <v>45930</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60456-2023</t>
        </is>
      </c>
      <c r="B450" s="1" t="n">
        <v>45258</v>
      </c>
      <c r="C450" s="1" t="n">
        <v>45930</v>
      </c>
      <c r="D450" t="inlineStr">
        <is>
          <t>JÄMTLANDS LÄN</t>
        </is>
      </c>
      <c r="E450" t="inlineStr">
        <is>
          <t>RAGUNDA</t>
        </is>
      </c>
      <c r="G450" t="n">
        <v>1.8</v>
      </c>
      <c r="H450" t="n">
        <v>0</v>
      </c>
      <c r="I450" t="n">
        <v>0</v>
      </c>
      <c r="J450" t="n">
        <v>0</v>
      </c>
      <c r="K450" t="n">
        <v>0</v>
      </c>
      <c r="L450" t="n">
        <v>0</v>
      </c>
      <c r="M450" t="n">
        <v>0</v>
      </c>
      <c r="N450" t="n">
        <v>0</v>
      </c>
      <c r="O450" t="n">
        <v>0</v>
      </c>
      <c r="P450" t="n">
        <v>0</v>
      </c>
      <c r="Q450" t="n">
        <v>0</v>
      </c>
      <c r="R450" s="2" t="inlineStr"/>
    </row>
    <row r="451" ht="15" customHeight="1">
      <c r="A451" t="inlineStr">
        <is>
          <t>A 50521-2024</t>
        </is>
      </c>
      <c r="B451" s="1" t="n">
        <v>45601.55331018518</v>
      </c>
      <c r="C451" s="1" t="n">
        <v>45930</v>
      </c>
      <c r="D451" t="inlineStr">
        <is>
          <t>JÄMTLANDS LÄN</t>
        </is>
      </c>
      <c r="E451" t="inlineStr">
        <is>
          <t>RAGUNDA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29920-2024</t>
        </is>
      </c>
      <c r="B452" s="1" t="n">
        <v>45487.92856481481</v>
      </c>
      <c r="C452" s="1" t="n">
        <v>45930</v>
      </c>
      <c r="D452" t="inlineStr">
        <is>
          <t>JÄMTLANDS LÄN</t>
        </is>
      </c>
      <c r="E452" t="inlineStr">
        <is>
          <t>RAGUNDA</t>
        </is>
      </c>
      <c r="G452" t="n">
        <v>3.4</v>
      </c>
      <c r="H452" t="n">
        <v>0</v>
      </c>
      <c r="I452" t="n">
        <v>0</v>
      </c>
      <c r="J452" t="n">
        <v>0</v>
      </c>
      <c r="K452" t="n">
        <v>0</v>
      </c>
      <c r="L452" t="n">
        <v>0</v>
      </c>
      <c r="M452" t="n">
        <v>0</v>
      </c>
      <c r="N452" t="n">
        <v>0</v>
      </c>
      <c r="O452" t="n">
        <v>0</v>
      </c>
      <c r="P452" t="n">
        <v>0</v>
      </c>
      <c r="Q452" t="n">
        <v>0</v>
      </c>
      <c r="R452" s="2" t="inlineStr"/>
    </row>
    <row r="453" ht="15" customHeight="1">
      <c r="A453" t="inlineStr">
        <is>
          <t>A 62011-2022</t>
        </is>
      </c>
      <c r="B453" s="1" t="n">
        <v>44914</v>
      </c>
      <c r="C453" s="1" t="n">
        <v>45930</v>
      </c>
      <c r="D453" t="inlineStr">
        <is>
          <t>JÄMTLANDS LÄN</t>
        </is>
      </c>
      <c r="E453" t="inlineStr">
        <is>
          <t>RAGUNDA</t>
        </is>
      </c>
      <c r="G453" t="n">
        <v>0.3</v>
      </c>
      <c r="H453" t="n">
        <v>0</v>
      </c>
      <c r="I453" t="n">
        <v>0</v>
      </c>
      <c r="J453" t="n">
        <v>0</v>
      </c>
      <c r="K453" t="n">
        <v>0</v>
      </c>
      <c r="L453" t="n">
        <v>0</v>
      </c>
      <c r="M453" t="n">
        <v>0</v>
      </c>
      <c r="N453" t="n">
        <v>0</v>
      </c>
      <c r="O453" t="n">
        <v>0</v>
      </c>
      <c r="P453" t="n">
        <v>0</v>
      </c>
      <c r="Q453" t="n">
        <v>0</v>
      </c>
      <c r="R453" s="2" t="inlineStr"/>
    </row>
    <row r="454" ht="15" customHeight="1">
      <c r="A454" t="inlineStr">
        <is>
          <t>A 58438-2022</t>
        </is>
      </c>
      <c r="B454" s="1" t="n">
        <v>44901</v>
      </c>
      <c r="C454" s="1" t="n">
        <v>45930</v>
      </c>
      <c r="D454" t="inlineStr">
        <is>
          <t>JÄMTLANDS LÄN</t>
        </is>
      </c>
      <c r="E454" t="inlineStr">
        <is>
          <t>RAGUNDA</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58442-2022</t>
        </is>
      </c>
      <c r="B455" s="1" t="n">
        <v>44901</v>
      </c>
      <c r="C455" s="1" t="n">
        <v>45930</v>
      </c>
      <c r="D455" t="inlineStr">
        <is>
          <t>JÄMTLANDS LÄN</t>
        </is>
      </c>
      <c r="E455" t="inlineStr">
        <is>
          <t>RAGUNDA</t>
        </is>
      </c>
      <c r="F455" t="inlineStr">
        <is>
          <t>SCA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22948-2024</t>
        </is>
      </c>
      <c r="B456" s="1" t="n">
        <v>45448.94600694445</v>
      </c>
      <c r="C456" s="1" t="n">
        <v>45930</v>
      </c>
      <c r="D456" t="inlineStr">
        <is>
          <t>JÄMTLANDS LÄN</t>
        </is>
      </c>
      <c r="E456" t="inlineStr">
        <is>
          <t>RAGUNDA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35355-2025</t>
        </is>
      </c>
      <c r="B457" s="1" t="n">
        <v>45854.65663194445</v>
      </c>
      <c r="C457" s="1" t="n">
        <v>45930</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49229-2024</t>
        </is>
      </c>
      <c r="B458" s="1" t="n">
        <v>45595.42738425926</v>
      </c>
      <c r="C458" s="1" t="n">
        <v>45930</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22311-2024</t>
        </is>
      </c>
      <c r="B459" s="1" t="n">
        <v>45446.57052083333</v>
      </c>
      <c r="C459" s="1" t="n">
        <v>45930</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19866-2023</t>
        </is>
      </c>
      <c r="B460" s="1" t="n">
        <v>45053.94313657407</v>
      </c>
      <c r="C460" s="1" t="n">
        <v>45930</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40586-2025</t>
        </is>
      </c>
      <c r="B461" s="1" t="n">
        <v>45896.52478009259</v>
      </c>
      <c r="C461" s="1" t="n">
        <v>45930</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53678-2022</t>
        </is>
      </c>
      <c r="B462" s="1" t="n">
        <v>44879.95768518518</v>
      </c>
      <c r="C462" s="1" t="n">
        <v>45930</v>
      </c>
      <c r="D462" t="inlineStr">
        <is>
          <t>JÄMTLANDS LÄN</t>
        </is>
      </c>
      <c r="E462" t="inlineStr">
        <is>
          <t>RAGUNDA</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53935-2022</t>
        </is>
      </c>
      <c r="B463" s="1" t="n">
        <v>44880</v>
      </c>
      <c r="C463" s="1" t="n">
        <v>45930</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14369-2024</t>
        </is>
      </c>
      <c r="B464" s="1" t="n">
        <v>45393.94459490741</v>
      </c>
      <c r="C464" s="1" t="n">
        <v>45930</v>
      </c>
      <c r="D464" t="inlineStr">
        <is>
          <t>JÄMTLANDS LÄN</t>
        </is>
      </c>
      <c r="E464" t="inlineStr">
        <is>
          <t>RAGUNDA</t>
        </is>
      </c>
      <c r="F464" t="inlineStr">
        <is>
          <t>Naturvårdsverket</t>
        </is>
      </c>
      <c r="G464" t="n">
        <v>1.8</v>
      </c>
      <c r="H464" t="n">
        <v>0</v>
      </c>
      <c r="I464" t="n">
        <v>0</v>
      </c>
      <c r="J464" t="n">
        <v>0</v>
      </c>
      <c r="K464" t="n">
        <v>0</v>
      </c>
      <c r="L464" t="n">
        <v>0</v>
      </c>
      <c r="M464" t="n">
        <v>0</v>
      </c>
      <c r="N464" t="n">
        <v>0</v>
      </c>
      <c r="O464" t="n">
        <v>0</v>
      </c>
      <c r="P464" t="n">
        <v>0</v>
      </c>
      <c r="Q464" t="n">
        <v>0</v>
      </c>
      <c r="R464" s="2" t="inlineStr"/>
    </row>
    <row r="465" ht="15" customHeight="1">
      <c r="A465" t="inlineStr">
        <is>
          <t>A 10639-2024</t>
        </is>
      </c>
      <c r="B465" s="1" t="n">
        <v>45367.67256944445</v>
      </c>
      <c r="C465" s="1" t="n">
        <v>45930</v>
      </c>
      <c r="D465" t="inlineStr">
        <is>
          <t>JÄMTLANDS LÄN</t>
        </is>
      </c>
      <c r="E465" t="inlineStr">
        <is>
          <t>RAGUNDA</t>
        </is>
      </c>
      <c r="G465" t="n">
        <v>2</v>
      </c>
      <c r="H465" t="n">
        <v>0</v>
      </c>
      <c r="I465" t="n">
        <v>0</v>
      </c>
      <c r="J465" t="n">
        <v>0</v>
      </c>
      <c r="K465" t="n">
        <v>0</v>
      </c>
      <c r="L465" t="n">
        <v>0</v>
      </c>
      <c r="M465" t="n">
        <v>0</v>
      </c>
      <c r="N465" t="n">
        <v>0</v>
      </c>
      <c r="O465" t="n">
        <v>0</v>
      </c>
      <c r="P465" t="n">
        <v>0</v>
      </c>
      <c r="Q465" t="n">
        <v>0</v>
      </c>
      <c r="R465" s="2" t="inlineStr"/>
    </row>
    <row r="466" ht="15" customHeight="1">
      <c r="A466" t="inlineStr">
        <is>
          <t>A 55524-2024</t>
        </is>
      </c>
      <c r="B466" s="1" t="n">
        <v>45622.47435185185</v>
      </c>
      <c r="C466" s="1" t="n">
        <v>45930</v>
      </c>
      <c r="D466" t="inlineStr">
        <is>
          <t>JÄMTLANDS LÄN</t>
        </is>
      </c>
      <c r="E466" t="inlineStr">
        <is>
          <t>RAGUNDA</t>
        </is>
      </c>
      <c r="G466" t="n">
        <v>1.4</v>
      </c>
      <c r="H466" t="n">
        <v>0</v>
      </c>
      <c r="I466" t="n">
        <v>0</v>
      </c>
      <c r="J466" t="n">
        <v>0</v>
      </c>
      <c r="K466" t="n">
        <v>0</v>
      </c>
      <c r="L466" t="n">
        <v>0</v>
      </c>
      <c r="M466" t="n">
        <v>0</v>
      </c>
      <c r="N466" t="n">
        <v>0</v>
      </c>
      <c r="O466" t="n">
        <v>0</v>
      </c>
      <c r="P466" t="n">
        <v>0</v>
      </c>
      <c r="Q466" t="n">
        <v>0</v>
      </c>
      <c r="R466" s="2" t="inlineStr"/>
    </row>
    <row r="467" ht="15" customHeight="1">
      <c r="A467" t="inlineStr">
        <is>
          <t>A 19419-2024</t>
        </is>
      </c>
      <c r="B467" s="1" t="n">
        <v>45429</v>
      </c>
      <c r="C467" s="1" t="n">
        <v>45930</v>
      </c>
      <c r="D467" t="inlineStr">
        <is>
          <t>JÄMTLANDS LÄN</t>
        </is>
      </c>
      <c r="E467" t="inlineStr">
        <is>
          <t>RAGUNDA</t>
        </is>
      </c>
      <c r="G467" t="n">
        <v>3.5</v>
      </c>
      <c r="H467" t="n">
        <v>0</v>
      </c>
      <c r="I467" t="n">
        <v>0</v>
      </c>
      <c r="J467" t="n">
        <v>0</v>
      </c>
      <c r="K467" t="n">
        <v>0</v>
      </c>
      <c r="L467" t="n">
        <v>0</v>
      </c>
      <c r="M467" t="n">
        <v>0</v>
      </c>
      <c r="N467" t="n">
        <v>0</v>
      </c>
      <c r="O467" t="n">
        <v>0</v>
      </c>
      <c r="P467" t="n">
        <v>0</v>
      </c>
      <c r="Q467" t="n">
        <v>0</v>
      </c>
      <c r="R467" s="2" t="inlineStr"/>
    </row>
    <row r="468" ht="15" customHeight="1">
      <c r="A468" t="inlineStr">
        <is>
          <t>A 18631-2024</t>
        </is>
      </c>
      <c r="B468" s="1" t="n">
        <v>45425.96494212963</v>
      </c>
      <c r="C468" s="1" t="n">
        <v>45930</v>
      </c>
      <c r="D468" t="inlineStr">
        <is>
          <t>JÄMTLANDS LÄN</t>
        </is>
      </c>
      <c r="E468" t="inlineStr">
        <is>
          <t>RAGUNDA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41161-2025</t>
        </is>
      </c>
      <c r="B469" s="1" t="n">
        <v>45898.53193287037</v>
      </c>
      <c r="C469" s="1" t="n">
        <v>45930</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41262-2025</t>
        </is>
      </c>
      <c r="B470" s="1" t="n">
        <v>45898.61502314815</v>
      </c>
      <c r="C470" s="1" t="n">
        <v>45930</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35477-2025</t>
        </is>
      </c>
      <c r="B471" s="1" t="n">
        <v>45855.67899305555</v>
      </c>
      <c r="C471" s="1" t="n">
        <v>45930</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35541-2025</t>
        </is>
      </c>
      <c r="B472" s="1" t="n">
        <v>45856.46931712963</v>
      </c>
      <c r="C472" s="1" t="n">
        <v>45930</v>
      </c>
      <c r="D472" t="inlineStr">
        <is>
          <t>JÄMTLANDS LÄN</t>
        </is>
      </c>
      <c r="E472" t="inlineStr">
        <is>
          <t>RAGUNDA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35462-2025</t>
        </is>
      </c>
      <c r="B473" s="1" t="n">
        <v>45855.61523148148</v>
      </c>
      <c r="C473" s="1" t="n">
        <v>45930</v>
      </c>
      <c r="D473" t="inlineStr">
        <is>
          <t>JÄMTLANDS LÄN</t>
        </is>
      </c>
      <c r="E473" t="inlineStr">
        <is>
          <t>RAGUNDA</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41140-2025</t>
        </is>
      </c>
      <c r="B474" s="1" t="n">
        <v>45898.49012731481</v>
      </c>
      <c r="C474" s="1" t="n">
        <v>45930</v>
      </c>
      <c r="D474" t="inlineStr">
        <is>
          <t>JÄMTLANDS LÄN</t>
        </is>
      </c>
      <c r="E474" t="inlineStr">
        <is>
          <t>RAGUNDA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50649-2022</t>
        </is>
      </c>
      <c r="B475" s="1" t="n">
        <v>44866</v>
      </c>
      <c r="C475" s="1" t="n">
        <v>45930</v>
      </c>
      <c r="D475" t="inlineStr">
        <is>
          <t>JÄMTLANDS LÄN</t>
        </is>
      </c>
      <c r="E475" t="inlineStr">
        <is>
          <t>RAGUNDA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41233-2025</t>
        </is>
      </c>
      <c r="B476" s="1" t="n">
        <v>45898.59295138889</v>
      </c>
      <c r="C476" s="1" t="n">
        <v>45930</v>
      </c>
      <c r="D476" t="inlineStr">
        <is>
          <t>JÄMTLANDS LÄN</t>
        </is>
      </c>
      <c r="E476" t="inlineStr">
        <is>
          <t>RAGUNDA</t>
        </is>
      </c>
      <c r="G476" t="n">
        <v>1.7</v>
      </c>
      <c r="H476" t="n">
        <v>0</v>
      </c>
      <c r="I476" t="n">
        <v>0</v>
      </c>
      <c r="J476" t="n">
        <v>0</v>
      </c>
      <c r="K476" t="n">
        <v>0</v>
      </c>
      <c r="L476" t="n">
        <v>0</v>
      </c>
      <c r="M476" t="n">
        <v>0</v>
      </c>
      <c r="N476" t="n">
        <v>0</v>
      </c>
      <c r="O476" t="n">
        <v>0</v>
      </c>
      <c r="P476" t="n">
        <v>0</v>
      </c>
      <c r="Q476" t="n">
        <v>0</v>
      </c>
      <c r="R476" s="2" t="inlineStr"/>
    </row>
    <row r="477" ht="15" customHeight="1">
      <c r="A477" t="inlineStr">
        <is>
          <t>A 12805-2025</t>
        </is>
      </c>
      <c r="B477" s="1" t="n">
        <v>45733.61497685185</v>
      </c>
      <c r="C477" s="1" t="n">
        <v>45930</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35689-2025</t>
        </is>
      </c>
      <c r="B478" s="1" t="n">
        <v>45860.30229166667</v>
      </c>
      <c r="C478" s="1" t="n">
        <v>45930</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60195-2023</t>
        </is>
      </c>
      <c r="B479" s="1" t="n">
        <v>45257</v>
      </c>
      <c r="C479" s="1" t="n">
        <v>45930</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41656-2025</t>
        </is>
      </c>
      <c r="B480" s="1" t="n">
        <v>45902.34423611111</v>
      </c>
      <c r="C480" s="1" t="n">
        <v>45930</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41422-2025</t>
        </is>
      </c>
      <c r="B481" s="1" t="n">
        <v>45901.38572916666</v>
      </c>
      <c r="C481" s="1" t="n">
        <v>45930</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41424-2025</t>
        </is>
      </c>
      <c r="B482" s="1" t="n">
        <v>45901.38584490741</v>
      </c>
      <c r="C482" s="1" t="n">
        <v>45930</v>
      </c>
      <c r="D482" t="inlineStr">
        <is>
          <t>JÄMTLANDS LÄN</t>
        </is>
      </c>
      <c r="E482" t="inlineStr">
        <is>
          <t>RAGUNDA</t>
        </is>
      </c>
      <c r="G482" t="n">
        <v>3</v>
      </c>
      <c r="H482" t="n">
        <v>0</v>
      </c>
      <c r="I482" t="n">
        <v>0</v>
      </c>
      <c r="J482" t="n">
        <v>0</v>
      </c>
      <c r="K482" t="n">
        <v>0</v>
      </c>
      <c r="L482" t="n">
        <v>0</v>
      </c>
      <c r="M482" t="n">
        <v>0</v>
      </c>
      <c r="N482" t="n">
        <v>0</v>
      </c>
      <c r="O482" t="n">
        <v>0</v>
      </c>
      <c r="P482" t="n">
        <v>0</v>
      </c>
      <c r="Q482" t="n">
        <v>0</v>
      </c>
      <c r="R482" s="2" t="inlineStr"/>
    </row>
    <row r="483" ht="15" customHeight="1">
      <c r="A483" t="inlineStr">
        <is>
          <t>A 11062-2023</t>
        </is>
      </c>
      <c r="B483" s="1" t="n">
        <v>44991</v>
      </c>
      <c r="C483" s="1" t="n">
        <v>45930</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2819-2023</t>
        </is>
      </c>
      <c r="B484" s="1" t="n">
        <v>44944</v>
      </c>
      <c r="C484" s="1" t="n">
        <v>45930</v>
      </c>
      <c r="D484" t="inlineStr">
        <is>
          <t>JÄMTLANDS LÄN</t>
        </is>
      </c>
      <c r="E484" t="inlineStr">
        <is>
          <t>RAGUNDA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35658-2025</t>
        </is>
      </c>
      <c r="B485" s="1" t="n">
        <v>45859.594375</v>
      </c>
      <c r="C485" s="1" t="n">
        <v>45930</v>
      </c>
      <c r="D485" t="inlineStr">
        <is>
          <t>JÄMTLANDS LÄN</t>
        </is>
      </c>
      <c r="E485" t="inlineStr">
        <is>
          <t>RAGUNDA</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46211-2024</t>
        </is>
      </c>
      <c r="B486" s="1" t="n">
        <v>45581.55260416667</v>
      </c>
      <c r="C486" s="1" t="n">
        <v>45930</v>
      </c>
      <c r="D486" t="inlineStr">
        <is>
          <t>JÄMTLANDS LÄN</t>
        </is>
      </c>
      <c r="E486" t="inlineStr">
        <is>
          <t>RAGUNDA</t>
        </is>
      </c>
      <c r="G486" t="n">
        <v>7.3</v>
      </c>
      <c r="H486" t="n">
        <v>0</v>
      </c>
      <c r="I486" t="n">
        <v>0</v>
      </c>
      <c r="J486" t="n">
        <v>0</v>
      </c>
      <c r="K486" t="n">
        <v>0</v>
      </c>
      <c r="L486" t="n">
        <v>0</v>
      </c>
      <c r="M486" t="n">
        <v>0</v>
      </c>
      <c r="N486" t="n">
        <v>0</v>
      </c>
      <c r="O486" t="n">
        <v>0</v>
      </c>
      <c r="P486" t="n">
        <v>0</v>
      </c>
      <c r="Q486" t="n">
        <v>0</v>
      </c>
      <c r="R486" s="2" t="inlineStr"/>
    </row>
    <row r="487" ht="15" customHeight="1">
      <c r="A487" t="inlineStr">
        <is>
          <t>A 182-2023</t>
        </is>
      </c>
      <c r="B487" s="1" t="n">
        <v>44922</v>
      </c>
      <c r="C487" s="1" t="n">
        <v>45930</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12024-2022</t>
        </is>
      </c>
      <c r="B488" s="1" t="n">
        <v>44635</v>
      </c>
      <c r="C488" s="1" t="n">
        <v>45930</v>
      </c>
      <c r="D488" t="inlineStr">
        <is>
          <t>JÄMTLANDS LÄN</t>
        </is>
      </c>
      <c r="E488" t="inlineStr">
        <is>
          <t>RAGUNDA</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66011-2021</t>
        </is>
      </c>
      <c r="B489" s="1" t="n">
        <v>44517.58137731482</v>
      </c>
      <c r="C489" s="1" t="n">
        <v>45930</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8679-2023</t>
        </is>
      </c>
      <c r="B490" s="1" t="n">
        <v>44977.98670138889</v>
      </c>
      <c r="C490" s="1" t="n">
        <v>45930</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32904-2024</t>
        </is>
      </c>
      <c r="B491" s="1" t="n">
        <v>45516.94732638889</v>
      </c>
      <c r="C491" s="1" t="n">
        <v>45930</v>
      </c>
      <c r="D491" t="inlineStr">
        <is>
          <t>JÄMTLANDS LÄN</t>
        </is>
      </c>
      <c r="E491" t="inlineStr">
        <is>
          <t>RAGUNDA</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41423-2025</t>
        </is>
      </c>
      <c r="B492" s="1" t="n">
        <v>45901.38578703703</v>
      </c>
      <c r="C492" s="1" t="n">
        <v>45930</v>
      </c>
      <c r="D492" t="inlineStr">
        <is>
          <t>JÄMTLANDS LÄN</t>
        </is>
      </c>
      <c r="E492" t="inlineStr">
        <is>
          <t>RAGUNDA</t>
        </is>
      </c>
      <c r="G492" t="n">
        <v>0.7</v>
      </c>
      <c r="H492" t="n">
        <v>0</v>
      </c>
      <c r="I492" t="n">
        <v>0</v>
      </c>
      <c r="J492" t="n">
        <v>0</v>
      </c>
      <c r="K492" t="n">
        <v>0</v>
      </c>
      <c r="L492" t="n">
        <v>0</v>
      </c>
      <c r="M492" t="n">
        <v>0</v>
      </c>
      <c r="N492" t="n">
        <v>0</v>
      </c>
      <c r="O492" t="n">
        <v>0</v>
      </c>
      <c r="P492" t="n">
        <v>0</v>
      </c>
      <c r="Q492" t="n">
        <v>0</v>
      </c>
      <c r="R492" s="2" t="inlineStr"/>
    </row>
    <row r="493" ht="15" customHeight="1">
      <c r="A493" t="inlineStr">
        <is>
          <t>A 14158-2024</t>
        </is>
      </c>
      <c r="B493" s="1" t="n">
        <v>45392</v>
      </c>
      <c r="C493" s="1" t="n">
        <v>45930</v>
      </c>
      <c r="D493" t="inlineStr">
        <is>
          <t>JÄMTLANDS LÄN</t>
        </is>
      </c>
      <c r="E493" t="inlineStr">
        <is>
          <t>RAGUNDA</t>
        </is>
      </c>
      <c r="G493" t="n">
        <v>0.7</v>
      </c>
      <c r="H493" t="n">
        <v>0</v>
      </c>
      <c r="I493" t="n">
        <v>0</v>
      </c>
      <c r="J493" t="n">
        <v>0</v>
      </c>
      <c r="K493" t="n">
        <v>0</v>
      </c>
      <c r="L493" t="n">
        <v>0</v>
      </c>
      <c r="M493" t="n">
        <v>0</v>
      </c>
      <c r="N493" t="n">
        <v>0</v>
      </c>
      <c r="O493" t="n">
        <v>0</v>
      </c>
      <c r="P493" t="n">
        <v>0</v>
      </c>
      <c r="Q493" t="n">
        <v>0</v>
      </c>
      <c r="R493" s="2" t="inlineStr"/>
    </row>
    <row r="494" ht="15" customHeight="1">
      <c r="A494" t="inlineStr">
        <is>
          <t>A 55649-2023</t>
        </is>
      </c>
      <c r="B494" s="1" t="n">
        <v>45238</v>
      </c>
      <c r="C494" s="1" t="n">
        <v>45930</v>
      </c>
      <c r="D494" t="inlineStr">
        <is>
          <t>JÄMTLANDS LÄN</t>
        </is>
      </c>
      <c r="E494" t="inlineStr">
        <is>
          <t>RAGUNDA</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53769-2023</t>
        </is>
      </c>
      <c r="B495" s="1" t="n">
        <v>45230</v>
      </c>
      <c r="C495" s="1" t="n">
        <v>45930</v>
      </c>
      <c r="D495" t="inlineStr">
        <is>
          <t>JÄMTLANDS LÄN</t>
        </is>
      </c>
      <c r="E495" t="inlineStr">
        <is>
          <t>RAGUNDA</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41876-2025</t>
        </is>
      </c>
      <c r="B496" s="1" t="n">
        <v>45903.34555555556</v>
      </c>
      <c r="C496" s="1" t="n">
        <v>45930</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42269-2025</t>
        </is>
      </c>
      <c r="B497" s="1" t="n">
        <v>45904.60431712963</v>
      </c>
      <c r="C497" s="1" t="n">
        <v>45930</v>
      </c>
      <c r="D497" t="inlineStr">
        <is>
          <t>JÄMTLANDS LÄN</t>
        </is>
      </c>
      <c r="E497" t="inlineStr">
        <is>
          <t>RAGUNDA</t>
        </is>
      </c>
      <c r="G497" t="n">
        <v>4.3</v>
      </c>
      <c r="H497" t="n">
        <v>0</v>
      </c>
      <c r="I497" t="n">
        <v>0</v>
      </c>
      <c r="J497" t="n">
        <v>0</v>
      </c>
      <c r="K497" t="n">
        <v>0</v>
      </c>
      <c r="L497" t="n">
        <v>0</v>
      </c>
      <c r="M497" t="n">
        <v>0</v>
      </c>
      <c r="N497" t="n">
        <v>0</v>
      </c>
      <c r="O497" t="n">
        <v>0</v>
      </c>
      <c r="P497" t="n">
        <v>0</v>
      </c>
      <c r="Q497" t="n">
        <v>0</v>
      </c>
      <c r="R497" s="2" t="inlineStr"/>
    </row>
    <row r="498" ht="15" customHeight="1">
      <c r="A498" t="inlineStr">
        <is>
          <t>A 69153-2021</t>
        </is>
      </c>
      <c r="B498" s="1" t="n">
        <v>44530.94694444445</v>
      </c>
      <c r="C498" s="1" t="n">
        <v>45930</v>
      </c>
      <c r="D498" t="inlineStr">
        <is>
          <t>JÄMTLANDS LÄN</t>
        </is>
      </c>
      <c r="E498" t="inlineStr">
        <is>
          <t>RAGUNDA</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4882-2023</t>
        </is>
      </c>
      <c r="B499" s="1" t="n">
        <v>44957.94075231482</v>
      </c>
      <c r="C499" s="1" t="n">
        <v>45930</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39608-2024</t>
        </is>
      </c>
      <c r="B500" s="1" t="n">
        <v>45552.39113425926</v>
      </c>
      <c r="C500" s="1" t="n">
        <v>45930</v>
      </c>
      <c r="D500" t="inlineStr">
        <is>
          <t>JÄMTLANDS LÄN</t>
        </is>
      </c>
      <c r="E500" t="inlineStr">
        <is>
          <t>RAGUNDA</t>
        </is>
      </c>
      <c r="G500" t="n">
        <v>3.2</v>
      </c>
      <c r="H500" t="n">
        <v>0</v>
      </c>
      <c r="I500" t="n">
        <v>0</v>
      </c>
      <c r="J500" t="n">
        <v>0</v>
      </c>
      <c r="K500" t="n">
        <v>0</v>
      </c>
      <c r="L500" t="n">
        <v>0</v>
      </c>
      <c r="M500" t="n">
        <v>0</v>
      </c>
      <c r="N500" t="n">
        <v>0</v>
      </c>
      <c r="O500" t="n">
        <v>0</v>
      </c>
      <c r="P500" t="n">
        <v>0</v>
      </c>
      <c r="Q500" t="n">
        <v>0</v>
      </c>
      <c r="R500" s="2" t="inlineStr"/>
    </row>
    <row r="501" ht="15" customHeight="1">
      <c r="A501" t="inlineStr">
        <is>
          <t>A 21401-2024</t>
        </is>
      </c>
      <c r="B501" s="1" t="n">
        <v>45441.33313657407</v>
      </c>
      <c r="C501" s="1" t="n">
        <v>45930</v>
      </c>
      <c r="D501" t="inlineStr">
        <is>
          <t>JÄMTLANDS LÄN</t>
        </is>
      </c>
      <c r="E501" t="inlineStr">
        <is>
          <t>RAGUNDA</t>
        </is>
      </c>
      <c r="G501" t="n">
        <v>3.7</v>
      </c>
      <c r="H501" t="n">
        <v>0</v>
      </c>
      <c r="I501" t="n">
        <v>0</v>
      </c>
      <c r="J501" t="n">
        <v>0</v>
      </c>
      <c r="K501" t="n">
        <v>0</v>
      </c>
      <c r="L501" t="n">
        <v>0</v>
      </c>
      <c r="M501" t="n">
        <v>0</v>
      </c>
      <c r="N501" t="n">
        <v>0</v>
      </c>
      <c r="O501" t="n">
        <v>0</v>
      </c>
      <c r="P501" t="n">
        <v>0</v>
      </c>
      <c r="Q501" t="n">
        <v>0</v>
      </c>
      <c r="R501" s="2" t="inlineStr"/>
    </row>
    <row r="502" ht="15" customHeight="1">
      <c r="A502" t="inlineStr">
        <is>
          <t>A 18454-2021</t>
        </is>
      </c>
      <c r="B502" s="1" t="n">
        <v>44305.92047453704</v>
      </c>
      <c r="C502" s="1" t="n">
        <v>45930</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40919-2024</t>
        </is>
      </c>
      <c r="B503" s="1" t="n">
        <v>45558.63575231482</v>
      </c>
      <c r="C503" s="1" t="n">
        <v>45930</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15024-2022</t>
        </is>
      </c>
      <c r="B504" s="1" t="n">
        <v>44657</v>
      </c>
      <c r="C504" s="1" t="n">
        <v>45930</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23528-2024</t>
        </is>
      </c>
      <c r="B505" s="1" t="n">
        <v>45453.95016203704</v>
      </c>
      <c r="C505" s="1" t="n">
        <v>45930</v>
      </c>
      <c r="D505" t="inlineStr">
        <is>
          <t>JÄMTLANDS LÄN</t>
        </is>
      </c>
      <c r="E505" t="inlineStr">
        <is>
          <t>RAGUNDA</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26455-2023</t>
        </is>
      </c>
      <c r="B506" s="1" t="n">
        <v>45092</v>
      </c>
      <c r="C506" s="1" t="n">
        <v>45930</v>
      </c>
      <c r="D506" t="inlineStr">
        <is>
          <t>JÄMTLANDS LÄN</t>
        </is>
      </c>
      <c r="E506" t="inlineStr">
        <is>
          <t>RAGUNDA</t>
        </is>
      </c>
      <c r="G506" t="n">
        <v>3.8</v>
      </c>
      <c r="H506" t="n">
        <v>0</v>
      </c>
      <c r="I506" t="n">
        <v>0</v>
      </c>
      <c r="J506" t="n">
        <v>0</v>
      </c>
      <c r="K506" t="n">
        <v>0</v>
      </c>
      <c r="L506" t="n">
        <v>0</v>
      </c>
      <c r="M506" t="n">
        <v>0</v>
      </c>
      <c r="N506" t="n">
        <v>0</v>
      </c>
      <c r="O506" t="n">
        <v>0</v>
      </c>
      <c r="P506" t="n">
        <v>0</v>
      </c>
      <c r="Q506" t="n">
        <v>0</v>
      </c>
      <c r="R506" s="2" t="inlineStr"/>
    </row>
    <row r="507" ht="15" customHeight="1">
      <c r="A507" t="inlineStr">
        <is>
          <t>A 48192-2024</t>
        </is>
      </c>
      <c r="B507" s="1" t="n">
        <v>45590</v>
      </c>
      <c r="C507" s="1" t="n">
        <v>45930</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12768-2022</t>
        </is>
      </c>
      <c r="B508" s="1" t="n">
        <v>44641</v>
      </c>
      <c r="C508" s="1" t="n">
        <v>45930</v>
      </c>
      <c r="D508" t="inlineStr">
        <is>
          <t>JÄMTLANDS LÄN</t>
        </is>
      </c>
      <c r="E508" t="inlineStr">
        <is>
          <t>RAGUNDA</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12773-2022</t>
        </is>
      </c>
      <c r="B509" s="1" t="n">
        <v>44641</v>
      </c>
      <c r="C509" s="1" t="n">
        <v>45930</v>
      </c>
      <c r="D509" t="inlineStr">
        <is>
          <t>JÄMTLANDS LÄN</t>
        </is>
      </c>
      <c r="E509" t="inlineStr">
        <is>
          <t>RAGUNDA</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22412-2024</t>
        </is>
      </c>
      <c r="B510" s="1" t="n">
        <v>45446.68947916666</v>
      </c>
      <c r="C510" s="1" t="n">
        <v>45930</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24196-2024</t>
        </is>
      </c>
      <c r="B511" s="1" t="n">
        <v>45456.96569444444</v>
      </c>
      <c r="C511" s="1" t="n">
        <v>45930</v>
      </c>
      <c r="D511" t="inlineStr">
        <is>
          <t>JÄMTLANDS LÄN</t>
        </is>
      </c>
      <c r="E511" t="inlineStr">
        <is>
          <t>RAGUNDA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6801-2023</t>
        </is>
      </c>
      <c r="B512" s="1" t="n">
        <v>44966.95328703704</v>
      </c>
      <c r="C512" s="1" t="n">
        <v>45930</v>
      </c>
      <c r="D512" t="inlineStr">
        <is>
          <t>JÄMTLANDS LÄN</t>
        </is>
      </c>
      <c r="E512" t="inlineStr">
        <is>
          <t>RAGUNDA</t>
        </is>
      </c>
      <c r="F512" t="inlineStr">
        <is>
          <t>SCA</t>
        </is>
      </c>
      <c r="G512" t="n">
        <v>10.6</v>
      </c>
      <c r="H512" t="n">
        <v>0</v>
      </c>
      <c r="I512" t="n">
        <v>0</v>
      </c>
      <c r="J512" t="n">
        <v>0</v>
      </c>
      <c r="K512" t="n">
        <v>0</v>
      </c>
      <c r="L512" t="n">
        <v>0</v>
      </c>
      <c r="M512" t="n">
        <v>0</v>
      </c>
      <c r="N512" t="n">
        <v>0</v>
      </c>
      <c r="O512" t="n">
        <v>0</v>
      </c>
      <c r="P512" t="n">
        <v>0</v>
      </c>
      <c r="Q512" t="n">
        <v>0</v>
      </c>
      <c r="R512" s="2" t="inlineStr"/>
    </row>
    <row r="513" ht="15" customHeight="1">
      <c r="A513" t="inlineStr">
        <is>
          <t>A 42393-2025</t>
        </is>
      </c>
      <c r="B513" s="1" t="n">
        <v>45905</v>
      </c>
      <c r="C513" s="1" t="n">
        <v>45930</v>
      </c>
      <c r="D513" t="inlineStr">
        <is>
          <t>JÄMTLANDS LÄN</t>
        </is>
      </c>
      <c r="E513" t="inlineStr">
        <is>
          <t>RAGUNDA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55701-2021</t>
        </is>
      </c>
      <c r="B514" s="1" t="n">
        <v>44475</v>
      </c>
      <c r="C514" s="1" t="n">
        <v>45930</v>
      </c>
      <c r="D514" t="inlineStr">
        <is>
          <t>JÄMTLANDS LÄN</t>
        </is>
      </c>
      <c r="E514" t="inlineStr">
        <is>
          <t>RAGUNDA</t>
        </is>
      </c>
      <c r="G514" t="n">
        <v>5.6</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45930</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45930</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18375-2022</t>
        </is>
      </c>
      <c r="B517" s="1" t="n">
        <v>44685</v>
      </c>
      <c r="C517" s="1" t="n">
        <v>45930</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55536-2024</t>
        </is>
      </c>
      <c r="B518" s="1" t="n">
        <v>45622</v>
      </c>
      <c r="C518" s="1" t="n">
        <v>45930</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42776-2025</t>
        </is>
      </c>
      <c r="B519" s="1" t="n">
        <v>45908.48993055556</v>
      </c>
      <c r="C519" s="1" t="n">
        <v>45930</v>
      </c>
      <c r="D519" t="inlineStr">
        <is>
          <t>JÄMTLANDS LÄN</t>
        </is>
      </c>
      <c r="E519" t="inlineStr">
        <is>
          <t>RAGUNDA</t>
        </is>
      </c>
      <c r="G519" t="n">
        <v>11.6</v>
      </c>
      <c r="H519" t="n">
        <v>0</v>
      </c>
      <c r="I519" t="n">
        <v>0</v>
      </c>
      <c r="J519" t="n">
        <v>0</v>
      </c>
      <c r="K519" t="n">
        <v>0</v>
      </c>
      <c r="L519" t="n">
        <v>0</v>
      </c>
      <c r="M519" t="n">
        <v>0</v>
      </c>
      <c r="N519" t="n">
        <v>0</v>
      </c>
      <c r="O519" t="n">
        <v>0</v>
      </c>
      <c r="P519" t="n">
        <v>0</v>
      </c>
      <c r="Q519" t="n">
        <v>0</v>
      </c>
      <c r="R519" s="2" t="inlineStr"/>
    </row>
    <row r="520" ht="15" customHeight="1">
      <c r="A520" t="inlineStr">
        <is>
          <t>A 54092-2024</t>
        </is>
      </c>
      <c r="B520" s="1" t="n">
        <v>45616.5108912037</v>
      </c>
      <c r="C520" s="1" t="n">
        <v>45930</v>
      </c>
      <c r="D520" t="inlineStr">
        <is>
          <t>JÄMTLANDS LÄN</t>
        </is>
      </c>
      <c r="E520" t="inlineStr">
        <is>
          <t>RAGUNDA</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10641-2024</t>
        </is>
      </c>
      <c r="B521" s="1" t="n">
        <v>45367.69850694444</v>
      </c>
      <c r="C521" s="1" t="n">
        <v>45930</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10644-2024</t>
        </is>
      </c>
      <c r="B522" s="1" t="n">
        <v>45367.71348379629</v>
      </c>
      <c r="C522" s="1" t="n">
        <v>45930</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2411-2023</t>
        </is>
      </c>
      <c r="B523" s="1" t="n">
        <v>44942</v>
      </c>
      <c r="C523" s="1" t="n">
        <v>45930</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17559-2023</t>
        </is>
      </c>
      <c r="B524" s="1" t="n">
        <v>45034</v>
      </c>
      <c r="C524" s="1" t="n">
        <v>45930</v>
      </c>
      <c r="D524" t="inlineStr">
        <is>
          <t>JÄMTLANDS LÄN</t>
        </is>
      </c>
      <c r="E524" t="inlineStr">
        <is>
          <t>RAGUNDA</t>
        </is>
      </c>
      <c r="G524" t="n">
        <v>7.5</v>
      </c>
      <c r="H524" t="n">
        <v>0</v>
      </c>
      <c r="I524" t="n">
        <v>0</v>
      </c>
      <c r="J524" t="n">
        <v>0</v>
      </c>
      <c r="K524" t="n">
        <v>0</v>
      </c>
      <c r="L524" t="n">
        <v>0</v>
      </c>
      <c r="M524" t="n">
        <v>0</v>
      </c>
      <c r="N524" t="n">
        <v>0</v>
      </c>
      <c r="O524" t="n">
        <v>0</v>
      </c>
      <c r="P524" t="n">
        <v>0</v>
      </c>
      <c r="Q524" t="n">
        <v>0</v>
      </c>
      <c r="R524" s="2" t="inlineStr"/>
    </row>
    <row r="525" ht="15" customHeight="1">
      <c r="A525" t="inlineStr">
        <is>
          <t>A 11834-2023</t>
        </is>
      </c>
      <c r="B525" s="1" t="n">
        <v>44994.94296296296</v>
      </c>
      <c r="C525" s="1" t="n">
        <v>45930</v>
      </c>
      <c r="D525" t="inlineStr">
        <is>
          <t>JÄMTLANDS LÄN</t>
        </is>
      </c>
      <c r="E525" t="inlineStr">
        <is>
          <t>RAGUNDA</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53264-2024</t>
        </is>
      </c>
      <c r="B526" s="1" t="n">
        <v>45614.34545138889</v>
      </c>
      <c r="C526" s="1" t="n">
        <v>45930</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43177-2025</t>
        </is>
      </c>
      <c r="B527" s="1" t="n">
        <v>45910.40667824074</v>
      </c>
      <c r="C527" s="1" t="n">
        <v>45930</v>
      </c>
      <c r="D527" t="inlineStr">
        <is>
          <t>JÄMTLANDS LÄN</t>
        </is>
      </c>
      <c r="E527" t="inlineStr">
        <is>
          <t>RAGUNDA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50431-2024</t>
        </is>
      </c>
      <c r="B528" s="1" t="n">
        <v>45601.40686342592</v>
      </c>
      <c r="C528" s="1" t="n">
        <v>45930</v>
      </c>
      <c r="D528" t="inlineStr">
        <is>
          <t>JÄMTLANDS LÄN</t>
        </is>
      </c>
      <c r="E528" t="inlineStr">
        <is>
          <t>RAGUNDA</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2224-2024</t>
        </is>
      </c>
      <c r="B529" s="1" t="n">
        <v>45309.92524305556</v>
      </c>
      <c r="C529" s="1" t="n">
        <v>45930</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30826-2023</t>
        </is>
      </c>
      <c r="B530" s="1" t="n">
        <v>45112</v>
      </c>
      <c r="C530" s="1" t="n">
        <v>45930</v>
      </c>
      <c r="D530" t="inlineStr">
        <is>
          <t>JÄMTLANDS LÄN</t>
        </is>
      </c>
      <c r="E530" t="inlineStr">
        <is>
          <t>RAGUNDA</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16334-2025</t>
        </is>
      </c>
      <c r="B531" s="1" t="n">
        <v>45751.36490740741</v>
      </c>
      <c r="C531" s="1" t="n">
        <v>45930</v>
      </c>
      <c r="D531" t="inlineStr">
        <is>
          <t>JÄMTLANDS LÄN</t>
        </is>
      </c>
      <c r="E531" t="inlineStr">
        <is>
          <t>RAGUNDA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56191-2022</t>
        </is>
      </c>
      <c r="B532" s="1" t="n">
        <v>44889.95015046297</v>
      </c>
      <c r="C532" s="1" t="n">
        <v>45930</v>
      </c>
      <c r="D532" t="inlineStr">
        <is>
          <t>JÄMTLANDS LÄN</t>
        </is>
      </c>
      <c r="E532" t="inlineStr">
        <is>
          <t>RAGUNDA</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43181-2025</t>
        </is>
      </c>
      <c r="B533" s="1" t="n">
        <v>45910.40721064815</v>
      </c>
      <c r="C533" s="1" t="n">
        <v>45930</v>
      </c>
      <c r="D533" t="inlineStr">
        <is>
          <t>JÄMTLANDS LÄN</t>
        </is>
      </c>
      <c r="E533" t="inlineStr">
        <is>
          <t>RAGUNDA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33621-2023</t>
        </is>
      </c>
      <c r="B534" s="1" t="n">
        <v>45119</v>
      </c>
      <c r="C534" s="1" t="n">
        <v>45930</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65216-2023</t>
        </is>
      </c>
      <c r="B535" s="1" t="n">
        <v>45289</v>
      </c>
      <c r="C535" s="1" t="n">
        <v>45930</v>
      </c>
      <c r="D535" t="inlineStr">
        <is>
          <t>JÄMTLANDS LÄN</t>
        </is>
      </c>
      <c r="E535" t="inlineStr">
        <is>
          <t>RAGUNDA</t>
        </is>
      </c>
      <c r="G535" t="n">
        <v>2.9</v>
      </c>
      <c r="H535" t="n">
        <v>0</v>
      </c>
      <c r="I535" t="n">
        <v>0</v>
      </c>
      <c r="J535" t="n">
        <v>0</v>
      </c>
      <c r="K535" t="n">
        <v>0</v>
      </c>
      <c r="L535" t="n">
        <v>0</v>
      </c>
      <c r="M535" t="n">
        <v>0</v>
      </c>
      <c r="N535" t="n">
        <v>0</v>
      </c>
      <c r="O535" t="n">
        <v>0</v>
      </c>
      <c r="P535" t="n">
        <v>0</v>
      </c>
      <c r="Q535" t="n">
        <v>0</v>
      </c>
      <c r="R535" s="2" t="inlineStr"/>
    </row>
    <row r="536" ht="15" customHeight="1">
      <c r="A536" t="inlineStr">
        <is>
          <t>A 43330-2025</t>
        </is>
      </c>
      <c r="B536" s="1" t="n">
        <v>45910.67766203704</v>
      </c>
      <c r="C536" s="1" t="n">
        <v>45930</v>
      </c>
      <c r="D536" t="inlineStr">
        <is>
          <t>JÄMTLANDS LÄN</t>
        </is>
      </c>
      <c r="E536" t="inlineStr">
        <is>
          <t>RAGUNDA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60838-2023</t>
        </is>
      </c>
      <c r="B537" s="1" t="n">
        <v>45260.92561342593</v>
      </c>
      <c r="C537" s="1" t="n">
        <v>45930</v>
      </c>
      <c r="D537" t="inlineStr">
        <is>
          <t>JÄMTLANDS LÄN</t>
        </is>
      </c>
      <c r="E537" t="inlineStr">
        <is>
          <t>RAGUNDA</t>
        </is>
      </c>
      <c r="G537" t="n">
        <v>2.7</v>
      </c>
      <c r="H537" t="n">
        <v>0</v>
      </c>
      <c r="I537" t="n">
        <v>0</v>
      </c>
      <c r="J537" t="n">
        <v>0</v>
      </c>
      <c r="K537" t="n">
        <v>0</v>
      </c>
      <c r="L537" t="n">
        <v>0</v>
      </c>
      <c r="M537" t="n">
        <v>0</v>
      </c>
      <c r="N537" t="n">
        <v>0</v>
      </c>
      <c r="O537" t="n">
        <v>0</v>
      </c>
      <c r="P537" t="n">
        <v>0</v>
      </c>
      <c r="Q537" t="n">
        <v>0</v>
      </c>
      <c r="R537" s="2" t="inlineStr"/>
    </row>
    <row r="538" ht="15" customHeight="1">
      <c r="A538" t="inlineStr">
        <is>
          <t>A 2133-2023</t>
        </is>
      </c>
      <c r="B538" s="1" t="n">
        <v>44939</v>
      </c>
      <c r="C538" s="1" t="n">
        <v>45930</v>
      </c>
      <c r="D538" t="inlineStr">
        <is>
          <t>JÄMTLANDS LÄN</t>
        </is>
      </c>
      <c r="E538" t="inlineStr">
        <is>
          <t>RAGUNDA</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7284-2024</t>
        </is>
      </c>
      <c r="B539" s="1" t="n">
        <v>45344.92865740741</v>
      </c>
      <c r="C539" s="1" t="n">
        <v>45930</v>
      </c>
      <c r="D539" t="inlineStr">
        <is>
          <t>JÄMTLANDS LÄN</t>
        </is>
      </c>
      <c r="E539" t="inlineStr">
        <is>
          <t>RAGUNDA</t>
        </is>
      </c>
      <c r="G539" t="n">
        <v>2.1</v>
      </c>
      <c r="H539" t="n">
        <v>0</v>
      </c>
      <c r="I539" t="n">
        <v>0</v>
      </c>
      <c r="J539" t="n">
        <v>0</v>
      </c>
      <c r="K539" t="n">
        <v>0</v>
      </c>
      <c r="L539" t="n">
        <v>0</v>
      </c>
      <c r="M539" t="n">
        <v>0</v>
      </c>
      <c r="N539" t="n">
        <v>0</v>
      </c>
      <c r="O539" t="n">
        <v>0</v>
      </c>
      <c r="P539" t="n">
        <v>0</v>
      </c>
      <c r="Q539" t="n">
        <v>0</v>
      </c>
      <c r="R539" s="2" t="inlineStr"/>
    </row>
    <row r="540" ht="15" customHeight="1">
      <c r="A540" t="inlineStr">
        <is>
          <t>A 7285-2024</t>
        </is>
      </c>
      <c r="B540" s="1" t="n">
        <v>45344.92873842592</v>
      </c>
      <c r="C540" s="1" t="n">
        <v>45930</v>
      </c>
      <c r="D540" t="inlineStr">
        <is>
          <t>JÄMTLANDS LÄN</t>
        </is>
      </c>
      <c r="E540" t="inlineStr">
        <is>
          <t>RAGUNDA</t>
        </is>
      </c>
      <c r="G540" t="n">
        <v>0.5</v>
      </c>
      <c r="H540" t="n">
        <v>0</v>
      </c>
      <c r="I540" t="n">
        <v>0</v>
      </c>
      <c r="J540" t="n">
        <v>0</v>
      </c>
      <c r="K540" t="n">
        <v>0</v>
      </c>
      <c r="L540" t="n">
        <v>0</v>
      </c>
      <c r="M540" t="n">
        <v>0</v>
      </c>
      <c r="N540" t="n">
        <v>0</v>
      </c>
      <c r="O540" t="n">
        <v>0</v>
      </c>
      <c r="P540" t="n">
        <v>0</v>
      </c>
      <c r="Q540" t="n">
        <v>0</v>
      </c>
      <c r="R540" s="2" t="inlineStr"/>
    </row>
    <row r="541" ht="15" customHeight="1">
      <c r="A541" t="inlineStr">
        <is>
          <t>A 56702-2023</t>
        </is>
      </c>
      <c r="B541" s="1" t="n">
        <v>45243</v>
      </c>
      <c r="C541" s="1" t="n">
        <v>45930</v>
      </c>
      <c r="D541" t="inlineStr">
        <is>
          <t>JÄMTLANDS LÄN</t>
        </is>
      </c>
      <c r="E541" t="inlineStr">
        <is>
          <t>RAGUNDA</t>
        </is>
      </c>
      <c r="F541" t="inlineStr">
        <is>
          <t>SCA</t>
        </is>
      </c>
      <c r="G541" t="n">
        <v>10.3</v>
      </c>
      <c r="H541" t="n">
        <v>0</v>
      </c>
      <c r="I541" t="n">
        <v>0</v>
      </c>
      <c r="J541" t="n">
        <v>0</v>
      </c>
      <c r="K541" t="n">
        <v>0</v>
      </c>
      <c r="L541" t="n">
        <v>0</v>
      </c>
      <c r="M541" t="n">
        <v>0</v>
      </c>
      <c r="N541" t="n">
        <v>0</v>
      </c>
      <c r="O541" t="n">
        <v>0</v>
      </c>
      <c r="P541" t="n">
        <v>0</v>
      </c>
      <c r="Q541" t="n">
        <v>0</v>
      </c>
      <c r="R541" s="2" t="inlineStr"/>
    </row>
    <row r="542" ht="15" customHeight="1">
      <c r="A542" t="inlineStr">
        <is>
          <t>A 63708-2023</t>
        </is>
      </c>
      <c r="B542" s="1" t="n">
        <v>45275.95060185185</v>
      </c>
      <c r="C542" s="1" t="n">
        <v>45930</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26651-2024</t>
        </is>
      </c>
      <c r="B543" s="1" t="n">
        <v>45469.94876157407</v>
      </c>
      <c r="C543" s="1" t="n">
        <v>45930</v>
      </c>
      <c r="D543" t="inlineStr">
        <is>
          <t>JÄMTLANDS LÄN</t>
        </is>
      </c>
      <c r="E543" t="inlineStr">
        <is>
          <t>RAGUNDA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2242-2024</t>
        </is>
      </c>
      <c r="B544" s="1" t="n">
        <v>45309</v>
      </c>
      <c r="C544" s="1" t="n">
        <v>45930</v>
      </c>
      <c r="D544" t="inlineStr">
        <is>
          <t>JÄMTLANDS LÄN</t>
        </is>
      </c>
      <c r="E544" t="inlineStr">
        <is>
          <t>RAGUNDA</t>
        </is>
      </c>
      <c r="G544" t="n">
        <v>0.9</v>
      </c>
      <c r="H544" t="n">
        <v>0</v>
      </c>
      <c r="I544" t="n">
        <v>0</v>
      </c>
      <c r="J544" t="n">
        <v>0</v>
      </c>
      <c r="K544" t="n">
        <v>0</v>
      </c>
      <c r="L544" t="n">
        <v>0</v>
      </c>
      <c r="M544" t="n">
        <v>0</v>
      </c>
      <c r="N544" t="n">
        <v>0</v>
      </c>
      <c r="O544" t="n">
        <v>0</v>
      </c>
      <c r="P544" t="n">
        <v>0</v>
      </c>
      <c r="Q544" t="n">
        <v>0</v>
      </c>
      <c r="R544" s="2" t="inlineStr"/>
    </row>
    <row r="545" ht="15" customHeight="1">
      <c r="A545" t="inlineStr">
        <is>
          <t>A 2248-2024</t>
        </is>
      </c>
      <c r="B545" s="1" t="n">
        <v>45309</v>
      </c>
      <c r="C545" s="1" t="n">
        <v>45930</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5958-2021</t>
        </is>
      </c>
      <c r="B546" s="1" t="n">
        <v>44231</v>
      </c>
      <c r="C546" s="1" t="n">
        <v>45930</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49647-2024</t>
        </is>
      </c>
      <c r="B547" s="1" t="n">
        <v>45596.61533564814</v>
      </c>
      <c r="C547" s="1" t="n">
        <v>45930</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43776-2025</t>
        </is>
      </c>
      <c r="B548" s="1" t="n">
        <v>45912.51086805556</v>
      </c>
      <c r="C548" s="1" t="n">
        <v>45930</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24197-2024</t>
        </is>
      </c>
      <c r="B549" s="1" t="n">
        <v>45456.96601851852</v>
      </c>
      <c r="C549" s="1" t="n">
        <v>45930</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4916-2025</t>
        </is>
      </c>
      <c r="B550" s="1" t="n">
        <v>45688.68196759259</v>
      </c>
      <c r="C550" s="1" t="n">
        <v>45930</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6802-2021</t>
        </is>
      </c>
      <c r="B551" s="1" t="n">
        <v>44236</v>
      </c>
      <c r="C551" s="1" t="n">
        <v>45930</v>
      </c>
      <c r="D551" t="inlineStr">
        <is>
          <t>JÄMTLANDS LÄN</t>
        </is>
      </c>
      <c r="E551" t="inlineStr">
        <is>
          <t>RAGUNDA</t>
        </is>
      </c>
      <c r="G551" t="n">
        <v>11.2</v>
      </c>
      <c r="H551" t="n">
        <v>0</v>
      </c>
      <c r="I551" t="n">
        <v>0</v>
      </c>
      <c r="J551" t="n">
        <v>0</v>
      </c>
      <c r="K551" t="n">
        <v>0</v>
      </c>
      <c r="L551" t="n">
        <v>0</v>
      </c>
      <c r="M551" t="n">
        <v>0</v>
      </c>
      <c r="N551" t="n">
        <v>0</v>
      </c>
      <c r="O551" t="n">
        <v>0</v>
      </c>
      <c r="P551" t="n">
        <v>0</v>
      </c>
      <c r="Q551" t="n">
        <v>0</v>
      </c>
      <c r="R551" s="2" t="inlineStr"/>
    </row>
    <row r="552" ht="15" customHeight="1">
      <c r="A552" t="inlineStr">
        <is>
          <t>A 36541-2025</t>
        </is>
      </c>
      <c r="B552" s="1" t="n">
        <v>45869.65666666667</v>
      </c>
      <c r="C552" s="1" t="n">
        <v>45930</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36544-2025</t>
        </is>
      </c>
      <c r="B553" s="1" t="n">
        <v>45869.67744212963</v>
      </c>
      <c r="C553" s="1" t="n">
        <v>45930</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64415-2023</t>
        </is>
      </c>
      <c r="B554" s="1" t="n">
        <v>45280</v>
      </c>
      <c r="C554" s="1" t="n">
        <v>45930</v>
      </c>
      <c r="D554" t="inlineStr">
        <is>
          <t>JÄMTLANDS LÄN</t>
        </is>
      </c>
      <c r="E554" t="inlineStr">
        <is>
          <t>RAGUNDA</t>
        </is>
      </c>
      <c r="G554" t="n">
        <v>5.1</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45930</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50486-2023</t>
        </is>
      </c>
      <c r="B556" s="1" t="n">
        <v>45216.92424768519</v>
      </c>
      <c r="C556" s="1" t="n">
        <v>45930</v>
      </c>
      <c r="D556" t="inlineStr">
        <is>
          <t>JÄMTLANDS LÄN</t>
        </is>
      </c>
      <c r="E556" t="inlineStr">
        <is>
          <t>RAGUNDA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9084-2023</t>
        </is>
      </c>
      <c r="B557" s="1" t="n">
        <v>44979</v>
      </c>
      <c r="C557" s="1" t="n">
        <v>45930</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9360-2023</t>
        </is>
      </c>
      <c r="B558" s="1" t="n">
        <v>44980.93865740741</v>
      </c>
      <c r="C558" s="1" t="n">
        <v>45930</v>
      </c>
      <c r="D558" t="inlineStr">
        <is>
          <t>JÄMTLANDS LÄN</t>
        </is>
      </c>
      <c r="E558" t="inlineStr">
        <is>
          <t>RAGUNDA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66706-2021</t>
        </is>
      </c>
      <c r="B559" s="1" t="n">
        <v>44519.94440972222</v>
      </c>
      <c r="C559" s="1" t="n">
        <v>45930</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32259-2024</t>
        </is>
      </c>
      <c r="B560" s="1" t="n">
        <v>45511</v>
      </c>
      <c r="C560" s="1" t="n">
        <v>45930</v>
      </c>
      <c r="D560" t="inlineStr">
        <is>
          <t>JÄMTLANDS LÄN</t>
        </is>
      </c>
      <c r="E560" t="inlineStr">
        <is>
          <t>RAGUNDA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38782-2021</t>
        </is>
      </c>
      <c r="B561" s="1" t="n">
        <v>44410</v>
      </c>
      <c r="C561" s="1" t="n">
        <v>45930</v>
      </c>
      <c r="D561" t="inlineStr">
        <is>
          <t>JÄMTLANDS LÄN</t>
        </is>
      </c>
      <c r="E561" t="inlineStr">
        <is>
          <t>RAGUNDA</t>
        </is>
      </c>
      <c r="G561" t="n">
        <v>3.2</v>
      </c>
      <c r="H561" t="n">
        <v>0</v>
      </c>
      <c r="I561" t="n">
        <v>0</v>
      </c>
      <c r="J561" t="n">
        <v>0</v>
      </c>
      <c r="K561" t="n">
        <v>0</v>
      </c>
      <c r="L561" t="n">
        <v>0</v>
      </c>
      <c r="M561" t="n">
        <v>0</v>
      </c>
      <c r="N561" t="n">
        <v>0</v>
      </c>
      <c r="O561" t="n">
        <v>0</v>
      </c>
      <c r="P561" t="n">
        <v>0</v>
      </c>
      <c r="Q561" t="n">
        <v>0</v>
      </c>
      <c r="R561" s="2" t="inlineStr"/>
    </row>
    <row r="562" ht="15" customHeight="1">
      <c r="A562" t="inlineStr">
        <is>
          <t>A 23305-2023</t>
        </is>
      </c>
      <c r="B562" s="1" t="n">
        <v>45075.94506944445</v>
      </c>
      <c r="C562" s="1" t="n">
        <v>45930</v>
      </c>
      <c r="D562" t="inlineStr">
        <is>
          <t>JÄMTLANDS LÄN</t>
        </is>
      </c>
      <c r="E562" t="inlineStr">
        <is>
          <t>RAGUNDA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18778-2024</t>
        </is>
      </c>
      <c r="B563" s="1" t="n">
        <v>45426</v>
      </c>
      <c r="C563" s="1" t="n">
        <v>45930</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16250-2022</t>
        </is>
      </c>
      <c r="B564" s="1" t="n">
        <v>44670</v>
      </c>
      <c r="C564" s="1" t="n">
        <v>45930</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18781-2024</t>
        </is>
      </c>
      <c r="B565" s="1" t="n">
        <v>45426</v>
      </c>
      <c r="C565" s="1" t="n">
        <v>45930</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17248-2023</t>
        </is>
      </c>
      <c r="B566" s="1" t="n">
        <v>45033</v>
      </c>
      <c r="C566" s="1" t="n">
        <v>45930</v>
      </c>
      <c r="D566" t="inlineStr">
        <is>
          <t>JÄMTLANDS LÄN</t>
        </is>
      </c>
      <c r="E566" t="inlineStr">
        <is>
          <t>RAGUNDA</t>
        </is>
      </c>
      <c r="G566" t="n">
        <v>3</v>
      </c>
      <c r="H566" t="n">
        <v>0</v>
      </c>
      <c r="I566" t="n">
        <v>0</v>
      </c>
      <c r="J566" t="n">
        <v>0</v>
      </c>
      <c r="K566" t="n">
        <v>0</v>
      </c>
      <c r="L566" t="n">
        <v>0</v>
      </c>
      <c r="M566" t="n">
        <v>0</v>
      </c>
      <c r="N566" t="n">
        <v>0</v>
      </c>
      <c r="O566" t="n">
        <v>0</v>
      </c>
      <c r="P566" t="n">
        <v>0</v>
      </c>
      <c r="Q566" t="n">
        <v>0</v>
      </c>
      <c r="R566" s="2" t="inlineStr"/>
    </row>
    <row r="567" ht="15" customHeight="1">
      <c r="A567" t="inlineStr">
        <is>
          <t>A 53263-2024</t>
        </is>
      </c>
      <c r="B567" s="1" t="n">
        <v>45614.34541666666</v>
      </c>
      <c r="C567" s="1" t="n">
        <v>45930</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13334-2024</t>
        </is>
      </c>
      <c r="B568" s="1" t="n">
        <v>45386</v>
      </c>
      <c r="C568" s="1" t="n">
        <v>45930</v>
      </c>
      <c r="D568" t="inlineStr">
        <is>
          <t>JÄMTLANDS LÄN</t>
        </is>
      </c>
      <c r="E568" t="inlineStr">
        <is>
          <t>RAGUNDA</t>
        </is>
      </c>
      <c r="G568" t="n">
        <v>8.6</v>
      </c>
      <c r="H568" t="n">
        <v>0</v>
      </c>
      <c r="I568" t="n">
        <v>0</v>
      </c>
      <c r="J568" t="n">
        <v>0</v>
      </c>
      <c r="K568" t="n">
        <v>0</v>
      </c>
      <c r="L568" t="n">
        <v>0</v>
      </c>
      <c r="M568" t="n">
        <v>0</v>
      </c>
      <c r="N568" t="n">
        <v>0</v>
      </c>
      <c r="O568" t="n">
        <v>0</v>
      </c>
      <c r="P568" t="n">
        <v>0</v>
      </c>
      <c r="Q568" t="n">
        <v>0</v>
      </c>
      <c r="R568" s="2" t="inlineStr"/>
    </row>
    <row r="569" ht="15" customHeight="1">
      <c r="A569" t="inlineStr">
        <is>
          <t>A 4615-2023</t>
        </is>
      </c>
      <c r="B569" s="1" t="n">
        <v>44956.93924768519</v>
      </c>
      <c r="C569" s="1" t="n">
        <v>45930</v>
      </c>
      <c r="D569" t="inlineStr">
        <is>
          <t>JÄMTLANDS LÄN</t>
        </is>
      </c>
      <c r="E569" t="inlineStr">
        <is>
          <t>RAGUNDA</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2673-2024</t>
        </is>
      </c>
      <c r="B570" s="1" t="n">
        <v>45314</v>
      </c>
      <c r="C570" s="1" t="n">
        <v>45930</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58630-2024</t>
        </is>
      </c>
      <c r="B571" s="1" t="n">
        <v>45635.57331018519</v>
      </c>
      <c r="C571" s="1" t="n">
        <v>45930</v>
      </c>
      <c r="D571" t="inlineStr">
        <is>
          <t>JÄMTLANDS LÄN</t>
        </is>
      </c>
      <c r="E571" t="inlineStr">
        <is>
          <t>RAGUNDA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57112-2024</t>
        </is>
      </c>
      <c r="B572" s="1" t="n">
        <v>45629.36486111111</v>
      </c>
      <c r="C572" s="1" t="n">
        <v>45930</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36375-2022</t>
        </is>
      </c>
      <c r="B573" s="1" t="n">
        <v>44803.94351851852</v>
      </c>
      <c r="C573" s="1" t="n">
        <v>45930</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43804-2025</t>
        </is>
      </c>
      <c r="B574" s="1" t="n">
        <v>45912.57373842593</v>
      </c>
      <c r="C574" s="1" t="n">
        <v>45930</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43812-2025</t>
        </is>
      </c>
      <c r="B575" s="1" t="n">
        <v>45912.59417824074</v>
      </c>
      <c r="C575" s="1" t="n">
        <v>45930</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14896-2022</t>
        </is>
      </c>
      <c r="B576" s="1" t="n">
        <v>44656</v>
      </c>
      <c r="C576" s="1" t="n">
        <v>45930</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11551-2024</t>
        </is>
      </c>
      <c r="B577" s="1" t="n">
        <v>45372.95762731481</v>
      </c>
      <c r="C577" s="1" t="n">
        <v>45930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17667-2025</t>
        </is>
      </c>
      <c r="B578" s="1" t="n">
        <v>45758.36487268518</v>
      </c>
      <c r="C578" s="1" t="n">
        <v>45930</v>
      </c>
      <c r="D578" t="inlineStr">
        <is>
          <t>JÄMTLANDS LÄN</t>
        </is>
      </c>
      <c r="E578" t="inlineStr">
        <is>
          <t>RAGUNDA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5148-2023</t>
        </is>
      </c>
      <c r="B579" s="1" t="n">
        <v>44958</v>
      </c>
      <c r="C579" s="1" t="n">
        <v>45930</v>
      </c>
      <c r="D579" t="inlineStr">
        <is>
          <t>JÄMTLANDS LÄN</t>
        </is>
      </c>
      <c r="E579" t="inlineStr">
        <is>
          <t>RAGUNDA</t>
        </is>
      </c>
      <c r="G579" t="n">
        <v>2.9</v>
      </c>
      <c r="H579" t="n">
        <v>0</v>
      </c>
      <c r="I579" t="n">
        <v>0</v>
      </c>
      <c r="J579" t="n">
        <v>0</v>
      </c>
      <c r="K579" t="n">
        <v>0</v>
      </c>
      <c r="L579" t="n">
        <v>0</v>
      </c>
      <c r="M579" t="n">
        <v>0</v>
      </c>
      <c r="N579" t="n">
        <v>0</v>
      </c>
      <c r="O579" t="n">
        <v>0</v>
      </c>
      <c r="P579" t="n">
        <v>0</v>
      </c>
      <c r="Q579" t="n">
        <v>0</v>
      </c>
      <c r="R579" s="2" t="inlineStr"/>
    </row>
    <row r="580" ht="15" customHeight="1">
      <c r="A580" t="inlineStr">
        <is>
          <t>A 51049-2024</t>
        </is>
      </c>
      <c r="B580" s="1" t="n">
        <v>45603.44644675926</v>
      </c>
      <c r="C580" s="1" t="n">
        <v>45930</v>
      </c>
      <c r="D580" t="inlineStr">
        <is>
          <t>JÄMTLANDS LÄN</t>
        </is>
      </c>
      <c r="E580" t="inlineStr">
        <is>
          <t>RAGUNDA</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55669-2023</t>
        </is>
      </c>
      <c r="B581" s="1" t="n">
        <v>45238.96797453704</v>
      </c>
      <c r="C581" s="1" t="n">
        <v>45930</v>
      </c>
      <c r="D581" t="inlineStr">
        <is>
          <t>JÄMTLANDS LÄN</t>
        </is>
      </c>
      <c r="E581" t="inlineStr">
        <is>
          <t>RAGUNDA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45930</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55489-2024</t>
        </is>
      </c>
      <c r="B583" s="1" t="n">
        <v>45622.44774305556</v>
      </c>
      <c r="C583" s="1" t="n">
        <v>45930</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14074-2023</t>
        </is>
      </c>
      <c r="B584" s="1" t="n">
        <v>45009.089375</v>
      </c>
      <c r="C584" s="1" t="n">
        <v>45930</v>
      </c>
      <c r="D584" t="inlineStr">
        <is>
          <t>JÄMTLANDS LÄN</t>
        </is>
      </c>
      <c r="E584" t="inlineStr">
        <is>
          <t>RAGUNDA</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43533-2025</t>
        </is>
      </c>
      <c r="B585" s="1" t="n">
        <v>45911</v>
      </c>
      <c r="C585" s="1" t="n">
        <v>45930</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51389-2024</t>
        </is>
      </c>
      <c r="B586" s="1" t="n">
        <v>45604.40540509259</v>
      </c>
      <c r="C586" s="1" t="n">
        <v>45930</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51393-2024</t>
        </is>
      </c>
      <c r="B587" s="1" t="n">
        <v>45604.41625</v>
      </c>
      <c r="C587" s="1" t="n">
        <v>45930</v>
      </c>
      <c r="D587" t="inlineStr">
        <is>
          <t>JÄMTLANDS LÄN</t>
        </is>
      </c>
      <c r="E587" t="inlineStr">
        <is>
          <t>RAGUNDA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43339-2024</t>
        </is>
      </c>
      <c r="B588" s="1" t="n">
        <v>45568.51075231482</v>
      </c>
      <c r="C588" s="1" t="n">
        <v>45930</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38548-2024</t>
        </is>
      </c>
      <c r="B589" s="1" t="n">
        <v>45546</v>
      </c>
      <c r="C589" s="1" t="n">
        <v>45930</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43526-2025</t>
        </is>
      </c>
      <c r="B590" s="1" t="n">
        <v>45911</v>
      </c>
      <c r="C590" s="1" t="n">
        <v>45930</v>
      </c>
      <c r="D590" t="inlineStr">
        <is>
          <t>JÄMTLANDS LÄN</t>
        </is>
      </c>
      <c r="E590" t="inlineStr">
        <is>
          <t>RAGUNDA</t>
        </is>
      </c>
      <c r="G590" t="n">
        <v>5.5</v>
      </c>
      <c r="H590" t="n">
        <v>0</v>
      </c>
      <c r="I590" t="n">
        <v>0</v>
      </c>
      <c r="J590" t="n">
        <v>0</v>
      </c>
      <c r="K590" t="n">
        <v>0</v>
      </c>
      <c r="L590" t="n">
        <v>0</v>
      </c>
      <c r="M590" t="n">
        <v>0</v>
      </c>
      <c r="N590" t="n">
        <v>0</v>
      </c>
      <c r="O590" t="n">
        <v>0</v>
      </c>
      <c r="P590" t="n">
        <v>0</v>
      </c>
      <c r="Q590" t="n">
        <v>0</v>
      </c>
      <c r="R590" s="2" t="inlineStr"/>
    </row>
    <row r="591" ht="15" customHeight="1">
      <c r="A591" t="inlineStr">
        <is>
          <t>A 25304-2023</t>
        </is>
      </c>
      <c r="B591" s="1" t="n">
        <v>45086</v>
      </c>
      <c r="C591" s="1" t="n">
        <v>45930</v>
      </c>
      <c r="D591" t="inlineStr">
        <is>
          <t>JÄMTLANDS LÄN</t>
        </is>
      </c>
      <c r="E591" t="inlineStr">
        <is>
          <t>RAGUNDA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45930</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36947-2025</t>
        </is>
      </c>
      <c r="B593" s="1" t="n">
        <v>45874.59496527778</v>
      </c>
      <c r="C593" s="1" t="n">
        <v>45930</v>
      </c>
      <c r="D593" t="inlineStr">
        <is>
          <t>JÄMTLANDS LÄN</t>
        </is>
      </c>
      <c r="E593" t="inlineStr">
        <is>
          <t>RAGUNDA</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26026-2024</t>
        </is>
      </c>
      <c r="B594" s="1" t="n">
        <v>45467.96207175926</v>
      </c>
      <c r="C594" s="1" t="n">
        <v>45930</v>
      </c>
      <c r="D594" t="inlineStr">
        <is>
          <t>JÄMTLANDS LÄN</t>
        </is>
      </c>
      <c r="E594" t="inlineStr">
        <is>
          <t>RAGUNDA</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60663-2022</t>
        </is>
      </c>
      <c r="B595" s="1" t="n">
        <v>44911.93846064815</v>
      </c>
      <c r="C595" s="1" t="n">
        <v>45930</v>
      </c>
      <c r="D595" t="inlineStr">
        <is>
          <t>JÄMTLANDS LÄN</t>
        </is>
      </c>
      <c r="E595" t="inlineStr">
        <is>
          <t>RAGUNDA</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32075-2025</t>
        </is>
      </c>
      <c r="B596" s="1" t="n">
        <v>45835.4506712963</v>
      </c>
      <c r="C596" s="1" t="n">
        <v>45930</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5971-2025</t>
        </is>
      </c>
      <c r="B597" s="1" t="n">
        <v>45695.51070601852</v>
      </c>
      <c r="C597" s="1" t="n">
        <v>45930</v>
      </c>
      <c r="D597" t="inlineStr">
        <is>
          <t>JÄMTLANDS LÄN</t>
        </is>
      </c>
      <c r="E597" t="inlineStr">
        <is>
          <t>RAGUNDA</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36994-2025</t>
        </is>
      </c>
      <c r="B598" s="1" t="n">
        <v>45874.67746527777</v>
      </c>
      <c r="C598" s="1" t="n">
        <v>45930</v>
      </c>
      <c r="D598" t="inlineStr">
        <is>
          <t>JÄMTLANDS LÄN</t>
        </is>
      </c>
      <c r="E598" t="inlineStr">
        <is>
          <t>RAGUNDA</t>
        </is>
      </c>
      <c r="F598" t="inlineStr">
        <is>
          <t>SCA</t>
        </is>
      </c>
      <c r="G598" t="n">
        <v>7.2</v>
      </c>
      <c r="H598" t="n">
        <v>0</v>
      </c>
      <c r="I598" t="n">
        <v>0</v>
      </c>
      <c r="J598" t="n">
        <v>0</v>
      </c>
      <c r="K598" t="n">
        <v>0</v>
      </c>
      <c r="L598" t="n">
        <v>0</v>
      </c>
      <c r="M598" t="n">
        <v>0</v>
      </c>
      <c r="N598" t="n">
        <v>0</v>
      </c>
      <c r="O598" t="n">
        <v>0</v>
      </c>
      <c r="P598" t="n">
        <v>0</v>
      </c>
      <c r="Q598" t="n">
        <v>0</v>
      </c>
      <c r="R598" s="2" t="inlineStr"/>
    </row>
    <row r="599" ht="15" customHeight="1">
      <c r="A599" t="inlineStr">
        <is>
          <t>A 32874-2025</t>
        </is>
      </c>
      <c r="B599" s="1" t="n">
        <v>45839</v>
      </c>
      <c r="C599" s="1" t="n">
        <v>45930</v>
      </c>
      <c r="D599" t="inlineStr">
        <is>
          <t>JÄMTLANDS LÄN</t>
        </is>
      </c>
      <c r="E599" t="inlineStr">
        <is>
          <t>RAGUNDA</t>
        </is>
      </c>
      <c r="G599" t="n">
        <v>2.3</v>
      </c>
      <c r="H599" t="n">
        <v>0</v>
      </c>
      <c r="I599" t="n">
        <v>0</v>
      </c>
      <c r="J599" t="n">
        <v>0</v>
      </c>
      <c r="K599" t="n">
        <v>0</v>
      </c>
      <c r="L599" t="n">
        <v>0</v>
      </c>
      <c r="M599" t="n">
        <v>0</v>
      </c>
      <c r="N599" t="n">
        <v>0</v>
      </c>
      <c r="O599" t="n">
        <v>0</v>
      </c>
      <c r="P599" t="n">
        <v>0</v>
      </c>
      <c r="Q599" t="n">
        <v>0</v>
      </c>
      <c r="R599" s="2" t="inlineStr"/>
    </row>
    <row r="600" ht="15" customHeight="1">
      <c r="A600" t="inlineStr">
        <is>
          <t>A 30053-2024</t>
        </is>
      </c>
      <c r="B600" s="1" t="n">
        <v>45488.94747685185</v>
      </c>
      <c r="C600" s="1" t="n">
        <v>45930</v>
      </c>
      <c r="D600" t="inlineStr">
        <is>
          <t>JÄMTLANDS LÄN</t>
        </is>
      </c>
      <c r="E600" t="inlineStr">
        <is>
          <t>RAGUNDA</t>
        </is>
      </c>
      <c r="F600" t="inlineStr">
        <is>
          <t>SCA</t>
        </is>
      </c>
      <c r="G600" t="n">
        <v>9.6</v>
      </c>
      <c r="H600" t="n">
        <v>0</v>
      </c>
      <c r="I600" t="n">
        <v>0</v>
      </c>
      <c r="J600" t="n">
        <v>0</v>
      </c>
      <c r="K600" t="n">
        <v>0</v>
      </c>
      <c r="L600" t="n">
        <v>0</v>
      </c>
      <c r="M600" t="n">
        <v>0</v>
      </c>
      <c r="N600" t="n">
        <v>0</v>
      </c>
      <c r="O600" t="n">
        <v>0</v>
      </c>
      <c r="P600" t="n">
        <v>0</v>
      </c>
      <c r="Q600" t="n">
        <v>0</v>
      </c>
      <c r="R600" s="2" t="inlineStr"/>
    </row>
    <row r="601" ht="15" customHeight="1">
      <c r="A601" t="inlineStr">
        <is>
          <t>A 51537-2022</t>
        </is>
      </c>
      <c r="B601" s="1" t="n">
        <v>44869</v>
      </c>
      <c r="C601" s="1" t="n">
        <v>45930</v>
      </c>
      <c r="D601" t="inlineStr">
        <is>
          <t>JÄMTLANDS LÄN</t>
        </is>
      </c>
      <c r="E601" t="inlineStr">
        <is>
          <t>RAGUNDA</t>
        </is>
      </c>
      <c r="G601" t="n">
        <v>1.8</v>
      </c>
      <c r="H601" t="n">
        <v>0</v>
      </c>
      <c r="I601" t="n">
        <v>0</v>
      </c>
      <c r="J601" t="n">
        <v>0</v>
      </c>
      <c r="K601" t="n">
        <v>0</v>
      </c>
      <c r="L601" t="n">
        <v>0</v>
      </c>
      <c r="M601" t="n">
        <v>0</v>
      </c>
      <c r="N601" t="n">
        <v>0</v>
      </c>
      <c r="O601" t="n">
        <v>0</v>
      </c>
      <c r="P601" t="n">
        <v>0</v>
      </c>
      <c r="Q601" t="n">
        <v>0</v>
      </c>
      <c r="R601" s="2" t="inlineStr"/>
    </row>
    <row r="602" ht="15" customHeight="1">
      <c r="A602" t="inlineStr">
        <is>
          <t>A 54764-2024</t>
        </is>
      </c>
      <c r="B602" s="1" t="n">
        <v>45618.46921296296</v>
      </c>
      <c r="C602" s="1" t="n">
        <v>45930</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37008-2025</t>
        </is>
      </c>
      <c r="B603" s="1" t="n">
        <v>45874.69844907407</v>
      </c>
      <c r="C603" s="1" t="n">
        <v>45930</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59496-2024</t>
        </is>
      </c>
      <c r="B604" s="1" t="n">
        <v>45638</v>
      </c>
      <c r="C604" s="1" t="n">
        <v>45930</v>
      </c>
      <c r="D604" t="inlineStr">
        <is>
          <t>JÄMTLANDS LÄN</t>
        </is>
      </c>
      <c r="E604" t="inlineStr">
        <is>
          <t>RAGUNDA</t>
        </is>
      </c>
      <c r="G604" t="n">
        <v>13.1</v>
      </c>
      <c r="H604" t="n">
        <v>0</v>
      </c>
      <c r="I604" t="n">
        <v>0</v>
      </c>
      <c r="J604" t="n">
        <v>0</v>
      </c>
      <c r="K604" t="n">
        <v>0</v>
      </c>
      <c r="L604" t="n">
        <v>0</v>
      </c>
      <c r="M604" t="n">
        <v>0</v>
      </c>
      <c r="N604" t="n">
        <v>0</v>
      </c>
      <c r="O604" t="n">
        <v>0</v>
      </c>
      <c r="P604" t="n">
        <v>0</v>
      </c>
      <c r="Q604" t="n">
        <v>0</v>
      </c>
      <c r="R604" s="2" t="inlineStr"/>
    </row>
    <row r="605" ht="15" customHeight="1">
      <c r="A605" t="inlineStr">
        <is>
          <t>A 37265-2024</t>
        </is>
      </c>
      <c r="B605" s="1" t="n">
        <v>45540.38564814815</v>
      </c>
      <c r="C605" s="1" t="n">
        <v>45930</v>
      </c>
      <c r="D605" t="inlineStr">
        <is>
          <t>JÄMTLANDS LÄN</t>
        </is>
      </c>
      <c r="E605" t="inlineStr">
        <is>
          <t>RAGUNDA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12995-2023</t>
        </is>
      </c>
      <c r="B606" s="1" t="n">
        <v>45002.0328125</v>
      </c>
      <c r="C606" s="1" t="n">
        <v>45930</v>
      </c>
      <c r="D606" t="inlineStr">
        <is>
          <t>JÄMTLANDS LÄN</t>
        </is>
      </c>
      <c r="E606" t="inlineStr">
        <is>
          <t>RAGUNDA</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18612-2024</t>
        </is>
      </c>
      <c r="B607" s="1" t="n">
        <v>45425.96239583333</v>
      </c>
      <c r="C607" s="1" t="n">
        <v>45930</v>
      </c>
      <c r="D607" t="inlineStr">
        <is>
          <t>JÄMTLANDS LÄN</t>
        </is>
      </c>
      <c r="E607" t="inlineStr">
        <is>
          <t>RAGUNDA</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48249-2024</t>
        </is>
      </c>
      <c r="B608" s="1" t="n">
        <v>45590.40675925926</v>
      </c>
      <c r="C608" s="1" t="n">
        <v>45930</v>
      </c>
      <c r="D608" t="inlineStr">
        <is>
          <t>JÄMTLANDS LÄN</t>
        </is>
      </c>
      <c r="E608" t="inlineStr">
        <is>
          <t>RAGUNDA</t>
        </is>
      </c>
      <c r="F608" t="inlineStr">
        <is>
          <t>SCA</t>
        </is>
      </c>
      <c r="G608" t="n">
        <v>14.4</v>
      </c>
      <c r="H608" t="n">
        <v>0</v>
      </c>
      <c r="I608" t="n">
        <v>0</v>
      </c>
      <c r="J608" t="n">
        <v>0</v>
      </c>
      <c r="K608" t="n">
        <v>0</v>
      </c>
      <c r="L608" t="n">
        <v>0</v>
      </c>
      <c r="M608" t="n">
        <v>0</v>
      </c>
      <c r="N608" t="n">
        <v>0</v>
      </c>
      <c r="O608" t="n">
        <v>0</v>
      </c>
      <c r="P608" t="n">
        <v>0</v>
      </c>
      <c r="Q608" t="n">
        <v>0</v>
      </c>
      <c r="R608" s="2" t="inlineStr"/>
    </row>
    <row r="609" ht="15" customHeight="1">
      <c r="A609" t="inlineStr">
        <is>
          <t>A 7279-2024</t>
        </is>
      </c>
      <c r="B609" s="1" t="n">
        <v>45344.92822916667</v>
      </c>
      <c r="C609" s="1" t="n">
        <v>45930</v>
      </c>
      <c r="D609" t="inlineStr">
        <is>
          <t>JÄMTLANDS LÄN</t>
        </is>
      </c>
      <c r="E609" t="inlineStr">
        <is>
          <t>RAGUNDA</t>
        </is>
      </c>
      <c r="G609" t="n">
        <v>2.1</v>
      </c>
      <c r="H609" t="n">
        <v>0</v>
      </c>
      <c r="I609" t="n">
        <v>0</v>
      </c>
      <c r="J609" t="n">
        <v>0</v>
      </c>
      <c r="K609" t="n">
        <v>0</v>
      </c>
      <c r="L609" t="n">
        <v>0</v>
      </c>
      <c r="M609" t="n">
        <v>0</v>
      </c>
      <c r="N609" t="n">
        <v>0</v>
      </c>
      <c r="O609" t="n">
        <v>0</v>
      </c>
      <c r="P609" t="n">
        <v>0</v>
      </c>
      <c r="Q609" t="n">
        <v>0</v>
      </c>
      <c r="R609" s="2" t="inlineStr"/>
    </row>
    <row r="610" ht="15" customHeight="1">
      <c r="A610" t="inlineStr">
        <is>
          <t>A 37292-2025</t>
        </is>
      </c>
      <c r="B610" s="1" t="n">
        <v>45876.53188657408</v>
      </c>
      <c r="C610" s="1" t="n">
        <v>45930</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8800-2025</t>
        </is>
      </c>
      <c r="B611" s="1" t="n">
        <v>45712.65671296296</v>
      </c>
      <c r="C611" s="1" t="n">
        <v>45930</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1809-2025</t>
        </is>
      </c>
      <c r="B612" s="1" t="n">
        <v>45671.48989583334</v>
      </c>
      <c r="C612" s="1" t="n">
        <v>45930</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61934-2022</t>
        </is>
      </c>
      <c r="B613" s="1" t="n">
        <v>44917</v>
      </c>
      <c r="C613" s="1" t="n">
        <v>45930</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10706-2023</t>
        </is>
      </c>
      <c r="B614" s="1" t="n">
        <v>44984</v>
      </c>
      <c r="C614" s="1" t="n">
        <v>45930</v>
      </c>
      <c r="D614" t="inlineStr">
        <is>
          <t>JÄMTLANDS LÄN</t>
        </is>
      </c>
      <c r="E614" t="inlineStr">
        <is>
          <t>RAGUNDA</t>
        </is>
      </c>
      <c r="G614" t="n">
        <v>7.7</v>
      </c>
      <c r="H614" t="n">
        <v>0</v>
      </c>
      <c r="I614" t="n">
        <v>0</v>
      </c>
      <c r="J614" t="n">
        <v>0</v>
      </c>
      <c r="K614" t="n">
        <v>0</v>
      </c>
      <c r="L614" t="n">
        <v>0</v>
      </c>
      <c r="M614" t="n">
        <v>0</v>
      </c>
      <c r="N614" t="n">
        <v>0</v>
      </c>
      <c r="O614" t="n">
        <v>0</v>
      </c>
      <c r="P614" t="n">
        <v>0</v>
      </c>
      <c r="Q614" t="n">
        <v>0</v>
      </c>
      <c r="R614" s="2" t="inlineStr"/>
    </row>
    <row r="615" ht="15" customHeight="1">
      <c r="A615" t="inlineStr">
        <is>
          <t>A 56284-2023</t>
        </is>
      </c>
      <c r="B615" s="1" t="n">
        <v>45241.95724537037</v>
      </c>
      <c r="C615" s="1" t="n">
        <v>45930</v>
      </c>
      <c r="D615" t="inlineStr">
        <is>
          <t>JÄMTLANDS LÄN</t>
        </is>
      </c>
      <c r="E615" t="inlineStr">
        <is>
          <t>RAGUNDA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891-2022</t>
        </is>
      </c>
      <c r="B616" s="1" t="n">
        <v>44571</v>
      </c>
      <c r="C616" s="1" t="n">
        <v>45930</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11558-2023</t>
        </is>
      </c>
      <c r="B617" s="1" t="n">
        <v>44993.94958333333</v>
      </c>
      <c r="C617" s="1" t="n">
        <v>45930</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44954-2025</t>
        </is>
      </c>
      <c r="B618" s="1" t="n">
        <v>45918.61203703703</v>
      </c>
      <c r="C618" s="1" t="n">
        <v>45930</v>
      </c>
      <c r="D618" t="inlineStr">
        <is>
          <t>JÄMTLANDS LÄN</t>
        </is>
      </c>
      <c r="E618" t="inlineStr">
        <is>
          <t>RAGUNDA</t>
        </is>
      </c>
      <c r="G618" t="n">
        <v>3</v>
      </c>
      <c r="H618" t="n">
        <v>0</v>
      </c>
      <c r="I618" t="n">
        <v>0</v>
      </c>
      <c r="J618" t="n">
        <v>0</v>
      </c>
      <c r="K618" t="n">
        <v>0</v>
      </c>
      <c r="L618" t="n">
        <v>0</v>
      </c>
      <c r="M618" t="n">
        <v>0</v>
      </c>
      <c r="N618" t="n">
        <v>0</v>
      </c>
      <c r="O618" t="n">
        <v>0</v>
      </c>
      <c r="P618" t="n">
        <v>0</v>
      </c>
      <c r="Q618" t="n">
        <v>0</v>
      </c>
      <c r="R618" s="2" t="inlineStr"/>
    </row>
    <row r="619" ht="15" customHeight="1">
      <c r="A619" t="inlineStr">
        <is>
          <t>A 18610-2024</t>
        </is>
      </c>
      <c r="B619" s="1" t="n">
        <v>45425.96230324074</v>
      </c>
      <c r="C619" s="1" t="n">
        <v>45930</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8416-2023</t>
        </is>
      </c>
      <c r="B620" s="1" t="n">
        <v>44977.44373842593</v>
      </c>
      <c r="C620" s="1" t="n">
        <v>45930</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40801-2023</t>
        </is>
      </c>
      <c r="B621" s="1" t="n">
        <v>45170</v>
      </c>
      <c r="C621" s="1" t="n">
        <v>45930</v>
      </c>
      <c r="D621" t="inlineStr">
        <is>
          <t>JÄMTLANDS LÄN</t>
        </is>
      </c>
      <c r="E621" t="inlineStr">
        <is>
          <t>RAGUNDA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30563-2023</t>
        </is>
      </c>
      <c r="B622" s="1" t="n">
        <v>45111.92793981481</v>
      </c>
      <c r="C622" s="1" t="n">
        <v>45930</v>
      </c>
      <c r="D622" t="inlineStr">
        <is>
          <t>JÄMTLANDS LÄN</t>
        </is>
      </c>
      <c r="E622" t="inlineStr">
        <is>
          <t>RAGUNDA</t>
        </is>
      </c>
      <c r="F622" t="inlineStr">
        <is>
          <t>Övriga Aktiebolag</t>
        </is>
      </c>
      <c r="G622" t="n">
        <v>2.3</v>
      </c>
      <c r="H622" t="n">
        <v>0</v>
      </c>
      <c r="I622" t="n">
        <v>0</v>
      </c>
      <c r="J622" t="n">
        <v>0</v>
      </c>
      <c r="K622" t="n">
        <v>0</v>
      </c>
      <c r="L622" t="n">
        <v>0</v>
      </c>
      <c r="M622" t="n">
        <v>0</v>
      </c>
      <c r="N622" t="n">
        <v>0</v>
      </c>
      <c r="O622" t="n">
        <v>0</v>
      </c>
      <c r="P622" t="n">
        <v>0</v>
      </c>
      <c r="Q622" t="n">
        <v>0</v>
      </c>
      <c r="R622" s="2" t="inlineStr"/>
    </row>
    <row r="623" ht="15" customHeight="1">
      <c r="A623" t="inlineStr">
        <is>
          <t>A 27499-2024</t>
        </is>
      </c>
      <c r="B623" s="1" t="n">
        <v>45474.50608796296</v>
      </c>
      <c r="C623" s="1" t="n">
        <v>45930</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49648-2023</t>
        </is>
      </c>
      <c r="B624" s="1" t="n">
        <v>45211.95061342593</v>
      </c>
      <c r="C624" s="1" t="n">
        <v>45930</v>
      </c>
      <c r="D624" t="inlineStr">
        <is>
          <t>JÄMTLANDS LÄN</t>
        </is>
      </c>
      <c r="E624" t="inlineStr">
        <is>
          <t>RAGUNDA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52148-2024</t>
        </is>
      </c>
      <c r="B625" s="1" t="n">
        <v>45608.52354166667</v>
      </c>
      <c r="C625" s="1" t="n">
        <v>45930</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462-2023</t>
        </is>
      </c>
      <c r="B626" s="1" t="n">
        <v>44929</v>
      </c>
      <c r="C626" s="1" t="n">
        <v>45930</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45279-2025</t>
        </is>
      </c>
      <c r="B627" s="1" t="n">
        <v>45919.71912037037</v>
      </c>
      <c r="C627" s="1" t="n">
        <v>45930</v>
      </c>
      <c r="D627" t="inlineStr">
        <is>
          <t>JÄMTLANDS LÄN</t>
        </is>
      </c>
      <c r="E627" t="inlineStr">
        <is>
          <t>RAGUNDA</t>
        </is>
      </c>
      <c r="F627" t="inlineStr">
        <is>
          <t>SCA</t>
        </is>
      </c>
      <c r="G627" t="n">
        <v>11.5</v>
      </c>
      <c r="H627" t="n">
        <v>0</v>
      </c>
      <c r="I627" t="n">
        <v>0</v>
      </c>
      <c r="J627" t="n">
        <v>0</v>
      </c>
      <c r="K627" t="n">
        <v>0</v>
      </c>
      <c r="L627" t="n">
        <v>0</v>
      </c>
      <c r="M627" t="n">
        <v>0</v>
      </c>
      <c r="N627" t="n">
        <v>0</v>
      </c>
      <c r="O627" t="n">
        <v>0</v>
      </c>
      <c r="P627" t="n">
        <v>0</v>
      </c>
      <c r="Q627" t="n">
        <v>0</v>
      </c>
      <c r="R627" s="2" t="inlineStr"/>
    </row>
    <row r="628" ht="15" customHeight="1">
      <c r="A628" t="inlineStr">
        <is>
          <t>A 26645-2024</t>
        </is>
      </c>
      <c r="B628" s="1" t="n">
        <v>45469.94667824074</v>
      </c>
      <c r="C628" s="1" t="n">
        <v>45930</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32258-2024</t>
        </is>
      </c>
      <c r="B629" s="1" t="n">
        <v>45511</v>
      </c>
      <c r="C629" s="1" t="n">
        <v>45930</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58194-2022</t>
        </is>
      </c>
      <c r="B630" s="1" t="n">
        <v>44900</v>
      </c>
      <c r="C630" s="1" t="n">
        <v>45930</v>
      </c>
      <c r="D630" t="inlineStr">
        <is>
          <t>JÄMTLANDS LÄN</t>
        </is>
      </c>
      <c r="E630" t="inlineStr">
        <is>
          <t>RAGUNDA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8886-2024</t>
        </is>
      </c>
      <c r="B631" s="1" t="n">
        <v>45357.05300925926</v>
      </c>
      <c r="C631" s="1" t="n">
        <v>45930</v>
      </c>
      <c r="D631" t="inlineStr">
        <is>
          <t>JÄMTLANDS LÄN</t>
        </is>
      </c>
      <c r="E631" t="inlineStr">
        <is>
          <t>RAGUNDA</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42875-2024</t>
        </is>
      </c>
      <c r="B632" s="1" t="n">
        <v>45566.68125</v>
      </c>
      <c r="C632" s="1" t="n">
        <v>45930</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18615-2024</t>
        </is>
      </c>
      <c r="B633" s="1" t="n">
        <v>45425.96275462963</v>
      </c>
      <c r="C633" s="1" t="n">
        <v>45930</v>
      </c>
      <c r="D633" t="inlineStr">
        <is>
          <t>JÄMTLANDS LÄN</t>
        </is>
      </c>
      <c r="E633" t="inlineStr">
        <is>
          <t>RAGUNDA</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45930</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45930</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45930</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45930</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9504-2025</t>
        </is>
      </c>
      <c r="B638" s="1" t="n">
        <v>45714</v>
      </c>
      <c r="C638" s="1" t="n">
        <v>45930</v>
      </c>
      <c r="D638" t="inlineStr">
        <is>
          <t>JÄMTLANDS LÄN</t>
        </is>
      </c>
      <c r="E638" t="inlineStr">
        <is>
          <t>RAGUNDA</t>
        </is>
      </c>
      <c r="G638" t="n">
        <v>6</v>
      </c>
      <c r="H638" t="n">
        <v>0</v>
      </c>
      <c r="I638" t="n">
        <v>0</v>
      </c>
      <c r="J638" t="n">
        <v>0</v>
      </c>
      <c r="K638" t="n">
        <v>0</v>
      </c>
      <c r="L638" t="n">
        <v>0</v>
      </c>
      <c r="M638" t="n">
        <v>0</v>
      </c>
      <c r="N638" t="n">
        <v>0</v>
      </c>
      <c r="O638" t="n">
        <v>0</v>
      </c>
      <c r="P638" t="n">
        <v>0</v>
      </c>
      <c r="Q638" t="n">
        <v>0</v>
      </c>
      <c r="R638" s="2" t="inlineStr"/>
    </row>
    <row r="639" ht="15" customHeight="1">
      <c r="A639" t="inlineStr">
        <is>
          <t>A 4014-2022</t>
        </is>
      </c>
      <c r="B639" s="1" t="n">
        <v>44587.92144675926</v>
      </c>
      <c r="C639" s="1" t="n">
        <v>45930</v>
      </c>
      <c r="D639" t="inlineStr">
        <is>
          <t>JÄMTLANDS LÄN</t>
        </is>
      </c>
      <c r="E639" t="inlineStr">
        <is>
          <t>RAGUNDA</t>
        </is>
      </c>
      <c r="G639" t="n">
        <v>3.6</v>
      </c>
      <c r="H639" t="n">
        <v>0</v>
      </c>
      <c r="I639" t="n">
        <v>0</v>
      </c>
      <c r="J639" t="n">
        <v>0</v>
      </c>
      <c r="K639" t="n">
        <v>0</v>
      </c>
      <c r="L639" t="n">
        <v>0</v>
      </c>
      <c r="M639" t="n">
        <v>0</v>
      </c>
      <c r="N639" t="n">
        <v>0</v>
      </c>
      <c r="O639" t="n">
        <v>0</v>
      </c>
      <c r="P639" t="n">
        <v>0</v>
      </c>
      <c r="Q639" t="n">
        <v>0</v>
      </c>
      <c r="R639" s="2" t="inlineStr"/>
    </row>
    <row r="640" ht="15" customHeight="1">
      <c r="A640" t="inlineStr">
        <is>
          <t>A 8243-2024</t>
        </is>
      </c>
      <c r="B640" s="1" t="n">
        <v>45351.98532407408</v>
      </c>
      <c r="C640" s="1" t="n">
        <v>45930</v>
      </c>
      <c r="D640" t="inlineStr">
        <is>
          <t>JÄMTLANDS LÄN</t>
        </is>
      </c>
      <c r="E640" t="inlineStr">
        <is>
          <t>RAGUNDA</t>
        </is>
      </c>
      <c r="F640" t="inlineStr">
        <is>
          <t>SCA</t>
        </is>
      </c>
      <c r="G640" t="n">
        <v>4.5</v>
      </c>
      <c r="H640" t="n">
        <v>0</v>
      </c>
      <c r="I640" t="n">
        <v>0</v>
      </c>
      <c r="J640" t="n">
        <v>0</v>
      </c>
      <c r="K640" t="n">
        <v>0</v>
      </c>
      <c r="L640" t="n">
        <v>0</v>
      </c>
      <c r="M640" t="n">
        <v>0</v>
      </c>
      <c r="N640" t="n">
        <v>0</v>
      </c>
      <c r="O640" t="n">
        <v>0</v>
      </c>
      <c r="P640" t="n">
        <v>0</v>
      </c>
      <c r="Q640" t="n">
        <v>0</v>
      </c>
      <c r="R640" s="2" t="inlineStr"/>
    </row>
    <row r="641" ht="15" customHeight="1">
      <c r="A641" t="inlineStr">
        <is>
          <t>A 23303-2024</t>
        </is>
      </c>
      <c r="B641" s="1" t="n">
        <v>45453.4444212963</v>
      </c>
      <c r="C641" s="1" t="n">
        <v>45930</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15672-2021</t>
        </is>
      </c>
      <c r="B642" s="1" t="n">
        <v>44286</v>
      </c>
      <c r="C642" s="1" t="n">
        <v>45930</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50650-2023</t>
        </is>
      </c>
      <c r="B643" s="1" t="n">
        <v>45210</v>
      </c>
      <c r="C643" s="1" t="n">
        <v>45930</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6902-2024</t>
        </is>
      </c>
      <c r="B644" s="1" t="n">
        <v>45342</v>
      </c>
      <c r="C644" s="1" t="n">
        <v>45930</v>
      </c>
      <c r="D644" t="inlineStr">
        <is>
          <t>JÄMTLANDS LÄN</t>
        </is>
      </c>
      <c r="E644" t="inlineStr">
        <is>
          <t>RAGUNDA</t>
        </is>
      </c>
      <c r="F644" t="inlineStr">
        <is>
          <t>SCA</t>
        </is>
      </c>
      <c r="G644" t="n">
        <v>18.7</v>
      </c>
      <c r="H644" t="n">
        <v>0</v>
      </c>
      <c r="I644" t="n">
        <v>0</v>
      </c>
      <c r="J644" t="n">
        <v>0</v>
      </c>
      <c r="K644" t="n">
        <v>0</v>
      </c>
      <c r="L644" t="n">
        <v>0</v>
      </c>
      <c r="M644" t="n">
        <v>0</v>
      </c>
      <c r="N644" t="n">
        <v>0</v>
      </c>
      <c r="O644" t="n">
        <v>0</v>
      </c>
      <c r="P644" t="n">
        <v>0</v>
      </c>
      <c r="Q644" t="n">
        <v>0</v>
      </c>
      <c r="R644" s="2" t="inlineStr"/>
    </row>
    <row r="645" ht="15" customHeight="1">
      <c r="A645" t="inlineStr">
        <is>
          <t>A 6905-2024</t>
        </is>
      </c>
      <c r="B645" s="1" t="n">
        <v>45342.9462037037</v>
      </c>
      <c r="C645" s="1" t="n">
        <v>45930</v>
      </c>
      <c r="D645" t="inlineStr">
        <is>
          <t>JÄMTLANDS LÄN</t>
        </is>
      </c>
      <c r="E645" t="inlineStr">
        <is>
          <t>RAGUNDA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45930</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465-2023</t>
        </is>
      </c>
      <c r="B647" s="1" t="n">
        <v>44929</v>
      </c>
      <c r="C647" s="1" t="n">
        <v>45930</v>
      </c>
      <c r="D647" t="inlineStr">
        <is>
          <t>JÄMTLANDS LÄN</t>
        </is>
      </c>
      <c r="E647" t="inlineStr">
        <is>
          <t>RAGUNDA</t>
        </is>
      </c>
      <c r="G647" t="n">
        <v>0.8</v>
      </c>
      <c r="H647" t="n">
        <v>0</v>
      </c>
      <c r="I647" t="n">
        <v>0</v>
      </c>
      <c r="J647" t="n">
        <v>0</v>
      </c>
      <c r="K647" t="n">
        <v>0</v>
      </c>
      <c r="L647" t="n">
        <v>0</v>
      </c>
      <c r="M647" t="n">
        <v>0</v>
      </c>
      <c r="N647" t="n">
        <v>0</v>
      </c>
      <c r="O647" t="n">
        <v>0</v>
      </c>
      <c r="P647" t="n">
        <v>0</v>
      </c>
      <c r="Q647" t="n">
        <v>0</v>
      </c>
      <c r="R647" s="2" t="inlineStr"/>
    </row>
    <row r="648" ht="15" customHeight="1">
      <c r="A648" t="inlineStr">
        <is>
          <t>A 32832-2021</t>
        </is>
      </c>
      <c r="B648" s="1" t="n">
        <v>44375</v>
      </c>
      <c r="C648" s="1" t="n">
        <v>45930</v>
      </c>
      <c r="D648" t="inlineStr">
        <is>
          <t>JÄMTLANDS LÄN</t>
        </is>
      </c>
      <c r="E648" t="inlineStr">
        <is>
          <t>RAGUNDA</t>
        </is>
      </c>
      <c r="G648" t="n">
        <v>3</v>
      </c>
      <c r="H648" t="n">
        <v>0</v>
      </c>
      <c r="I648" t="n">
        <v>0</v>
      </c>
      <c r="J648" t="n">
        <v>0</v>
      </c>
      <c r="K648" t="n">
        <v>0</v>
      </c>
      <c r="L648" t="n">
        <v>0</v>
      </c>
      <c r="M648" t="n">
        <v>0</v>
      </c>
      <c r="N648" t="n">
        <v>0</v>
      </c>
      <c r="O648" t="n">
        <v>0</v>
      </c>
      <c r="P648" t="n">
        <v>0</v>
      </c>
      <c r="Q648" t="n">
        <v>0</v>
      </c>
      <c r="R648" s="2" t="inlineStr"/>
    </row>
    <row r="649" ht="15" customHeight="1">
      <c r="A649" t="inlineStr">
        <is>
          <t>A 564-2025</t>
        </is>
      </c>
      <c r="B649" s="1" t="n">
        <v>45664.55241898148</v>
      </c>
      <c r="C649" s="1" t="n">
        <v>45930</v>
      </c>
      <c r="D649" t="inlineStr">
        <is>
          <t>JÄMTLANDS LÄN</t>
        </is>
      </c>
      <c r="E649" t="inlineStr">
        <is>
          <t>RAGUNDA</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3938-2024</t>
        </is>
      </c>
      <c r="B650" s="1" t="n">
        <v>45322</v>
      </c>
      <c r="C650" s="1" t="n">
        <v>45930</v>
      </c>
      <c r="D650" t="inlineStr">
        <is>
          <t>JÄMTLANDS LÄN</t>
        </is>
      </c>
      <c r="E650" t="inlineStr">
        <is>
          <t>RAGUNDA</t>
        </is>
      </c>
      <c r="G650" t="n">
        <v>3.2</v>
      </c>
      <c r="H650" t="n">
        <v>0</v>
      </c>
      <c r="I650" t="n">
        <v>0</v>
      </c>
      <c r="J650" t="n">
        <v>0</v>
      </c>
      <c r="K650" t="n">
        <v>0</v>
      </c>
      <c r="L650" t="n">
        <v>0</v>
      </c>
      <c r="M650" t="n">
        <v>0</v>
      </c>
      <c r="N650" t="n">
        <v>0</v>
      </c>
      <c r="O650" t="n">
        <v>0</v>
      </c>
      <c r="P650" t="n">
        <v>0</v>
      </c>
      <c r="Q650" t="n">
        <v>0</v>
      </c>
      <c r="R650" s="2" t="inlineStr"/>
    </row>
    <row r="651" ht="15" customHeight="1">
      <c r="A651" t="inlineStr">
        <is>
          <t>A 62081-2022</t>
        </is>
      </c>
      <c r="B651" s="1" t="n">
        <v>44918</v>
      </c>
      <c r="C651" s="1" t="n">
        <v>45930</v>
      </c>
      <c r="D651" t="inlineStr">
        <is>
          <t>JÄMTLANDS LÄN</t>
        </is>
      </c>
      <c r="E651" t="inlineStr">
        <is>
          <t>RAGUNDA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45894-2025</t>
        </is>
      </c>
      <c r="B652" s="1" t="n">
        <v>45923.67765046296</v>
      </c>
      <c r="C652" s="1" t="n">
        <v>45930</v>
      </c>
      <c r="D652" t="inlineStr">
        <is>
          <t>JÄMTLANDS LÄN</t>
        </is>
      </c>
      <c r="E652" t="inlineStr">
        <is>
          <t>RAGUNDA</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53989-2024</t>
        </is>
      </c>
      <c r="B653" s="1" t="n">
        <v>45616.34479166667</v>
      </c>
      <c r="C653" s="1" t="n">
        <v>45930</v>
      </c>
      <c r="D653" t="inlineStr">
        <is>
          <t>JÄMTLANDS LÄN</t>
        </is>
      </c>
      <c r="E653" t="inlineStr">
        <is>
          <t>RAGUNDA</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55508-2024</t>
        </is>
      </c>
      <c r="B654" s="1" t="n">
        <v>45622.46200231482</v>
      </c>
      <c r="C654" s="1" t="n">
        <v>45930</v>
      </c>
      <c r="D654" t="inlineStr">
        <is>
          <t>JÄMTLANDS LÄN</t>
        </is>
      </c>
      <c r="E654" t="inlineStr">
        <is>
          <t>RAGUNDA</t>
        </is>
      </c>
      <c r="G654" t="n">
        <v>1.8</v>
      </c>
      <c r="H654" t="n">
        <v>0</v>
      </c>
      <c r="I654" t="n">
        <v>0</v>
      </c>
      <c r="J654" t="n">
        <v>0</v>
      </c>
      <c r="K654" t="n">
        <v>0</v>
      </c>
      <c r="L654" t="n">
        <v>0</v>
      </c>
      <c r="M654" t="n">
        <v>0</v>
      </c>
      <c r="N654" t="n">
        <v>0</v>
      </c>
      <c r="O654" t="n">
        <v>0</v>
      </c>
      <c r="P654" t="n">
        <v>0</v>
      </c>
      <c r="Q654" t="n">
        <v>0</v>
      </c>
      <c r="R654" s="2" t="inlineStr"/>
    </row>
    <row r="655" ht="15" customHeight="1">
      <c r="A655" t="inlineStr">
        <is>
          <t>A 42509-2023</t>
        </is>
      </c>
      <c r="B655" s="1" t="n">
        <v>45180</v>
      </c>
      <c r="C655" s="1" t="n">
        <v>45930</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42510-2023</t>
        </is>
      </c>
      <c r="B656" s="1" t="n">
        <v>45180.95927083334</v>
      </c>
      <c r="C656" s="1" t="n">
        <v>45930</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11048-2023</t>
        </is>
      </c>
      <c r="B657" s="1" t="n">
        <v>44991</v>
      </c>
      <c r="C657" s="1" t="n">
        <v>45930</v>
      </c>
      <c r="D657" t="inlineStr">
        <is>
          <t>JÄMTLANDS LÄN</t>
        </is>
      </c>
      <c r="E657" t="inlineStr">
        <is>
          <t>RAGUNDA</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12521-2023</t>
        </is>
      </c>
      <c r="B658" s="1" t="n">
        <v>45000</v>
      </c>
      <c r="C658" s="1" t="n">
        <v>45930</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3720-2025</t>
        </is>
      </c>
      <c r="B659" s="1" t="n">
        <v>45681.5315625</v>
      </c>
      <c r="C659" s="1" t="n">
        <v>45930</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61088-2020</t>
        </is>
      </c>
      <c r="B660" s="1" t="n">
        <v>44153</v>
      </c>
      <c r="C660" s="1" t="n">
        <v>45930</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16364-2023</t>
        </is>
      </c>
      <c r="B661" s="1" t="n">
        <v>45028</v>
      </c>
      <c r="C661" s="1" t="n">
        <v>45930</v>
      </c>
      <c r="D661" t="inlineStr">
        <is>
          <t>JÄMTLANDS LÄN</t>
        </is>
      </c>
      <c r="E661" t="inlineStr">
        <is>
          <t>RAGUNDA</t>
        </is>
      </c>
      <c r="G661" t="n">
        <v>0.5</v>
      </c>
      <c r="H661" t="n">
        <v>0</v>
      </c>
      <c r="I661" t="n">
        <v>0</v>
      </c>
      <c r="J661" t="n">
        <v>0</v>
      </c>
      <c r="K661" t="n">
        <v>0</v>
      </c>
      <c r="L661" t="n">
        <v>0</v>
      </c>
      <c r="M661" t="n">
        <v>0</v>
      </c>
      <c r="N661" t="n">
        <v>0</v>
      </c>
      <c r="O661" t="n">
        <v>0</v>
      </c>
      <c r="P661" t="n">
        <v>0</v>
      </c>
      <c r="Q661" t="n">
        <v>0</v>
      </c>
      <c r="R661" s="2" t="inlineStr"/>
    </row>
    <row r="662" ht="15" customHeight="1">
      <c r="A662" t="inlineStr">
        <is>
          <t>A 3767-2025</t>
        </is>
      </c>
      <c r="B662" s="1" t="n">
        <v>45681.60203703704</v>
      </c>
      <c r="C662" s="1" t="n">
        <v>45930</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2339-2025</t>
        </is>
      </c>
      <c r="B663" s="1" t="n">
        <v>45673.66358796296</v>
      </c>
      <c r="C663" s="1" t="n">
        <v>45930</v>
      </c>
      <c r="D663" t="inlineStr">
        <is>
          <t>JÄMTLANDS LÄN</t>
        </is>
      </c>
      <c r="E663" t="inlineStr">
        <is>
          <t>RAGUNDA</t>
        </is>
      </c>
      <c r="G663" t="n">
        <v>5</v>
      </c>
      <c r="H663" t="n">
        <v>0</v>
      </c>
      <c r="I663" t="n">
        <v>0</v>
      </c>
      <c r="J663" t="n">
        <v>0</v>
      </c>
      <c r="K663" t="n">
        <v>0</v>
      </c>
      <c r="L663" t="n">
        <v>0</v>
      </c>
      <c r="M663" t="n">
        <v>0</v>
      </c>
      <c r="N663" t="n">
        <v>0</v>
      </c>
      <c r="O663" t="n">
        <v>0</v>
      </c>
      <c r="P663" t="n">
        <v>0</v>
      </c>
      <c r="Q663" t="n">
        <v>0</v>
      </c>
      <c r="R663" s="2" t="inlineStr"/>
    </row>
    <row r="664" ht="15" customHeight="1">
      <c r="A664" t="inlineStr">
        <is>
          <t>A 3186-2025</t>
        </is>
      </c>
      <c r="B664" s="1" t="n">
        <v>45679.40362268518</v>
      </c>
      <c r="C664" s="1" t="n">
        <v>45930</v>
      </c>
      <c r="D664" t="inlineStr">
        <is>
          <t>JÄMTLANDS LÄN</t>
        </is>
      </c>
      <c r="E664" t="inlineStr">
        <is>
          <t>RAGUNDA</t>
        </is>
      </c>
      <c r="G664" t="n">
        <v>5.2</v>
      </c>
      <c r="H664" t="n">
        <v>0</v>
      </c>
      <c r="I664" t="n">
        <v>0</v>
      </c>
      <c r="J664" t="n">
        <v>0</v>
      </c>
      <c r="K664" t="n">
        <v>0</v>
      </c>
      <c r="L664" t="n">
        <v>0</v>
      </c>
      <c r="M664" t="n">
        <v>0</v>
      </c>
      <c r="N664" t="n">
        <v>0</v>
      </c>
      <c r="O664" t="n">
        <v>0</v>
      </c>
      <c r="P664" t="n">
        <v>0</v>
      </c>
      <c r="Q664" t="n">
        <v>0</v>
      </c>
      <c r="R664" s="2" t="inlineStr"/>
    </row>
    <row r="665" ht="15" customHeight="1">
      <c r="A665" t="inlineStr">
        <is>
          <t>A 46825-2025</t>
        </is>
      </c>
      <c r="B665" s="1" t="n">
        <v>45926.92506944444</v>
      </c>
      <c r="C665" s="1" t="n">
        <v>45930</v>
      </c>
      <c r="D665" t="inlineStr">
        <is>
          <t>JÄMTLANDS LÄN</t>
        </is>
      </c>
      <c r="E665" t="inlineStr">
        <is>
          <t>RAGUNDA</t>
        </is>
      </c>
      <c r="G665" t="n">
        <v>1.4</v>
      </c>
      <c r="H665" t="n">
        <v>0</v>
      </c>
      <c r="I665" t="n">
        <v>0</v>
      </c>
      <c r="J665" t="n">
        <v>0</v>
      </c>
      <c r="K665" t="n">
        <v>0</v>
      </c>
      <c r="L665" t="n">
        <v>0</v>
      </c>
      <c r="M665" t="n">
        <v>0</v>
      </c>
      <c r="N665" t="n">
        <v>0</v>
      </c>
      <c r="O665" t="n">
        <v>0</v>
      </c>
      <c r="P665" t="n">
        <v>0</v>
      </c>
      <c r="Q665" t="n">
        <v>0</v>
      </c>
      <c r="R665" s="2" t="inlineStr"/>
    </row>
    <row r="666" ht="15" customHeight="1">
      <c r="A666" t="inlineStr">
        <is>
          <t>A 17742-2022</t>
        </is>
      </c>
      <c r="B666" s="1" t="n">
        <v>44680.95246527778</v>
      </c>
      <c r="C666" s="1" t="n">
        <v>45930</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46710-2025</t>
        </is>
      </c>
      <c r="B667" s="1" t="n">
        <v>45926.57337962963</v>
      </c>
      <c r="C667" s="1" t="n">
        <v>45930</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1308-2025</t>
        </is>
      </c>
      <c r="B668" s="1" t="n">
        <v>45667.55239583334</v>
      </c>
      <c r="C668" s="1" t="n">
        <v>45930</v>
      </c>
      <c r="D668" t="inlineStr">
        <is>
          <t>JÄMTLANDS LÄN</t>
        </is>
      </c>
      <c r="E668" t="inlineStr">
        <is>
          <t>RAGUNDA</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50555-2024</t>
        </is>
      </c>
      <c r="B669" s="1" t="n">
        <v>45601.59518518519</v>
      </c>
      <c r="C669" s="1" t="n">
        <v>45930</v>
      </c>
      <c r="D669" t="inlineStr">
        <is>
          <t>JÄMTLANDS LÄN</t>
        </is>
      </c>
      <c r="E669" t="inlineStr">
        <is>
          <t>RAGUNDA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46549-2023</t>
        </is>
      </c>
      <c r="B670" s="1" t="n">
        <v>45197.94171296297</v>
      </c>
      <c r="C670" s="1" t="n">
        <v>45930</v>
      </c>
      <c r="D670" t="inlineStr">
        <is>
          <t>JÄMTLANDS LÄN</t>
        </is>
      </c>
      <c r="E670" t="inlineStr">
        <is>
          <t>RAGUNDA</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41262-2021</t>
        </is>
      </c>
      <c r="B671" s="1" t="n">
        <v>44424</v>
      </c>
      <c r="C671" s="1" t="n">
        <v>45930</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36371-2023</t>
        </is>
      </c>
      <c r="B672" s="1" t="n">
        <v>45149</v>
      </c>
      <c r="C672" s="1" t="n">
        <v>45930</v>
      </c>
      <c r="D672" t="inlineStr">
        <is>
          <t>JÄMTLANDS LÄN</t>
        </is>
      </c>
      <c r="E672" t="inlineStr">
        <is>
          <t>RAGUNDA</t>
        </is>
      </c>
      <c r="G672" t="n">
        <v>25.7</v>
      </c>
      <c r="H672" t="n">
        <v>0</v>
      </c>
      <c r="I672" t="n">
        <v>0</v>
      </c>
      <c r="J672" t="n">
        <v>0</v>
      </c>
      <c r="K672" t="n">
        <v>0</v>
      </c>
      <c r="L672" t="n">
        <v>0</v>
      </c>
      <c r="M672" t="n">
        <v>0</v>
      </c>
      <c r="N672" t="n">
        <v>0</v>
      </c>
      <c r="O672" t="n">
        <v>0</v>
      </c>
      <c r="P672" t="n">
        <v>0</v>
      </c>
      <c r="Q672" t="n">
        <v>0</v>
      </c>
      <c r="R672" s="2" t="inlineStr"/>
    </row>
    <row r="673" ht="15" customHeight="1">
      <c r="A673" t="inlineStr">
        <is>
          <t>A 53676-2022</t>
        </is>
      </c>
      <c r="B673" s="1" t="n">
        <v>44879</v>
      </c>
      <c r="C673" s="1" t="n">
        <v>45930</v>
      </c>
      <c r="D673" t="inlineStr">
        <is>
          <t>JÄMTLANDS LÄN</t>
        </is>
      </c>
      <c r="E673" t="inlineStr">
        <is>
          <t>RAGUNDA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51579-2024</t>
        </is>
      </c>
      <c r="B674" s="1" t="n">
        <v>45604.63575231482</v>
      </c>
      <c r="C674" s="1" t="n">
        <v>45930</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14212-2023</t>
        </is>
      </c>
      <c r="B675" s="1" t="n">
        <v>45009</v>
      </c>
      <c r="C675" s="1" t="n">
        <v>45930</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20772-2024</t>
        </is>
      </c>
      <c r="B676" s="1" t="n">
        <v>45436.94628472222</v>
      </c>
      <c r="C676" s="1" t="n">
        <v>45930</v>
      </c>
      <c r="D676" t="inlineStr">
        <is>
          <t>JÄMTLANDS LÄN</t>
        </is>
      </c>
      <c r="E676" t="inlineStr">
        <is>
          <t>RAGUNDA</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18614-2024</t>
        </is>
      </c>
      <c r="B677" s="1" t="n">
        <v>45425.96263888889</v>
      </c>
      <c r="C677" s="1" t="n">
        <v>45930</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53757-2024</t>
        </is>
      </c>
      <c r="B678" s="1" t="n">
        <v>45615.50034722222</v>
      </c>
      <c r="C678" s="1" t="n">
        <v>45930</v>
      </c>
      <c r="D678" t="inlineStr">
        <is>
          <t>JÄMTLANDS LÄN</t>
        </is>
      </c>
      <c r="E678" t="inlineStr">
        <is>
          <t>RAGUNDA</t>
        </is>
      </c>
      <c r="G678" t="n">
        <v>2</v>
      </c>
      <c r="H678" t="n">
        <v>0</v>
      </c>
      <c r="I678" t="n">
        <v>0</v>
      </c>
      <c r="J678" t="n">
        <v>0</v>
      </c>
      <c r="K678" t="n">
        <v>0</v>
      </c>
      <c r="L678" t="n">
        <v>0</v>
      </c>
      <c r="M678" t="n">
        <v>0</v>
      </c>
      <c r="N678" t="n">
        <v>0</v>
      </c>
      <c r="O678" t="n">
        <v>0</v>
      </c>
      <c r="P678" t="n">
        <v>0</v>
      </c>
      <c r="Q678" t="n">
        <v>0</v>
      </c>
      <c r="R678" s="2" t="inlineStr"/>
    </row>
    <row r="679" ht="15" customHeight="1">
      <c r="A679" t="inlineStr">
        <is>
          <t>A 19246-2023</t>
        </is>
      </c>
      <c r="B679" s="1" t="n">
        <v>45048.94340277778</v>
      </c>
      <c r="C679" s="1" t="n">
        <v>45930</v>
      </c>
      <c r="D679" t="inlineStr">
        <is>
          <t>JÄMTLANDS LÄN</t>
        </is>
      </c>
      <c r="E679" t="inlineStr">
        <is>
          <t>RAGUNDA</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464-2023</t>
        </is>
      </c>
      <c r="B680" s="1" t="n">
        <v>44929.92489583333</v>
      </c>
      <c r="C680" s="1" t="n">
        <v>45930</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49649-2024</t>
        </is>
      </c>
      <c r="B681" s="1" t="n">
        <v>45596.61553240741</v>
      </c>
      <c r="C681" s="1" t="n">
        <v>45930</v>
      </c>
      <c r="D681" t="inlineStr">
        <is>
          <t>JÄMTLANDS LÄN</t>
        </is>
      </c>
      <c r="E681" t="inlineStr">
        <is>
          <t>RAGUNDA</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55214-2022</t>
        </is>
      </c>
      <c r="B682" s="1" t="n">
        <v>44886</v>
      </c>
      <c r="C682" s="1" t="n">
        <v>45930</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20426-2024</t>
        </is>
      </c>
      <c r="B683" s="1" t="n">
        <v>45435</v>
      </c>
      <c r="C683" s="1" t="n">
        <v>45930</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41344-2024</t>
        </is>
      </c>
      <c r="B684" s="1" t="n">
        <v>45559.67759259259</v>
      </c>
      <c r="C684" s="1" t="n">
        <v>45930</v>
      </c>
      <c r="D684" t="inlineStr">
        <is>
          <t>JÄMTLANDS LÄN</t>
        </is>
      </c>
      <c r="E684" t="inlineStr">
        <is>
          <t>RAGUNDA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58955-2024</t>
        </is>
      </c>
      <c r="B685" s="1" t="n">
        <v>45636.57329861111</v>
      </c>
      <c r="C685" s="1" t="n">
        <v>45930</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4878-2022</t>
        </is>
      </c>
      <c r="B686" s="1" t="n">
        <v>44593</v>
      </c>
      <c r="C686" s="1" t="n">
        <v>45930</v>
      </c>
      <c r="D686" t="inlineStr">
        <is>
          <t>JÄMTLANDS LÄN</t>
        </is>
      </c>
      <c r="E686" t="inlineStr">
        <is>
          <t>RAGUNDA</t>
        </is>
      </c>
      <c r="G686" t="n">
        <v>21.7</v>
      </c>
      <c r="H686" t="n">
        <v>0</v>
      </c>
      <c r="I686" t="n">
        <v>0</v>
      </c>
      <c r="J686" t="n">
        <v>0</v>
      </c>
      <c r="K686" t="n">
        <v>0</v>
      </c>
      <c r="L686" t="n">
        <v>0</v>
      </c>
      <c r="M686" t="n">
        <v>0</v>
      </c>
      <c r="N686" t="n">
        <v>0</v>
      </c>
      <c r="O686" t="n">
        <v>0</v>
      </c>
      <c r="P686" t="n">
        <v>0</v>
      </c>
      <c r="Q686" t="n">
        <v>0</v>
      </c>
      <c r="R686" s="2" t="inlineStr"/>
    </row>
    <row r="687" ht="15" customHeight="1">
      <c r="A687" t="inlineStr">
        <is>
          <t>A 40246-2024</t>
        </is>
      </c>
      <c r="B687" s="1" t="n">
        <v>45554.61583333334</v>
      </c>
      <c r="C687" s="1" t="n">
        <v>45930</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44630-2023</t>
        </is>
      </c>
      <c r="B688" s="1" t="n">
        <v>45184</v>
      </c>
      <c r="C688" s="1" t="n">
        <v>45930</v>
      </c>
      <c r="D688" t="inlineStr">
        <is>
          <t>JÄMTLANDS LÄN</t>
        </is>
      </c>
      <c r="E688" t="inlineStr">
        <is>
          <t>RAGUNDA</t>
        </is>
      </c>
      <c r="G688" t="n">
        <v>3.4</v>
      </c>
      <c r="H688" t="n">
        <v>0</v>
      </c>
      <c r="I688" t="n">
        <v>0</v>
      </c>
      <c r="J688" t="n">
        <v>0</v>
      </c>
      <c r="K688" t="n">
        <v>0</v>
      </c>
      <c r="L688" t="n">
        <v>0</v>
      </c>
      <c r="M688" t="n">
        <v>0</v>
      </c>
      <c r="N688" t="n">
        <v>0</v>
      </c>
      <c r="O688" t="n">
        <v>0</v>
      </c>
      <c r="P688" t="n">
        <v>0</v>
      </c>
      <c r="Q688" t="n">
        <v>0</v>
      </c>
      <c r="R688" s="2" t="inlineStr"/>
    </row>
    <row r="689" ht="15" customHeight="1">
      <c r="A689" t="inlineStr">
        <is>
          <t>A 12522-2023</t>
        </is>
      </c>
      <c r="B689" s="1" t="n">
        <v>45000</v>
      </c>
      <c r="C689" s="1" t="n">
        <v>45930</v>
      </c>
      <c r="D689" t="inlineStr">
        <is>
          <t>JÄMTLANDS LÄN</t>
        </is>
      </c>
      <c r="E689" t="inlineStr">
        <is>
          <t>RAGUNDA</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12523-2023</t>
        </is>
      </c>
      <c r="B690" s="1" t="n">
        <v>45000</v>
      </c>
      <c r="C690" s="1" t="n">
        <v>45930</v>
      </c>
      <c r="D690" t="inlineStr">
        <is>
          <t>JÄMTLANDS LÄN</t>
        </is>
      </c>
      <c r="E690" t="inlineStr">
        <is>
          <t>RAGUNDA</t>
        </is>
      </c>
      <c r="F690" t="inlineStr">
        <is>
          <t>SCA</t>
        </is>
      </c>
      <c r="G690" t="n">
        <v>14.3</v>
      </c>
      <c r="H690" t="n">
        <v>0</v>
      </c>
      <c r="I690" t="n">
        <v>0</v>
      </c>
      <c r="J690" t="n">
        <v>0</v>
      </c>
      <c r="K690" t="n">
        <v>0</v>
      </c>
      <c r="L690" t="n">
        <v>0</v>
      </c>
      <c r="M690" t="n">
        <v>0</v>
      </c>
      <c r="N690" t="n">
        <v>0</v>
      </c>
      <c r="O690" t="n">
        <v>0</v>
      </c>
      <c r="P690" t="n">
        <v>0</v>
      </c>
      <c r="Q690" t="n">
        <v>0</v>
      </c>
      <c r="R690" s="2" t="inlineStr"/>
    </row>
    <row r="691" ht="15" customHeight="1">
      <c r="A691" t="inlineStr">
        <is>
          <t>A 39489-2023</t>
        </is>
      </c>
      <c r="B691" s="1" t="n">
        <v>45166</v>
      </c>
      <c r="C691" s="1" t="n">
        <v>45930</v>
      </c>
      <c r="D691" t="inlineStr">
        <is>
          <t>JÄMTLANDS LÄN</t>
        </is>
      </c>
      <c r="E691" t="inlineStr">
        <is>
          <t>RAGUNDA</t>
        </is>
      </c>
      <c r="G691" t="n">
        <v>5</v>
      </c>
      <c r="H691" t="n">
        <v>0</v>
      </c>
      <c r="I691" t="n">
        <v>0</v>
      </c>
      <c r="J691" t="n">
        <v>0</v>
      </c>
      <c r="K691" t="n">
        <v>0</v>
      </c>
      <c r="L691" t="n">
        <v>0</v>
      </c>
      <c r="M691" t="n">
        <v>0</v>
      </c>
      <c r="N691" t="n">
        <v>0</v>
      </c>
      <c r="O691" t="n">
        <v>0</v>
      </c>
      <c r="P691" t="n">
        <v>0</v>
      </c>
      <c r="Q691" t="n">
        <v>0</v>
      </c>
      <c r="R691" s="2" t="inlineStr"/>
    </row>
    <row r="692" ht="15" customHeight="1">
      <c r="A692" t="inlineStr">
        <is>
          <t>A 46275-2025</t>
        </is>
      </c>
      <c r="B692" s="1" t="n">
        <v>45925.3711574074</v>
      </c>
      <c r="C692" s="1" t="n">
        <v>45930</v>
      </c>
      <c r="D692" t="inlineStr">
        <is>
          <t>JÄMTLANDS LÄN</t>
        </is>
      </c>
      <c r="E692" t="inlineStr">
        <is>
          <t>RAGUNDA</t>
        </is>
      </c>
      <c r="G692" t="n">
        <v>2.7</v>
      </c>
      <c r="H692" t="n">
        <v>0</v>
      </c>
      <c r="I692" t="n">
        <v>0</v>
      </c>
      <c r="J692" t="n">
        <v>0</v>
      </c>
      <c r="K692" t="n">
        <v>0</v>
      </c>
      <c r="L692" t="n">
        <v>0</v>
      </c>
      <c r="M692" t="n">
        <v>0</v>
      </c>
      <c r="N692" t="n">
        <v>0</v>
      </c>
      <c r="O692" t="n">
        <v>0</v>
      </c>
      <c r="P692" t="n">
        <v>0</v>
      </c>
      <c r="Q692" t="n">
        <v>0</v>
      </c>
      <c r="R692" s="2" t="inlineStr"/>
    </row>
    <row r="693" ht="15" customHeight="1">
      <c r="A693" t="inlineStr">
        <is>
          <t>A 36246-2024</t>
        </is>
      </c>
      <c r="B693" s="1" t="n">
        <v>45534</v>
      </c>
      <c r="C693" s="1" t="n">
        <v>45930</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32063-2024</t>
        </is>
      </c>
      <c r="B694" s="1" t="n">
        <v>45510</v>
      </c>
      <c r="C694" s="1" t="n">
        <v>45930</v>
      </c>
      <c r="D694" t="inlineStr">
        <is>
          <t>JÄMTLANDS LÄN</t>
        </is>
      </c>
      <c r="E694" t="inlineStr">
        <is>
          <t>RAGUNDA</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11058-2025</t>
        </is>
      </c>
      <c r="B695" s="1" t="n">
        <v>45723.51079861111</v>
      </c>
      <c r="C695" s="1" t="n">
        <v>45930</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21853-2024</t>
        </is>
      </c>
      <c r="B696" s="1" t="n">
        <v>45442.96296296296</v>
      </c>
      <c r="C696" s="1" t="n">
        <v>45930</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50160-2023</t>
        </is>
      </c>
      <c r="B697" s="1" t="n">
        <v>45208</v>
      </c>
      <c r="C697" s="1" t="n">
        <v>45930</v>
      </c>
      <c r="D697" t="inlineStr">
        <is>
          <t>JÄMTLANDS LÄN</t>
        </is>
      </c>
      <c r="E697" t="inlineStr">
        <is>
          <t>RAGUNDA</t>
        </is>
      </c>
      <c r="G697" t="n">
        <v>4.6</v>
      </c>
      <c r="H697" t="n">
        <v>0</v>
      </c>
      <c r="I697" t="n">
        <v>0</v>
      </c>
      <c r="J697" t="n">
        <v>0</v>
      </c>
      <c r="K697" t="n">
        <v>0</v>
      </c>
      <c r="L697" t="n">
        <v>0</v>
      </c>
      <c r="M697" t="n">
        <v>0</v>
      </c>
      <c r="N697" t="n">
        <v>0</v>
      </c>
      <c r="O697" t="n">
        <v>0</v>
      </c>
      <c r="P697" t="n">
        <v>0</v>
      </c>
      <c r="Q697" t="n">
        <v>0</v>
      </c>
      <c r="R697" s="2" t="inlineStr"/>
    </row>
    <row r="698" ht="15" customHeight="1">
      <c r="A698" t="inlineStr">
        <is>
          <t>A 29775-2023</t>
        </is>
      </c>
      <c r="B698" s="1" t="n">
        <v>45098</v>
      </c>
      <c r="C698" s="1" t="n">
        <v>45930</v>
      </c>
      <c r="D698" t="inlineStr">
        <is>
          <t>JÄMTLANDS LÄN</t>
        </is>
      </c>
      <c r="E698" t="inlineStr">
        <is>
          <t>RAGUNDA</t>
        </is>
      </c>
      <c r="G698" t="n">
        <v>3.6</v>
      </c>
      <c r="H698" t="n">
        <v>0</v>
      </c>
      <c r="I698" t="n">
        <v>0</v>
      </c>
      <c r="J698" t="n">
        <v>0</v>
      </c>
      <c r="K698" t="n">
        <v>0</v>
      </c>
      <c r="L698" t="n">
        <v>0</v>
      </c>
      <c r="M698" t="n">
        <v>0</v>
      </c>
      <c r="N698" t="n">
        <v>0</v>
      </c>
      <c r="O698" t="n">
        <v>0</v>
      </c>
      <c r="P698" t="n">
        <v>0</v>
      </c>
      <c r="Q698" t="n">
        <v>0</v>
      </c>
      <c r="R698" s="2" t="inlineStr"/>
    </row>
    <row r="699" ht="15" customHeight="1">
      <c r="A699" t="inlineStr">
        <is>
          <t>A 5307-2025</t>
        </is>
      </c>
      <c r="B699" s="1" t="n">
        <v>45692.48993055556</v>
      </c>
      <c r="C699" s="1" t="n">
        <v>45930</v>
      </c>
      <c r="D699" t="inlineStr">
        <is>
          <t>JÄMTLANDS LÄN</t>
        </is>
      </c>
      <c r="E699" t="inlineStr">
        <is>
          <t>RAGUNDA</t>
        </is>
      </c>
      <c r="F699" t="inlineStr">
        <is>
          <t>SCA</t>
        </is>
      </c>
      <c r="G699" t="n">
        <v>20.9</v>
      </c>
      <c r="H699" t="n">
        <v>0</v>
      </c>
      <c r="I699" t="n">
        <v>0</v>
      </c>
      <c r="J699" t="n">
        <v>0</v>
      </c>
      <c r="K699" t="n">
        <v>0</v>
      </c>
      <c r="L699" t="n">
        <v>0</v>
      </c>
      <c r="M699" t="n">
        <v>0</v>
      </c>
      <c r="N699" t="n">
        <v>0</v>
      </c>
      <c r="O699" t="n">
        <v>0</v>
      </c>
      <c r="P699" t="n">
        <v>0</v>
      </c>
      <c r="Q699" t="n">
        <v>0</v>
      </c>
      <c r="R699" s="2" t="inlineStr"/>
    </row>
    <row r="700" ht="15" customHeight="1">
      <c r="A700" t="inlineStr">
        <is>
          <t>A 40365-2024</t>
        </is>
      </c>
      <c r="B700" s="1" t="n">
        <v>45555.38509259259</v>
      </c>
      <c r="C700" s="1" t="n">
        <v>45930</v>
      </c>
      <c r="D700" t="inlineStr">
        <is>
          <t>JÄMTLANDS LÄN</t>
        </is>
      </c>
      <c r="E700" t="inlineStr">
        <is>
          <t>RAGUNDA</t>
        </is>
      </c>
      <c r="G700" t="n">
        <v>7.8</v>
      </c>
      <c r="H700" t="n">
        <v>0</v>
      </c>
      <c r="I700" t="n">
        <v>0</v>
      </c>
      <c r="J700" t="n">
        <v>0</v>
      </c>
      <c r="K700" t="n">
        <v>0</v>
      </c>
      <c r="L700" t="n">
        <v>0</v>
      </c>
      <c r="M700" t="n">
        <v>0</v>
      </c>
      <c r="N700" t="n">
        <v>0</v>
      </c>
      <c r="O700" t="n">
        <v>0</v>
      </c>
      <c r="P700" t="n">
        <v>0</v>
      </c>
      <c r="Q700" t="n">
        <v>0</v>
      </c>
      <c r="R700" s="2" t="inlineStr"/>
    </row>
    <row r="701" ht="15" customHeight="1">
      <c r="A701" t="inlineStr">
        <is>
          <t>A 48066-2022</t>
        </is>
      </c>
      <c r="B701" s="1" t="n">
        <v>44855</v>
      </c>
      <c r="C701" s="1" t="n">
        <v>45930</v>
      </c>
      <c r="D701" t="inlineStr">
        <is>
          <t>JÄMTLANDS LÄN</t>
        </is>
      </c>
      <c r="E701" t="inlineStr">
        <is>
          <t>RAGUNDA</t>
        </is>
      </c>
      <c r="F701" t="inlineStr">
        <is>
          <t>SCA</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26942-2021</t>
        </is>
      </c>
      <c r="B702" s="1" t="n">
        <v>44349.91978009259</v>
      </c>
      <c r="C702" s="1" t="n">
        <v>45930</v>
      </c>
      <c r="D702" t="inlineStr">
        <is>
          <t>JÄMTLANDS LÄN</t>
        </is>
      </c>
      <c r="E702" t="inlineStr">
        <is>
          <t>RAGUNDA</t>
        </is>
      </c>
      <c r="G702" t="n">
        <v>6.2</v>
      </c>
      <c r="H702" t="n">
        <v>0</v>
      </c>
      <c r="I702" t="n">
        <v>0</v>
      </c>
      <c r="J702" t="n">
        <v>0</v>
      </c>
      <c r="K702" t="n">
        <v>0</v>
      </c>
      <c r="L702" t="n">
        <v>0</v>
      </c>
      <c r="M702" t="n">
        <v>0</v>
      </c>
      <c r="N702" t="n">
        <v>0</v>
      </c>
      <c r="O702" t="n">
        <v>0</v>
      </c>
      <c r="P702" t="n">
        <v>0</v>
      </c>
      <c r="Q702" t="n">
        <v>0</v>
      </c>
      <c r="R702" s="2" t="inlineStr"/>
    </row>
    <row r="703" ht="15" customHeight="1">
      <c r="A703" t="inlineStr">
        <is>
          <t>A 46753-2025</t>
        </is>
      </c>
      <c r="B703" s="1" t="n">
        <v>45926.61552083334</v>
      </c>
      <c r="C703" s="1" t="n">
        <v>45930</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15554-2025</t>
        </is>
      </c>
      <c r="B704" s="1" t="n">
        <v>45747.67739583334</v>
      </c>
      <c r="C704" s="1" t="n">
        <v>45930</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57170-2024</t>
        </is>
      </c>
      <c r="B705" s="1" t="n">
        <v>45629.42759259259</v>
      </c>
      <c r="C705" s="1" t="n">
        <v>45930</v>
      </c>
      <c r="D705" t="inlineStr">
        <is>
          <t>JÄMTLANDS LÄN</t>
        </is>
      </c>
      <c r="E705" t="inlineStr">
        <is>
          <t>RAGUNDA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46751-2025</t>
        </is>
      </c>
      <c r="B706" s="1" t="n">
        <v>45926.6153125</v>
      </c>
      <c r="C706" s="1" t="n">
        <v>45930</v>
      </c>
      <c r="D706" t="inlineStr">
        <is>
          <t>JÄMTLANDS LÄN</t>
        </is>
      </c>
      <c r="E706" t="inlineStr">
        <is>
          <t>RAGUNDA</t>
        </is>
      </c>
      <c r="F706" t="inlineStr">
        <is>
          <t>SCA</t>
        </is>
      </c>
      <c r="G706" t="n">
        <v>7.8</v>
      </c>
      <c r="H706" t="n">
        <v>0</v>
      </c>
      <c r="I706" t="n">
        <v>0</v>
      </c>
      <c r="J706" t="n">
        <v>0</v>
      </c>
      <c r="K706" t="n">
        <v>0</v>
      </c>
      <c r="L706" t="n">
        <v>0</v>
      </c>
      <c r="M706" t="n">
        <v>0</v>
      </c>
      <c r="N706" t="n">
        <v>0</v>
      </c>
      <c r="O706" t="n">
        <v>0</v>
      </c>
      <c r="P706" t="n">
        <v>0</v>
      </c>
      <c r="Q706" t="n">
        <v>0</v>
      </c>
      <c r="R706" s="2" t="inlineStr"/>
    </row>
    <row r="707" ht="15" customHeight="1">
      <c r="A707" t="inlineStr">
        <is>
          <t>A 56504-2024</t>
        </is>
      </c>
      <c r="B707" s="1" t="n">
        <v>45625.51068287037</v>
      </c>
      <c r="C707" s="1" t="n">
        <v>45930</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29940-2023</t>
        </is>
      </c>
      <c r="B708" s="1" t="n">
        <v>45107</v>
      </c>
      <c r="C708" s="1" t="n">
        <v>45930</v>
      </c>
      <c r="D708" t="inlineStr">
        <is>
          <t>JÄMTLANDS LÄN</t>
        </is>
      </c>
      <c r="E708" t="inlineStr">
        <is>
          <t>RAGUNDA</t>
        </is>
      </c>
      <c r="G708" t="n">
        <v>13.5</v>
      </c>
      <c r="H708" t="n">
        <v>0</v>
      </c>
      <c r="I708" t="n">
        <v>0</v>
      </c>
      <c r="J708" t="n">
        <v>0</v>
      </c>
      <c r="K708" t="n">
        <v>0</v>
      </c>
      <c r="L708" t="n">
        <v>0</v>
      </c>
      <c r="M708" t="n">
        <v>0</v>
      </c>
      <c r="N708" t="n">
        <v>0</v>
      </c>
      <c r="O708" t="n">
        <v>0</v>
      </c>
      <c r="P708" t="n">
        <v>0</v>
      </c>
      <c r="Q708" t="n">
        <v>0</v>
      </c>
      <c r="R708" s="2" t="inlineStr"/>
    </row>
    <row r="709" ht="15" customHeight="1">
      <c r="A709" t="inlineStr">
        <is>
          <t>A 5938-2025</t>
        </is>
      </c>
      <c r="B709" s="1" t="n">
        <v>45695.45868055556</v>
      </c>
      <c r="C709" s="1" t="n">
        <v>45930</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66471-2021</t>
        </is>
      </c>
      <c r="B710" s="1" t="n">
        <v>44518</v>
      </c>
      <c r="C710" s="1" t="n">
        <v>45930</v>
      </c>
      <c r="D710" t="inlineStr">
        <is>
          <t>JÄMTLANDS LÄN</t>
        </is>
      </c>
      <c r="E710" t="inlineStr">
        <is>
          <t>RAGUNDA</t>
        </is>
      </c>
      <c r="G710" t="n">
        <v>13.4</v>
      </c>
      <c r="H710" t="n">
        <v>0</v>
      </c>
      <c r="I710" t="n">
        <v>0</v>
      </c>
      <c r="J710" t="n">
        <v>0</v>
      </c>
      <c r="K710" t="n">
        <v>0</v>
      </c>
      <c r="L710" t="n">
        <v>0</v>
      </c>
      <c r="M710" t="n">
        <v>0</v>
      </c>
      <c r="N710" t="n">
        <v>0</v>
      </c>
      <c r="O710" t="n">
        <v>0</v>
      </c>
      <c r="P710" t="n">
        <v>0</v>
      </c>
      <c r="Q710" t="n">
        <v>0</v>
      </c>
      <c r="R710" s="2" t="inlineStr"/>
    </row>
    <row r="711" ht="15" customHeight="1">
      <c r="A711" t="inlineStr">
        <is>
          <t>A 22731-2023</t>
        </is>
      </c>
      <c r="B711" s="1" t="n">
        <v>45071</v>
      </c>
      <c r="C711" s="1" t="n">
        <v>45930</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28173-2024</t>
        </is>
      </c>
      <c r="B712" s="1" t="n">
        <v>45476.94533564815</v>
      </c>
      <c r="C712" s="1" t="n">
        <v>45930</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33877-2023</t>
        </is>
      </c>
      <c r="B713" s="1" t="n">
        <v>45133</v>
      </c>
      <c r="C713" s="1" t="n">
        <v>45930</v>
      </c>
      <c r="D713" t="inlineStr">
        <is>
          <t>JÄMTLANDS LÄN</t>
        </is>
      </c>
      <c r="E713" t="inlineStr">
        <is>
          <t>RAGUNDA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46689-2025</t>
        </is>
      </c>
      <c r="B714" s="1" t="n">
        <v>45926.55307870371</v>
      </c>
      <c r="C714" s="1" t="n">
        <v>45930</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35537-2021</t>
        </is>
      </c>
      <c r="B715" s="1" t="n">
        <v>44384</v>
      </c>
      <c r="C715" s="1" t="n">
        <v>45930</v>
      </c>
      <c r="D715" t="inlineStr">
        <is>
          <t>JÄMTLANDS LÄN</t>
        </is>
      </c>
      <c r="E715" t="inlineStr">
        <is>
          <t>RAGUNDA</t>
        </is>
      </c>
      <c r="G715" t="n">
        <v>3.1</v>
      </c>
      <c r="H715" t="n">
        <v>0</v>
      </c>
      <c r="I715" t="n">
        <v>0</v>
      </c>
      <c r="J715" t="n">
        <v>0</v>
      </c>
      <c r="K715" t="n">
        <v>0</v>
      </c>
      <c r="L715" t="n">
        <v>0</v>
      </c>
      <c r="M715" t="n">
        <v>0</v>
      </c>
      <c r="N715" t="n">
        <v>0</v>
      </c>
      <c r="O715" t="n">
        <v>0</v>
      </c>
      <c r="P715" t="n">
        <v>0</v>
      </c>
      <c r="Q715" t="n">
        <v>0</v>
      </c>
      <c r="R715" s="2" t="inlineStr"/>
    </row>
    <row r="716" ht="15" customHeight="1">
      <c r="A716" t="inlineStr">
        <is>
          <t>A 8775-2025</t>
        </is>
      </c>
      <c r="B716" s="1" t="n">
        <v>45712.61502314815</v>
      </c>
      <c r="C716" s="1" t="n">
        <v>45930</v>
      </c>
      <c r="D716" t="inlineStr">
        <is>
          <t>JÄMTLANDS LÄN</t>
        </is>
      </c>
      <c r="E716" t="inlineStr">
        <is>
          <t>RAGUNDA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8776-2025</t>
        </is>
      </c>
      <c r="B717" s="1" t="n">
        <v>45712.61510416667</v>
      </c>
      <c r="C717" s="1" t="n">
        <v>45930</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18248-2023</t>
        </is>
      </c>
      <c r="B718" s="1" t="n">
        <v>45040</v>
      </c>
      <c r="C718" s="1" t="n">
        <v>45930</v>
      </c>
      <c r="D718" t="inlineStr">
        <is>
          <t>JÄMTLANDS LÄN</t>
        </is>
      </c>
      <c r="E718" t="inlineStr">
        <is>
          <t>RAGUNDA</t>
        </is>
      </c>
      <c r="G718" t="n">
        <v>4.3</v>
      </c>
      <c r="H718" t="n">
        <v>0</v>
      </c>
      <c r="I718" t="n">
        <v>0</v>
      </c>
      <c r="J718" t="n">
        <v>0</v>
      </c>
      <c r="K718" t="n">
        <v>0</v>
      </c>
      <c r="L718" t="n">
        <v>0</v>
      </c>
      <c r="M718" t="n">
        <v>0</v>
      </c>
      <c r="N718" t="n">
        <v>0</v>
      </c>
      <c r="O718" t="n">
        <v>0</v>
      </c>
      <c r="P718" t="n">
        <v>0</v>
      </c>
      <c r="Q718" t="n">
        <v>0</v>
      </c>
      <c r="R718" s="2" t="inlineStr"/>
    </row>
    <row r="719" ht="15" customHeight="1">
      <c r="A719" t="inlineStr">
        <is>
          <t>A 45438-2022</t>
        </is>
      </c>
      <c r="B719" s="1" t="n">
        <v>44844.95368055555</v>
      </c>
      <c r="C719" s="1" t="n">
        <v>45930</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57749-2024</t>
        </is>
      </c>
      <c r="B720" s="1" t="n">
        <v>45630.7862037037</v>
      </c>
      <c r="C720" s="1" t="n">
        <v>45930</v>
      </c>
      <c r="D720" t="inlineStr">
        <is>
          <t>JÄMTLANDS LÄN</t>
        </is>
      </c>
      <c r="E720" t="inlineStr">
        <is>
          <t>RAGUNDA</t>
        </is>
      </c>
      <c r="G720" t="n">
        <v>1.3</v>
      </c>
      <c r="H720" t="n">
        <v>0</v>
      </c>
      <c r="I720" t="n">
        <v>0</v>
      </c>
      <c r="J720" t="n">
        <v>0</v>
      </c>
      <c r="K720" t="n">
        <v>0</v>
      </c>
      <c r="L720" t="n">
        <v>0</v>
      </c>
      <c r="M720" t="n">
        <v>0</v>
      </c>
      <c r="N720" t="n">
        <v>0</v>
      </c>
      <c r="O720" t="n">
        <v>0</v>
      </c>
      <c r="P720" t="n">
        <v>0</v>
      </c>
      <c r="Q720" t="n">
        <v>0</v>
      </c>
      <c r="R720" s="2" t="inlineStr"/>
    </row>
    <row r="721" ht="15" customHeight="1">
      <c r="A721" t="inlineStr">
        <is>
          <t>A 30459-2021</t>
        </is>
      </c>
      <c r="B721" s="1" t="n">
        <v>44362</v>
      </c>
      <c r="C721" s="1" t="n">
        <v>45930</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5067-2024</t>
        </is>
      </c>
      <c r="B722" s="1" t="n">
        <v>45329.95806712963</v>
      </c>
      <c r="C722" s="1" t="n">
        <v>45930</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29263-2024</t>
        </is>
      </c>
      <c r="B723" s="1" t="n">
        <v>45482.94891203703</v>
      </c>
      <c r="C723" s="1" t="n">
        <v>45930</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29265-2024</t>
        </is>
      </c>
      <c r="B724" s="1" t="n">
        <v>45482.9491087963</v>
      </c>
      <c r="C724" s="1" t="n">
        <v>45930</v>
      </c>
      <c r="D724" t="inlineStr">
        <is>
          <t>JÄMTLANDS LÄN</t>
        </is>
      </c>
      <c r="E724" t="inlineStr">
        <is>
          <t>RAGUNDA</t>
        </is>
      </c>
      <c r="F724" t="inlineStr">
        <is>
          <t>SCA</t>
        </is>
      </c>
      <c r="G724" t="n">
        <v>11.6</v>
      </c>
      <c r="H724" t="n">
        <v>0</v>
      </c>
      <c r="I724" t="n">
        <v>0</v>
      </c>
      <c r="J724" t="n">
        <v>0</v>
      </c>
      <c r="K724" t="n">
        <v>0</v>
      </c>
      <c r="L724" t="n">
        <v>0</v>
      </c>
      <c r="M724" t="n">
        <v>0</v>
      </c>
      <c r="N724" t="n">
        <v>0</v>
      </c>
      <c r="O724" t="n">
        <v>0</v>
      </c>
      <c r="P724" t="n">
        <v>0</v>
      </c>
      <c r="Q724" t="n">
        <v>0</v>
      </c>
      <c r="R724" s="2" t="inlineStr"/>
    </row>
    <row r="725" ht="15" customHeight="1">
      <c r="A725" t="inlineStr">
        <is>
          <t>A 5429-2024</t>
        </is>
      </c>
      <c r="B725" s="1" t="n">
        <v>45331.92746527777</v>
      </c>
      <c r="C725" s="1" t="n">
        <v>45930</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13898-2023</t>
        </is>
      </c>
      <c r="B726" s="1" t="n">
        <v>45008.01408564814</v>
      </c>
      <c r="C726" s="1" t="n">
        <v>45930</v>
      </c>
      <c r="D726" t="inlineStr">
        <is>
          <t>JÄMTLANDS LÄN</t>
        </is>
      </c>
      <c r="E726" t="inlineStr">
        <is>
          <t>RAGUNDA</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41693-2023</t>
        </is>
      </c>
      <c r="B727" s="1" t="n">
        <v>45176</v>
      </c>
      <c r="C727" s="1" t="n">
        <v>45930</v>
      </c>
      <c r="D727" t="inlineStr">
        <is>
          <t>JÄMTLANDS LÄN</t>
        </is>
      </c>
      <c r="E727" t="inlineStr">
        <is>
          <t>RAGUNDA</t>
        </is>
      </c>
      <c r="G727" t="n">
        <v>5.5</v>
      </c>
      <c r="H727" t="n">
        <v>0</v>
      </c>
      <c r="I727" t="n">
        <v>0</v>
      </c>
      <c r="J727" t="n">
        <v>0</v>
      </c>
      <c r="K727" t="n">
        <v>0</v>
      </c>
      <c r="L727" t="n">
        <v>0</v>
      </c>
      <c r="M727" t="n">
        <v>0</v>
      </c>
      <c r="N727" t="n">
        <v>0</v>
      </c>
      <c r="O727" t="n">
        <v>0</v>
      </c>
      <c r="P727" t="n">
        <v>0</v>
      </c>
      <c r="Q727" t="n">
        <v>0</v>
      </c>
      <c r="R727" s="2" t="inlineStr"/>
    </row>
    <row r="728" ht="15" customHeight="1">
      <c r="A728" t="inlineStr">
        <is>
          <t>A 3770-2025</t>
        </is>
      </c>
      <c r="B728" s="1" t="n">
        <v>45681.6050925926</v>
      </c>
      <c r="C728" s="1" t="n">
        <v>45930</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11252-2025</t>
        </is>
      </c>
      <c r="B729" s="1" t="n">
        <v>45726.38615740741</v>
      </c>
      <c r="C729" s="1" t="n">
        <v>45930</v>
      </c>
      <c r="D729" t="inlineStr">
        <is>
          <t>JÄMTLANDS LÄN</t>
        </is>
      </c>
      <c r="E729" t="inlineStr">
        <is>
          <t>RAGUNDA</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28742-2023</t>
        </is>
      </c>
      <c r="B730" s="1" t="n">
        <v>45103</v>
      </c>
      <c r="C730" s="1" t="n">
        <v>45930</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7668-2025</t>
        </is>
      </c>
      <c r="B731" s="1" t="n">
        <v>45706.34450231482</v>
      </c>
      <c r="C731" s="1" t="n">
        <v>45930</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9548-2025</t>
        </is>
      </c>
      <c r="B732" s="1" t="n">
        <v>45715.59405092592</v>
      </c>
      <c r="C732" s="1" t="n">
        <v>45930</v>
      </c>
      <c r="D732" t="inlineStr">
        <is>
          <t>JÄMTLANDS LÄN</t>
        </is>
      </c>
      <c r="E732" t="inlineStr">
        <is>
          <t>RAGUNDA</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22981-2023</t>
        </is>
      </c>
      <c r="B733" s="1" t="n">
        <v>45072.92737268518</v>
      </c>
      <c r="C733" s="1" t="n">
        <v>45930</v>
      </c>
      <c r="D733" t="inlineStr">
        <is>
          <t>JÄMTLANDS LÄN</t>
        </is>
      </c>
      <c r="E733" t="inlineStr">
        <is>
          <t>RAGUNDA</t>
        </is>
      </c>
      <c r="G733" t="n">
        <v>3.8</v>
      </c>
      <c r="H733" t="n">
        <v>0</v>
      </c>
      <c r="I733" t="n">
        <v>0</v>
      </c>
      <c r="J733" t="n">
        <v>0</v>
      </c>
      <c r="K733" t="n">
        <v>0</v>
      </c>
      <c r="L733" t="n">
        <v>0</v>
      </c>
      <c r="M733" t="n">
        <v>0</v>
      </c>
      <c r="N733" t="n">
        <v>0</v>
      </c>
      <c r="O733" t="n">
        <v>0</v>
      </c>
      <c r="P733" t="n">
        <v>0</v>
      </c>
      <c r="Q733" t="n">
        <v>0</v>
      </c>
      <c r="R733" s="2" t="inlineStr"/>
    </row>
    <row r="734" ht="15" customHeight="1">
      <c r="A734" t="inlineStr">
        <is>
          <t>A 21726-2023</t>
        </is>
      </c>
      <c r="B734" s="1" t="n">
        <v>45065.42894675926</v>
      </c>
      <c r="C734" s="1" t="n">
        <v>45930</v>
      </c>
      <c r="D734" t="inlineStr">
        <is>
          <t>JÄMTLANDS LÄN</t>
        </is>
      </c>
      <c r="E734" t="inlineStr">
        <is>
          <t>RAGUNDA</t>
        </is>
      </c>
      <c r="G734" t="n">
        <v>0.4</v>
      </c>
      <c r="H734" t="n">
        <v>0</v>
      </c>
      <c r="I734" t="n">
        <v>0</v>
      </c>
      <c r="J734" t="n">
        <v>0</v>
      </c>
      <c r="K734" t="n">
        <v>0</v>
      </c>
      <c r="L734" t="n">
        <v>0</v>
      </c>
      <c r="M734" t="n">
        <v>0</v>
      </c>
      <c r="N734" t="n">
        <v>0</v>
      </c>
      <c r="O734" t="n">
        <v>0</v>
      </c>
      <c r="P734" t="n">
        <v>0</v>
      </c>
      <c r="Q734" t="n">
        <v>0</v>
      </c>
      <c r="R734" s="2" t="inlineStr"/>
    </row>
    <row r="735" ht="15" customHeight="1">
      <c r="A735" t="inlineStr">
        <is>
          <t>A 55514-2024</t>
        </is>
      </c>
      <c r="B735" s="1" t="n">
        <v>45622.46910879629</v>
      </c>
      <c r="C735" s="1" t="n">
        <v>45930</v>
      </c>
      <c r="D735" t="inlineStr">
        <is>
          <t>JÄMTLANDS LÄN</t>
        </is>
      </c>
      <c r="E735" t="inlineStr">
        <is>
          <t>RAGUNDA</t>
        </is>
      </c>
      <c r="G735" t="n">
        <v>0.9</v>
      </c>
      <c r="H735" t="n">
        <v>0</v>
      </c>
      <c r="I735" t="n">
        <v>0</v>
      </c>
      <c r="J735" t="n">
        <v>0</v>
      </c>
      <c r="K735" t="n">
        <v>0</v>
      </c>
      <c r="L735" t="n">
        <v>0</v>
      </c>
      <c r="M735" t="n">
        <v>0</v>
      </c>
      <c r="N735" t="n">
        <v>0</v>
      </c>
      <c r="O735" t="n">
        <v>0</v>
      </c>
      <c r="P735" t="n">
        <v>0</v>
      </c>
      <c r="Q735" t="n">
        <v>0</v>
      </c>
      <c r="R735" s="2" t="inlineStr"/>
    </row>
    <row r="736" ht="15" customHeight="1">
      <c r="A736" t="inlineStr">
        <is>
          <t>A 24441-2024</t>
        </is>
      </c>
      <c r="B736" s="1" t="n">
        <v>45457.96372685185</v>
      </c>
      <c r="C736" s="1" t="n">
        <v>45930</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57237-2022</t>
        </is>
      </c>
      <c r="B737" s="1" t="n">
        <v>44889</v>
      </c>
      <c r="C737" s="1" t="n">
        <v>45930</v>
      </c>
      <c r="D737" t="inlineStr">
        <is>
          <t>JÄMTLANDS LÄN</t>
        </is>
      </c>
      <c r="E737" t="inlineStr">
        <is>
          <t>RAGUNDA</t>
        </is>
      </c>
      <c r="G737" t="n">
        <v>2.2</v>
      </c>
      <c r="H737" t="n">
        <v>0</v>
      </c>
      <c r="I737" t="n">
        <v>0</v>
      </c>
      <c r="J737" t="n">
        <v>0</v>
      </c>
      <c r="K737" t="n">
        <v>0</v>
      </c>
      <c r="L737" t="n">
        <v>0</v>
      </c>
      <c r="M737" t="n">
        <v>0</v>
      </c>
      <c r="N737" t="n">
        <v>0</v>
      </c>
      <c r="O737" t="n">
        <v>0</v>
      </c>
      <c r="P737" t="n">
        <v>0</v>
      </c>
      <c r="Q737" t="n">
        <v>0</v>
      </c>
      <c r="R737" s="2" t="inlineStr"/>
    </row>
    <row r="738" ht="15" customHeight="1">
      <c r="A738" t="inlineStr">
        <is>
          <t>A 934-2023</t>
        </is>
      </c>
      <c r="B738" s="1" t="n">
        <v>44932.93927083333</v>
      </c>
      <c r="C738" s="1" t="n">
        <v>45930</v>
      </c>
      <c r="D738" t="inlineStr">
        <is>
          <t>JÄMTLANDS LÄN</t>
        </is>
      </c>
      <c r="E738" t="inlineStr">
        <is>
          <t>RAGUNDA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37242-2024</t>
        </is>
      </c>
      <c r="B739" s="1" t="n">
        <v>45540.34428240741</v>
      </c>
      <c r="C739" s="1" t="n">
        <v>45930</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9232-2025</t>
        </is>
      </c>
      <c r="B740" s="1" t="n">
        <v>45714.55064814815</v>
      </c>
      <c r="C740" s="1" t="n">
        <v>45930</v>
      </c>
      <c r="D740" t="inlineStr">
        <is>
          <t>JÄMTLANDS LÄN</t>
        </is>
      </c>
      <c r="E740" t="inlineStr">
        <is>
          <t>RAGUNDA</t>
        </is>
      </c>
      <c r="G740" t="n">
        <v>1.9</v>
      </c>
      <c r="H740" t="n">
        <v>0</v>
      </c>
      <c r="I740" t="n">
        <v>0</v>
      </c>
      <c r="J740" t="n">
        <v>0</v>
      </c>
      <c r="K740" t="n">
        <v>0</v>
      </c>
      <c r="L740" t="n">
        <v>0</v>
      </c>
      <c r="M740" t="n">
        <v>0</v>
      </c>
      <c r="N740" t="n">
        <v>0</v>
      </c>
      <c r="O740" t="n">
        <v>0</v>
      </c>
      <c r="P740" t="n">
        <v>0</v>
      </c>
      <c r="Q740" t="n">
        <v>0</v>
      </c>
      <c r="R740" s="2" t="inlineStr"/>
    </row>
    <row r="741" ht="15" customHeight="1">
      <c r="A741" t="inlineStr">
        <is>
          <t>A 41656-2023</t>
        </is>
      </c>
      <c r="B741" s="1" t="n">
        <v>45175</v>
      </c>
      <c r="C741" s="1" t="n">
        <v>45930</v>
      </c>
      <c r="D741" t="inlineStr">
        <is>
          <t>JÄMTLANDS LÄN</t>
        </is>
      </c>
      <c r="E741" t="inlineStr">
        <is>
          <t>RAGUNDA</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36317-2024</t>
        </is>
      </c>
      <c r="B742" s="1" t="n">
        <v>45534.63537037037</v>
      </c>
      <c r="C742" s="1" t="n">
        <v>45930</v>
      </c>
      <c r="D742" t="inlineStr">
        <is>
          <t>JÄMTLANDS LÄN</t>
        </is>
      </c>
      <c r="E742" t="inlineStr">
        <is>
          <t>RAGUNDA</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13263-2025</t>
        </is>
      </c>
      <c r="B743" s="1" t="n">
        <v>45735.53177083333</v>
      </c>
      <c r="C743" s="1" t="n">
        <v>45930</v>
      </c>
      <c r="D743" t="inlineStr">
        <is>
          <t>JÄMTLANDS LÄN</t>
        </is>
      </c>
      <c r="E743" t="inlineStr">
        <is>
          <t>RAGUNDA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13276-2025</t>
        </is>
      </c>
      <c r="B744" s="1" t="n">
        <v>45735.5517824074</v>
      </c>
      <c r="C744" s="1" t="n">
        <v>45930</v>
      </c>
      <c r="D744" t="inlineStr">
        <is>
          <t>JÄMTLANDS LÄN</t>
        </is>
      </c>
      <c r="E744" t="inlineStr">
        <is>
          <t>RAGUNDA</t>
        </is>
      </c>
      <c r="G744" t="n">
        <v>16.6</v>
      </c>
      <c r="H744" t="n">
        <v>0</v>
      </c>
      <c r="I744" t="n">
        <v>0</v>
      </c>
      <c r="J744" t="n">
        <v>0</v>
      </c>
      <c r="K744" t="n">
        <v>0</v>
      </c>
      <c r="L744" t="n">
        <v>0</v>
      </c>
      <c r="M744" t="n">
        <v>0</v>
      </c>
      <c r="N744" t="n">
        <v>0</v>
      </c>
      <c r="O744" t="n">
        <v>0</v>
      </c>
      <c r="P744" t="n">
        <v>0</v>
      </c>
      <c r="Q744" t="n">
        <v>0</v>
      </c>
      <c r="R744" s="2" t="inlineStr"/>
    </row>
    <row r="745" ht="15" customHeight="1">
      <c r="A745" t="inlineStr">
        <is>
          <t>A 12405-2025</t>
        </is>
      </c>
      <c r="B745" s="1" t="n">
        <v>45730.42738425926</v>
      </c>
      <c r="C745" s="1" t="n">
        <v>45930</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12808-2025</t>
        </is>
      </c>
      <c r="B746" s="1" t="n">
        <v>45733.61554398148</v>
      </c>
      <c r="C746" s="1" t="n">
        <v>45930</v>
      </c>
      <c r="D746" t="inlineStr">
        <is>
          <t>JÄMTLANDS LÄN</t>
        </is>
      </c>
      <c r="E746" t="inlineStr">
        <is>
          <t>RAGUNDA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46546-2023</t>
        </is>
      </c>
      <c r="B747" s="1" t="n">
        <v>45197.94152777778</v>
      </c>
      <c r="C747" s="1" t="n">
        <v>45930</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36226-2023</t>
        </is>
      </c>
      <c r="B748" s="1" t="n">
        <v>45149.95372685185</v>
      </c>
      <c r="C748" s="1" t="n">
        <v>45930</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6716-2025</t>
        </is>
      </c>
      <c r="B749" s="1" t="n">
        <v>45700.57324074074</v>
      </c>
      <c r="C749" s="1" t="n">
        <v>45930</v>
      </c>
      <c r="D749" t="inlineStr">
        <is>
          <t>JÄMTLANDS LÄN</t>
        </is>
      </c>
      <c r="E749" t="inlineStr">
        <is>
          <t>RAGUNDA</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30823-2023</t>
        </is>
      </c>
      <c r="B750" s="1" t="n">
        <v>45112</v>
      </c>
      <c r="C750" s="1" t="n">
        <v>45930</v>
      </c>
      <c r="D750" t="inlineStr">
        <is>
          <t>JÄMTLANDS LÄN</t>
        </is>
      </c>
      <c r="E750" t="inlineStr">
        <is>
          <t>RAGUNDA</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30484-2024</t>
        </is>
      </c>
      <c r="B751" s="1" t="n">
        <v>45491</v>
      </c>
      <c r="C751" s="1" t="n">
        <v>45930</v>
      </c>
      <c r="D751" t="inlineStr">
        <is>
          <t>JÄMTLANDS LÄN</t>
        </is>
      </c>
      <c r="E751" t="inlineStr">
        <is>
          <t>RAGUNDA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59368-2022</t>
        </is>
      </c>
      <c r="B752" s="1" t="n">
        <v>44904.94824074074</v>
      </c>
      <c r="C752" s="1" t="n">
        <v>45930</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893-2025</t>
        </is>
      </c>
      <c r="B753" s="1" t="n">
        <v>45665.65684027778</v>
      </c>
      <c r="C753" s="1" t="n">
        <v>45930</v>
      </c>
      <c r="D753" t="inlineStr">
        <is>
          <t>JÄMTLANDS LÄN</t>
        </is>
      </c>
      <c r="E753" t="inlineStr">
        <is>
          <t>RAGUNDA</t>
        </is>
      </c>
      <c r="F753" t="inlineStr">
        <is>
          <t>SCA</t>
        </is>
      </c>
      <c r="G753" t="n">
        <v>45.1</v>
      </c>
      <c r="H753" t="n">
        <v>0</v>
      </c>
      <c r="I753" t="n">
        <v>0</v>
      </c>
      <c r="J753" t="n">
        <v>0</v>
      </c>
      <c r="K753" t="n">
        <v>0</v>
      </c>
      <c r="L753" t="n">
        <v>0</v>
      </c>
      <c r="M753" t="n">
        <v>0</v>
      </c>
      <c r="N753" t="n">
        <v>0</v>
      </c>
      <c r="O753" t="n">
        <v>0</v>
      </c>
      <c r="P753" t="n">
        <v>0</v>
      </c>
      <c r="Q753" t="n">
        <v>0</v>
      </c>
      <c r="R753" s="2" t="inlineStr"/>
    </row>
    <row r="754" ht="15" customHeight="1">
      <c r="A754" t="inlineStr">
        <is>
          <t>A 11288-2022</t>
        </is>
      </c>
      <c r="B754" s="1" t="n">
        <v>44629</v>
      </c>
      <c r="C754" s="1" t="n">
        <v>45930</v>
      </c>
      <c r="D754" t="inlineStr">
        <is>
          <t>JÄMTLANDS LÄN</t>
        </is>
      </c>
      <c r="E754" t="inlineStr">
        <is>
          <t>RAGUNDA</t>
        </is>
      </c>
      <c r="G754" t="n">
        <v>4.9</v>
      </c>
      <c r="H754" t="n">
        <v>0</v>
      </c>
      <c r="I754" t="n">
        <v>0</v>
      </c>
      <c r="J754" t="n">
        <v>0</v>
      </c>
      <c r="K754" t="n">
        <v>0</v>
      </c>
      <c r="L754" t="n">
        <v>0</v>
      </c>
      <c r="M754" t="n">
        <v>0</v>
      </c>
      <c r="N754" t="n">
        <v>0</v>
      </c>
      <c r="O754" t="n">
        <v>0</v>
      </c>
      <c r="P754" t="n">
        <v>0</v>
      </c>
      <c r="Q754" t="n">
        <v>0</v>
      </c>
      <c r="R754" s="2" t="inlineStr"/>
    </row>
    <row r="755" ht="15" customHeight="1">
      <c r="A755" t="inlineStr">
        <is>
          <t>A 19865-2023</t>
        </is>
      </c>
      <c r="B755" s="1" t="n">
        <v>45053.94305555556</v>
      </c>
      <c r="C755" s="1" t="n">
        <v>45930</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1554-2024</t>
        </is>
      </c>
      <c r="B756" s="1" t="n">
        <v>45306</v>
      </c>
      <c r="C756" s="1" t="n">
        <v>45930</v>
      </c>
      <c r="D756" t="inlineStr">
        <is>
          <t>JÄMTLANDS LÄN</t>
        </is>
      </c>
      <c r="E756" t="inlineStr">
        <is>
          <t>RAGUNDA</t>
        </is>
      </c>
      <c r="G756" t="n">
        <v>4.3</v>
      </c>
      <c r="H756" t="n">
        <v>0</v>
      </c>
      <c r="I756" t="n">
        <v>0</v>
      </c>
      <c r="J756" t="n">
        <v>0</v>
      </c>
      <c r="K756" t="n">
        <v>0</v>
      </c>
      <c r="L756" t="n">
        <v>0</v>
      </c>
      <c r="M756" t="n">
        <v>0</v>
      </c>
      <c r="N756" t="n">
        <v>0</v>
      </c>
      <c r="O756" t="n">
        <v>0</v>
      </c>
      <c r="P756" t="n">
        <v>0</v>
      </c>
      <c r="Q756" t="n">
        <v>0</v>
      </c>
      <c r="R756" s="2" t="inlineStr"/>
    </row>
    <row r="757" ht="15" customHeight="1">
      <c r="A757" t="inlineStr">
        <is>
          <t>A 7520-2023</t>
        </is>
      </c>
      <c r="B757" s="1" t="n">
        <v>44971</v>
      </c>
      <c r="C757" s="1" t="n">
        <v>45930</v>
      </c>
      <c r="D757" t="inlineStr">
        <is>
          <t>JÄMTLANDS LÄN</t>
        </is>
      </c>
      <c r="E757" t="inlineStr">
        <is>
          <t>RAGUNDA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53549-2024</t>
        </is>
      </c>
      <c r="B758" s="1" t="n">
        <v>45614.63869212963</v>
      </c>
      <c r="C758" s="1" t="n">
        <v>45930</v>
      </c>
      <c r="D758" t="inlineStr">
        <is>
          <t>JÄMTLANDS LÄN</t>
        </is>
      </c>
      <c r="E758" t="inlineStr">
        <is>
          <t>RAGUNDA</t>
        </is>
      </c>
      <c r="F758" t="inlineStr">
        <is>
          <t>Kyrkan</t>
        </is>
      </c>
      <c r="G758" t="n">
        <v>1.7</v>
      </c>
      <c r="H758" t="n">
        <v>0</v>
      </c>
      <c r="I758" t="n">
        <v>0</v>
      </c>
      <c r="J758" t="n">
        <v>0</v>
      </c>
      <c r="K758" t="n">
        <v>0</v>
      </c>
      <c r="L758" t="n">
        <v>0</v>
      </c>
      <c r="M758" t="n">
        <v>0</v>
      </c>
      <c r="N758" t="n">
        <v>0</v>
      </c>
      <c r="O758" t="n">
        <v>0</v>
      </c>
      <c r="P758" t="n">
        <v>0</v>
      </c>
      <c r="Q758" t="n">
        <v>0</v>
      </c>
      <c r="R758" s="2" t="inlineStr"/>
    </row>
    <row r="759" ht="15" customHeight="1">
      <c r="A759" t="inlineStr">
        <is>
          <t>A 53955-2022</t>
        </is>
      </c>
      <c r="B759" s="1" t="n">
        <v>44880.95741898148</v>
      </c>
      <c r="C759" s="1" t="n">
        <v>45930</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22011-2023</t>
        </is>
      </c>
      <c r="B760" s="1" t="n">
        <v>45068</v>
      </c>
      <c r="C760" s="1" t="n">
        <v>45930</v>
      </c>
      <c r="D760" t="inlineStr">
        <is>
          <t>JÄMTLANDS LÄN</t>
        </is>
      </c>
      <c r="E760" t="inlineStr">
        <is>
          <t>RAGUNDA</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45930</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13389-2025</t>
        </is>
      </c>
      <c r="B762" s="1" t="n">
        <v>45735.69842592593</v>
      </c>
      <c r="C762" s="1" t="n">
        <v>45930</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53287-2022</t>
        </is>
      </c>
      <c r="B763" s="1" t="n">
        <v>44876</v>
      </c>
      <c r="C763" s="1" t="n">
        <v>45930</v>
      </c>
      <c r="D763" t="inlineStr">
        <is>
          <t>JÄMTLANDS LÄN</t>
        </is>
      </c>
      <c r="E763" t="inlineStr">
        <is>
          <t>RAGUNDA</t>
        </is>
      </c>
      <c r="F763" t="inlineStr">
        <is>
          <t>SCA</t>
        </is>
      </c>
      <c r="G763" t="n">
        <v>6.2</v>
      </c>
      <c r="H763" t="n">
        <v>0</v>
      </c>
      <c r="I763" t="n">
        <v>0</v>
      </c>
      <c r="J763" t="n">
        <v>0</v>
      </c>
      <c r="K763" t="n">
        <v>0</v>
      </c>
      <c r="L763" t="n">
        <v>0</v>
      </c>
      <c r="M763" t="n">
        <v>0</v>
      </c>
      <c r="N763" t="n">
        <v>0</v>
      </c>
      <c r="O763" t="n">
        <v>0</v>
      </c>
      <c r="P763" t="n">
        <v>0</v>
      </c>
      <c r="Q763" t="n">
        <v>0</v>
      </c>
      <c r="R763" s="2" t="inlineStr"/>
    </row>
    <row r="764" ht="15" customHeight="1">
      <c r="A764" t="inlineStr">
        <is>
          <t>A 2831-2024</t>
        </is>
      </c>
      <c r="B764" s="1" t="n">
        <v>45314.92758101852</v>
      </c>
      <c r="C764" s="1" t="n">
        <v>45930</v>
      </c>
      <c r="D764" t="inlineStr">
        <is>
          <t>JÄMTLANDS LÄN</t>
        </is>
      </c>
      <c r="E764" t="inlineStr">
        <is>
          <t>RAGUNDA</t>
        </is>
      </c>
      <c r="G764" t="n">
        <v>0.6</v>
      </c>
      <c r="H764" t="n">
        <v>0</v>
      </c>
      <c r="I764" t="n">
        <v>0</v>
      </c>
      <c r="J764" t="n">
        <v>0</v>
      </c>
      <c r="K764" t="n">
        <v>0</v>
      </c>
      <c r="L764" t="n">
        <v>0</v>
      </c>
      <c r="M764" t="n">
        <v>0</v>
      </c>
      <c r="N764" t="n">
        <v>0</v>
      </c>
      <c r="O764" t="n">
        <v>0</v>
      </c>
      <c r="P764" t="n">
        <v>0</v>
      </c>
      <c r="Q764" t="n">
        <v>0</v>
      </c>
      <c r="R764" s="2" t="inlineStr"/>
    </row>
    <row r="765" ht="15" customHeight="1">
      <c r="A765" t="inlineStr">
        <is>
          <t>A 51646-2023</t>
        </is>
      </c>
      <c r="B765" s="1" t="n">
        <v>45215</v>
      </c>
      <c r="C765" s="1" t="n">
        <v>45930</v>
      </c>
      <c r="D765" t="inlineStr">
        <is>
          <t>JÄMTLANDS LÄN</t>
        </is>
      </c>
      <c r="E765" t="inlineStr">
        <is>
          <t>RAGUNDA</t>
        </is>
      </c>
      <c r="G765" t="n">
        <v>0.7</v>
      </c>
      <c r="H765" t="n">
        <v>0</v>
      </c>
      <c r="I765" t="n">
        <v>0</v>
      </c>
      <c r="J765" t="n">
        <v>0</v>
      </c>
      <c r="K765" t="n">
        <v>0</v>
      </c>
      <c r="L765" t="n">
        <v>0</v>
      </c>
      <c r="M765" t="n">
        <v>0</v>
      </c>
      <c r="N765" t="n">
        <v>0</v>
      </c>
      <c r="O765" t="n">
        <v>0</v>
      </c>
      <c r="P765" t="n">
        <v>0</v>
      </c>
      <c r="Q765" t="n">
        <v>0</v>
      </c>
      <c r="R765" s="2" t="inlineStr"/>
    </row>
    <row r="766" ht="15" customHeight="1">
      <c r="A766" t="inlineStr">
        <is>
          <t>A 29319-2023</t>
        </is>
      </c>
      <c r="B766" s="1" t="n">
        <v>45105</v>
      </c>
      <c r="C766" s="1" t="n">
        <v>45930</v>
      </c>
      <c r="D766" t="inlineStr">
        <is>
          <t>JÄMTLANDS LÄN</t>
        </is>
      </c>
      <c r="E766" t="inlineStr">
        <is>
          <t>RAGUNDA</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17323-2025</t>
        </is>
      </c>
      <c r="B767" s="1" t="n">
        <v>45756.63601851852</v>
      </c>
      <c r="C767" s="1" t="n">
        <v>45930</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13264-2025</t>
        </is>
      </c>
      <c r="B768" s="1" t="n">
        <v>45735</v>
      </c>
      <c r="C768" s="1" t="n">
        <v>45930</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19486-2024</t>
        </is>
      </c>
      <c r="B769" s="1" t="n">
        <v>45429</v>
      </c>
      <c r="C769" s="1" t="n">
        <v>45930</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13941-2025</t>
        </is>
      </c>
      <c r="B770" s="1" t="n">
        <v>45737.69822916666</v>
      </c>
      <c r="C770" s="1" t="n">
        <v>45930</v>
      </c>
      <c r="D770" t="inlineStr">
        <is>
          <t>JÄMTLANDS LÄN</t>
        </is>
      </c>
      <c r="E770" t="inlineStr">
        <is>
          <t>RAGUNDA</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37268-2024</t>
        </is>
      </c>
      <c r="B771" s="1" t="n">
        <v>45540.38586805556</v>
      </c>
      <c r="C771" s="1" t="n">
        <v>45930</v>
      </c>
      <c r="D771" t="inlineStr">
        <is>
          <t>JÄMTLANDS LÄN</t>
        </is>
      </c>
      <c r="E771" t="inlineStr">
        <is>
          <t>RAGUNDA</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41179-2022</t>
        </is>
      </c>
      <c r="B772" s="1" t="n">
        <v>44825</v>
      </c>
      <c r="C772" s="1" t="n">
        <v>45930</v>
      </c>
      <c r="D772" t="inlineStr">
        <is>
          <t>JÄMTLANDS LÄN</t>
        </is>
      </c>
      <c r="E772" t="inlineStr">
        <is>
          <t>RAGUNDA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26646-2023</t>
        </is>
      </c>
      <c r="B773" s="1" t="n">
        <v>45092</v>
      </c>
      <c r="C773" s="1" t="n">
        <v>45930</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17598-2021</t>
        </is>
      </c>
      <c r="B774" s="1" t="n">
        <v>44299</v>
      </c>
      <c r="C774" s="1" t="n">
        <v>45930</v>
      </c>
      <c r="D774" t="inlineStr">
        <is>
          <t>JÄMTLANDS LÄN</t>
        </is>
      </c>
      <c r="E774" t="inlineStr">
        <is>
          <t>RAGUNDA</t>
        </is>
      </c>
      <c r="G774" t="n">
        <v>4.6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44741.94070601852</v>
      </c>
      <c r="C775" s="1" t="n">
        <v>45930</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62541-2022</t>
        </is>
      </c>
      <c r="B776" s="1" t="n">
        <v>44917</v>
      </c>
      <c r="C776" s="1" t="n">
        <v>45930</v>
      </c>
      <c r="D776" t="inlineStr">
        <is>
          <t>JÄMTLANDS LÄN</t>
        </is>
      </c>
      <c r="E776" t="inlineStr">
        <is>
          <t>RAGUNDA</t>
        </is>
      </c>
      <c r="G776" t="n">
        <v>2.6</v>
      </c>
      <c r="H776" t="n">
        <v>0</v>
      </c>
      <c r="I776" t="n">
        <v>0</v>
      </c>
      <c r="J776" t="n">
        <v>0</v>
      </c>
      <c r="K776" t="n">
        <v>0</v>
      </c>
      <c r="L776" t="n">
        <v>0</v>
      </c>
      <c r="M776" t="n">
        <v>0</v>
      </c>
      <c r="N776" t="n">
        <v>0</v>
      </c>
      <c r="O776" t="n">
        <v>0</v>
      </c>
      <c r="P776" t="n">
        <v>0</v>
      </c>
      <c r="Q776" t="n">
        <v>0</v>
      </c>
      <c r="R776" s="2" t="inlineStr"/>
    </row>
    <row r="777" ht="15" customHeight="1">
      <c r="A777" t="inlineStr">
        <is>
          <t>A 49650-2024</t>
        </is>
      </c>
      <c r="B777" s="1" t="n">
        <v>45596.61569444444</v>
      </c>
      <c r="C777" s="1" t="n">
        <v>45930</v>
      </c>
      <c r="D777" t="inlineStr">
        <is>
          <t>JÄMTLANDS LÄN</t>
        </is>
      </c>
      <c r="E777" t="inlineStr">
        <is>
          <t>RAGUNDA</t>
        </is>
      </c>
      <c r="F777" t="inlineStr">
        <is>
          <t>Naturvårdsverket</t>
        </is>
      </c>
      <c r="G777" t="n">
        <v>3</v>
      </c>
      <c r="H777" t="n">
        <v>0</v>
      </c>
      <c r="I777" t="n">
        <v>0</v>
      </c>
      <c r="J777" t="n">
        <v>0</v>
      </c>
      <c r="K777" t="n">
        <v>0</v>
      </c>
      <c r="L777" t="n">
        <v>0</v>
      </c>
      <c r="M777" t="n">
        <v>0</v>
      </c>
      <c r="N777" t="n">
        <v>0</v>
      </c>
      <c r="O777" t="n">
        <v>0</v>
      </c>
      <c r="P777" t="n">
        <v>0</v>
      </c>
      <c r="Q777" t="n">
        <v>0</v>
      </c>
      <c r="R777" s="2" t="inlineStr"/>
    </row>
    <row r="778" ht="15" customHeight="1">
      <c r="A778" t="inlineStr">
        <is>
          <t>A 49651-2024</t>
        </is>
      </c>
      <c r="B778" s="1" t="n">
        <v>45596.61582175926</v>
      </c>
      <c r="C778" s="1" t="n">
        <v>45930</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6477-2024</t>
        </is>
      </c>
      <c r="B779" s="1" t="n">
        <v>45338.95405092592</v>
      </c>
      <c r="C779" s="1" t="n">
        <v>45930</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61400-2022</t>
        </is>
      </c>
      <c r="B780" s="1" t="n">
        <v>44915</v>
      </c>
      <c r="C780" s="1" t="n">
        <v>45930</v>
      </c>
      <c r="D780" t="inlineStr">
        <is>
          <t>JÄMTLANDS LÄN</t>
        </is>
      </c>
      <c r="E780" t="inlineStr">
        <is>
          <t>RAGUNDA</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24861-2023</t>
        </is>
      </c>
      <c r="B781" s="1" t="n">
        <v>45078</v>
      </c>
      <c r="C781" s="1" t="n">
        <v>45930</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60443-2023</t>
        </is>
      </c>
      <c r="B782" s="1" t="n">
        <v>45258</v>
      </c>
      <c r="C782" s="1" t="n">
        <v>45930</v>
      </c>
      <c r="D782" t="inlineStr">
        <is>
          <t>JÄMTLANDS LÄN</t>
        </is>
      </c>
      <c r="E782" t="inlineStr">
        <is>
          <t>RAGUNDA</t>
        </is>
      </c>
      <c r="G782" t="n">
        <v>2.9</v>
      </c>
      <c r="H782" t="n">
        <v>0</v>
      </c>
      <c r="I782" t="n">
        <v>0</v>
      </c>
      <c r="J782" t="n">
        <v>0</v>
      </c>
      <c r="K782" t="n">
        <v>0</v>
      </c>
      <c r="L782" t="n">
        <v>0</v>
      </c>
      <c r="M782" t="n">
        <v>0</v>
      </c>
      <c r="N782" t="n">
        <v>0</v>
      </c>
      <c r="O782" t="n">
        <v>0</v>
      </c>
      <c r="P782" t="n">
        <v>0</v>
      </c>
      <c r="Q782" t="n">
        <v>0</v>
      </c>
      <c r="R782" s="2" t="inlineStr"/>
    </row>
    <row r="783" ht="15" customHeight="1">
      <c r="A783" t="inlineStr">
        <is>
          <t>A 44759-2024</t>
        </is>
      </c>
      <c r="B783" s="1" t="n">
        <v>45574.61634259259</v>
      </c>
      <c r="C783" s="1" t="n">
        <v>45930</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993-2025</t>
        </is>
      </c>
      <c r="B784" s="1" t="n">
        <v>45666.44943287037</v>
      </c>
      <c r="C784" s="1" t="n">
        <v>45930</v>
      </c>
      <c r="D784" t="inlineStr">
        <is>
          <t>JÄMTLANDS LÄN</t>
        </is>
      </c>
      <c r="E784" t="inlineStr">
        <is>
          <t>RAGUNDA</t>
        </is>
      </c>
      <c r="G784" t="n">
        <v>11.3</v>
      </c>
      <c r="H784" t="n">
        <v>0</v>
      </c>
      <c r="I784" t="n">
        <v>0</v>
      </c>
      <c r="J784" t="n">
        <v>0</v>
      </c>
      <c r="K784" t="n">
        <v>0</v>
      </c>
      <c r="L784" t="n">
        <v>0</v>
      </c>
      <c r="M784" t="n">
        <v>0</v>
      </c>
      <c r="N784" t="n">
        <v>0</v>
      </c>
      <c r="O784" t="n">
        <v>0</v>
      </c>
      <c r="P784" t="n">
        <v>0</v>
      </c>
      <c r="Q784" t="n">
        <v>0</v>
      </c>
      <c r="R784" s="2" t="inlineStr"/>
    </row>
    <row r="785" ht="15" customHeight="1">
      <c r="A785" t="inlineStr">
        <is>
          <t>A 57064-2024</t>
        </is>
      </c>
      <c r="B785" s="1" t="n">
        <v>45629.35326388889</v>
      </c>
      <c r="C785" s="1" t="n">
        <v>45930</v>
      </c>
      <c r="D785" t="inlineStr">
        <is>
          <t>JÄMTLANDS LÄN</t>
        </is>
      </c>
      <c r="E785" t="inlineStr">
        <is>
          <t>RAGUNDA</t>
        </is>
      </c>
      <c r="F785" t="inlineStr">
        <is>
          <t>Naturvårdsverket</t>
        </is>
      </c>
      <c r="G785" t="n">
        <v>0.5</v>
      </c>
      <c r="H785" t="n">
        <v>0</v>
      </c>
      <c r="I785" t="n">
        <v>0</v>
      </c>
      <c r="J785" t="n">
        <v>0</v>
      </c>
      <c r="K785" t="n">
        <v>0</v>
      </c>
      <c r="L785" t="n">
        <v>0</v>
      </c>
      <c r="M785" t="n">
        <v>0</v>
      </c>
      <c r="N785" t="n">
        <v>0</v>
      </c>
      <c r="O785" t="n">
        <v>0</v>
      </c>
      <c r="P785" t="n">
        <v>0</v>
      </c>
      <c r="Q785" t="n">
        <v>0</v>
      </c>
      <c r="R785" s="2" t="inlineStr"/>
    </row>
    <row r="786" ht="15" customHeight="1">
      <c r="A786" t="inlineStr">
        <is>
          <t>A 38270-2021</t>
        </is>
      </c>
      <c r="B786" s="1" t="n">
        <v>44405.92065972222</v>
      </c>
      <c r="C786" s="1" t="n">
        <v>45930</v>
      </c>
      <c r="D786" t="inlineStr">
        <is>
          <t>JÄMTLANDS LÄN</t>
        </is>
      </c>
      <c r="E786" t="inlineStr">
        <is>
          <t>RAGUNDA</t>
        </is>
      </c>
      <c r="G786" t="n">
        <v>1.3</v>
      </c>
      <c r="H786" t="n">
        <v>0</v>
      </c>
      <c r="I786" t="n">
        <v>0</v>
      </c>
      <c r="J786" t="n">
        <v>0</v>
      </c>
      <c r="K786" t="n">
        <v>0</v>
      </c>
      <c r="L786" t="n">
        <v>0</v>
      </c>
      <c r="M786" t="n">
        <v>0</v>
      </c>
      <c r="N786" t="n">
        <v>0</v>
      </c>
      <c r="O786" t="n">
        <v>0</v>
      </c>
      <c r="P786" t="n">
        <v>0</v>
      </c>
      <c r="Q786" t="n">
        <v>0</v>
      </c>
      <c r="R786" s="2" t="inlineStr"/>
    </row>
    <row r="787" ht="15" customHeight="1">
      <c r="A787" t="inlineStr">
        <is>
          <t>A 4866-2025</t>
        </is>
      </c>
      <c r="B787" s="1" t="n">
        <v>45688.67542824074</v>
      </c>
      <c r="C787" s="1" t="n">
        <v>45930</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179-2025</t>
        </is>
      </c>
      <c r="B788" s="1" t="n">
        <v>45659.69822916666</v>
      </c>
      <c r="C788" s="1" t="n">
        <v>45930</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20088-2023</t>
        </is>
      </c>
      <c r="B789" s="1" t="n">
        <v>45054</v>
      </c>
      <c r="C789" s="1" t="n">
        <v>45930</v>
      </c>
      <c r="D789" t="inlineStr">
        <is>
          <t>JÄMTLANDS LÄN</t>
        </is>
      </c>
      <c r="E789" t="inlineStr">
        <is>
          <t>RAGUNDA</t>
        </is>
      </c>
      <c r="F789" t="inlineStr">
        <is>
          <t>SCA</t>
        </is>
      </c>
      <c r="G789" t="n">
        <v>23.4</v>
      </c>
      <c r="H789" t="n">
        <v>0</v>
      </c>
      <c r="I789" t="n">
        <v>0</v>
      </c>
      <c r="J789" t="n">
        <v>0</v>
      </c>
      <c r="K789" t="n">
        <v>0</v>
      </c>
      <c r="L789" t="n">
        <v>0</v>
      </c>
      <c r="M789" t="n">
        <v>0</v>
      </c>
      <c r="N789" t="n">
        <v>0</v>
      </c>
      <c r="O789" t="n">
        <v>0</v>
      </c>
      <c r="P789" t="n">
        <v>0</v>
      </c>
      <c r="Q789" t="n">
        <v>0</v>
      </c>
      <c r="R789" s="2" t="inlineStr"/>
    </row>
    <row r="790" ht="15" customHeight="1">
      <c r="A790" t="inlineStr">
        <is>
          <t>A 60936-2024</t>
        </is>
      </c>
      <c r="B790" s="1" t="n">
        <v>45645.36743055555</v>
      </c>
      <c r="C790" s="1" t="n">
        <v>45930</v>
      </c>
      <c r="D790" t="inlineStr">
        <is>
          <t>JÄMTLANDS LÄN</t>
        </is>
      </c>
      <c r="E790" t="inlineStr">
        <is>
          <t>RAGUNDA</t>
        </is>
      </c>
      <c r="G790" t="n">
        <v>1.2</v>
      </c>
      <c r="H790" t="n">
        <v>0</v>
      </c>
      <c r="I790" t="n">
        <v>0</v>
      </c>
      <c r="J790" t="n">
        <v>0</v>
      </c>
      <c r="K790" t="n">
        <v>0</v>
      </c>
      <c r="L790" t="n">
        <v>0</v>
      </c>
      <c r="M790" t="n">
        <v>0</v>
      </c>
      <c r="N790" t="n">
        <v>0</v>
      </c>
      <c r="O790" t="n">
        <v>0</v>
      </c>
      <c r="P790" t="n">
        <v>0</v>
      </c>
      <c r="Q790" t="n">
        <v>0</v>
      </c>
      <c r="R790" s="2" t="inlineStr"/>
    </row>
    <row r="791" ht="15" customHeight="1">
      <c r="A791" t="inlineStr">
        <is>
          <t>A 19401-2025</t>
        </is>
      </c>
      <c r="B791" s="1" t="n">
        <v>45769.67767361111</v>
      </c>
      <c r="C791" s="1" t="n">
        <v>45930</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59136-2023</t>
        </is>
      </c>
      <c r="B792" s="1" t="n">
        <v>45251</v>
      </c>
      <c r="C792" s="1" t="n">
        <v>45930</v>
      </c>
      <c r="D792" t="inlineStr">
        <is>
          <t>JÄMTLANDS LÄN</t>
        </is>
      </c>
      <c r="E792" t="inlineStr">
        <is>
          <t>RAGUNDA</t>
        </is>
      </c>
      <c r="G792" t="n">
        <v>1.7</v>
      </c>
      <c r="H792" t="n">
        <v>0</v>
      </c>
      <c r="I792" t="n">
        <v>0</v>
      </c>
      <c r="J792" t="n">
        <v>0</v>
      </c>
      <c r="K792" t="n">
        <v>0</v>
      </c>
      <c r="L792" t="n">
        <v>0</v>
      </c>
      <c r="M792" t="n">
        <v>0</v>
      </c>
      <c r="N792" t="n">
        <v>0</v>
      </c>
      <c r="O792" t="n">
        <v>0</v>
      </c>
      <c r="P792" t="n">
        <v>0</v>
      </c>
      <c r="Q792" t="n">
        <v>0</v>
      </c>
      <c r="R792" s="2" t="inlineStr"/>
    </row>
    <row r="793" ht="15" customHeight="1">
      <c r="A793" t="inlineStr">
        <is>
          <t>A 35274-2023</t>
        </is>
      </c>
      <c r="B793" s="1" t="n">
        <v>45145</v>
      </c>
      <c r="C793" s="1" t="n">
        <v>45930</v>
      </c>
      <c r="D793" t="inlineStr">
        <is>
          <t>JÄMTLANDS LÄN</t>
        </is>
      </c>
      <c r="E793" t="inlineStr">
        <is>
          <t>RAGUNDA</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64264-2023</t>
        </is>
      </c>
      <c r="B794" s="1" t="n">
        <v>45279.94564814815</v>
      </c>
      <c r="C794" s="1" t="n">
        <v>45930</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26347-2023</t>
        </is>
      </c>
      <c r="B795" s="1" t="n">
        <v>45091</v>
      </c>
      <c r="C795" s="1" t="n">
        <v>45930</v>
      </c>
      <c r="D795" t="inlineStr">
        <is>
          <t>JÄMTLANDS LÄN</t>
        </is>
      </c>
      <c r="E795" t="inlineStr">
        <is>
          <t>RAGUNDA</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5930-2025</t>
        </is>
      </c>
      <c r="B796" s="1" t="n">
        <v>45695.44724537037</v>
      </c>
      <c r="C796" s="1" t="n">
        <v>45930</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51538-2022</t>
        </is>
      </c>
      <c r="B797" s="1" t="n">
        <v>44869</v>
      </c>
      <c r="C797" s="1" t="n">
        <v>45930</v>
      </c>
      <c r="D797" t="inlineStr">
        <is>
          <t>JÄMTLANDS LÄN</t>
        </is>
      </c>
      <c r="E797" t="inlineStr">
        <is>
          <t>RAGUNDA</t>
        </is>
      </c>
      <c r="G797" t="n">
        <v>6.8</v>
      </c>
      <c r="H797" t="n">
        <v>0</v>
      </c>
      <c r="I797" t="n">
        <v>0</v>
      </c>
      <c r="J797" t="n">
        <v>0</v>
      </c>
      <c r="K797" t="n">
        <v>0</v>
      </c>
      <c r="L797" t="n">
        <v>0</v>
      </c>
      <c r="M797" t="n">
        <v>0</v>
      </c>
      <c r="N797" t="n">
        <v>0</v>
      </c>
      <c r="O797" t="n">
        <v>0</v>
      </c>
      <c r="P797" t="n">
        <v>0</v>
      </c>
      <c r="Q797" t="n">
        <v>0</v>
      </c>
      <c r="R797" s="2" t="inlineStr"/>
    </row>
    <row r="798" ht="15" customHeight="1">
      <c r="A798" t="inlineStr">
        <is>
          <t>A 59492-2024</t>
        </is>
      </c>
      <c r="B798" s="1" t="n">
        <v>45638</v>
      </c>
      <c r="C798" s="1" t="n">
        <v>45930</v>
      </c>
      <c r="D798" t="inlineStr">
        <is>
          <t>JÄMTLANDS LÄN</t>
        </is>
      </c>
      <c r="E798" t="inlineStr">
        <is>
          <t>RAGUNDA</t>
        </is>
      </c>
      <c r="G798" t="n">
        <v>1.2</v>
      </c>
      <c r="H798" t="n">
        <v>0</v>
      </c>
      <c r="I798" t="n">
        <v>0</v>
      </c>
      <c r="J798" t="n">
        <v>0</v>
      </c>
      <c r="K798" t="n">
        <v>0</v>
      </c>
      <c r="L798" t="n">
        <v>0</v>
      </c>
      <c r="M798" t="n">
        <v>0</v>
      </c>
      <c r="N798" t="n">
        <v>0</v>
      </c>
      <c r="O798" t="n">
        <v>0</v>
      </c>
      <c r="P798" t="n">
        <v>0</v>
      </c>
      <c r="Q798" t="n">
        <v>0</v>
      </c>
      <c r="R798" s="2" t="inlineStr"/>
    </row>
    <row r="799" ht="15" customHeight="1">
      <c r="A799" t="inlineStr">
        <is>
          <t>A 61109-2024</t>
        </is>
      </c>
      <c r="B799" s="1" t="n">
        <v>45645.55672453704</v>
      </c>
      <c r="C799" s="1" t="n">
        <v>45930</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58847-2024</t>
        </is>
      </c>
      <c r="B800" s="1" t="n">
        <v>45636.3864699074</v>
      </c>
      <c r="C800" s="1" t="n">
        <v>45930</v>
      </c>
      <c r="D800" t="inlineStr">
        <is>
          <t>JÄMTLANDS LÄN</t>
        </is>
      </c>
      <c r="E800" t="inlineStr">
        <is>
          <t>RAGUNDA</t>
        </is>
      </c>
      <c r="F800" t="inlineStr">
        <is>
          <t>SCA</t>
        </is>
      </c>
      <c r="G800" t="n">
        <v>8</v>
      </c>
      <c r="H800" t="n">
        <v>0</v>
      </c>
      <c r="I800" t="n">
        <v>0</v>
      </c>
      <c r="J800" t="n">
        <v>0</v>
      </c>
      <c r="K800" t="n">
        <v>0</v>
      </c>
      <c r="L800" t="n">
        <v>0</v>
      </c>
      <c r="M800" t="n">
        <v>0</v>
      </c>
      <c r="N800" t="n">
        <v>0</v>
      </c>
      <c r="O800" t="n">
        <v>0</v>
      </c>
      <c r="P800" t="n">
        <v>0</v>
      </c>
      <c r="Q800" t="n">
        <v>0</v>
      </c>
      <c r="R800" s="2" t="inlineStr"/>
    </row>
    <row r="801" ht="15" customHeight="1">
      <c r="A801" t="inlineStr">
        <is>
          <t>A 7722-2023</t>
        </is>
      </c>
      <c r="B801" s="1" t="n">
        <v>44972.94140046297</v>
      </c>
      <c r="C801" s="1" t="n">
        <v>45930</v>
      </c>
      <c r="D801" t="inlineStr">
        <is>
          <t>JÄMTLANDS LÄN</t>
        </is>
      </c>
      <c r="E801" t="inlineStr">
        <is>
          <t>RAGUNDA</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20653-2025</t>
        </is>
      </c>
      <c r="B802" s="1" t="n">
        <v>45776.40311342593</v>
      </c>
      <c r="C802" s="1" t="n">
        <v>45930</v>
      </c>
      <c r="D802" t="inlineStr">
        <is>
          <t>JÄMTLANDS LÄN</t>
        </is>
      </c>
      <c r="E802" t="inlineStr">
        <is>
          <t>RAGUNDA</t>
        </is>
      </c>
      <c r="G802" t="n">
        <v>10.8</v>
      </c>
      <c r="H802" t="n">
        <v>0</v>
      </c>
      <c r="I802" t="n">
        <v>0</v>
      </c>
      <c r="J802" t="n">
        <v>0</v>
      </c>
      <c r="K802" t="n">
        <v>0</v>
      </c>
      <c r="L802" t="n">
        <v>0</v>
      </c>
      <c r="M802" t="n">
        <v>0</v>
      </c>
      <c r="N802" t="n">
        <v>0</v>
      </c>
      <c r="O802" t="n">
        <v>0</v>
      </c>
      <c r="P802" t="n">
        <v>0</v>
      </c>
      <c r="Q802" t="n">
        <v>0</v>
      </c>
      <c r="R802" s="2" t="inlineStr"/>
    </row>
    <row r="803" ht="15" customHeight="1">
      <c r="A803" t="inlineStr">
        <is>
          <t>A 20777-2025</t>
        </is>
      </c>
      <c r="B803" s="1" t="n">
        <v>45776.59422453704</v>
      </c>
      <c r="C803" s="1" t="n">
        <v>45930</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20722-2025</t>
        </is>
      </c>
      <c r="B804" s="1" t="n">
        <v>45776.50651620371</v>
      </c>
      <c r="C804" s="1" t="n">
        <v>45930</v>
      </c>
      <c r="D804" t="inlineStr">
        <is>
          <t>JÄMTLANDS LÄN</t>
        </is>
      </c>
      <c r="E804" t="inlineStr">
        <is>
          <t>RAGUNDA</t>
        </is>
      </c>
      <c r="F804" t="inlineStr">
        <is>
          <t>Kommuner</t>
        </is>
      </c>
      <c r="G804" t="n">
        <v>0.8</v>
      </c>
      <c r="H804" t="n">
        <v>0</v>
      </c>
      <c r="I804" t="n">
        <v>0</v>
      </c>
      <c r="J804" t="n">
        <v>0</v>
      </c>
      <c r="K804" t="n">
        <v>0</v>
      </c>
      <c r="L804" t="n">
        <v>0</v>
      </c>
      <c r="M804" t="n">
        <v>0</v>
      </c>
      <c r="N804" t="n">
        <v>0</v>
      </c>
      <c r="O804" t="n">
        <v>0</v>
      </c>
      <c r="P804" t="n">
        <v>0</v>
      </c>
      <c r="Q804" t="n">
        <v>0</v>
      </c>
      <c r="R804" s="2" t="inlineStr"/>
    </row>
    <row r="805" ht="15" customHeight="1">
      <c r="A805" t="inlineStr">
        <is>
          <t>A 20728-2025</t>
        </is>
      </c>
      <c r="B805" s="1" t="n">
        <v>45776.51130787037</v>
      </c>
      <c r="C805" s="1" t="n">
        <v>45930</v>
      </c>
      <c r="D805" t="inlineStr">
        <is>
          <t>JÄMTLANDS LÄN</t>
        </is>
      </c>
      <c r="E805" t="inlineStr">
        <is>
          <t>RAGUNDA</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21332-2025</t>
        </is>
      </c>
      <c r="B806" s="1" t="n">
        <v>45782.36506944444</v>
      </c>
      <c r="C806" s="1" t="n">
        <v>45930</v>
      </c>
      <c r="D806" t="inlineStr">
        <is>
          <t>JÄMTLANDS LÄN</t>
        </is>
      </c>
      <c r="E806" t="inlineStr">
        <is>
          <t>RAGUNDA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21430-2025</t>
        </is>
      </c>
      <c r="B807" s="1" t="n">
        <v>45782.51099537037</v>
      </c>
      <c r="C807" s="1" t="n">
        <v>45930</v>
      </c>
      <c r="D807" t="inlineStr">
        <is>
          <t>JÄMTLANDS LÄN</t>
        </is>
      </c>
      <c r="E807" t="inlineStr">
        <is>
          <t>RAGUNDA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21432-2025</t>
        </is>
      </c>
      <c r="B808" s="1" t="n">
        <v>45782.51109953703</v>
      </c>
      <c r="C808" s="1" t="n">
        <v>45930</v>
      </c>
      <c r="D808" t="inlineStr">
        <is>
          <t>JÄMTLANDS LÄN</t>
        </is>
      </c>
      <c r="E808" t="inlineStr">
        <is>
          <t>RAGUNDA</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21550-2025</t>
        </is>
      </c>
      <c r="B809" s="1" t="n">
        <v>45782.67758101852</v>
      </c>
      <c r="C809" s="1" t="n">
        <v>45930</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21451-2025</t>
        </is>
      </c>
      <c r="B810" s="1" t="n">
        <v>45782.55287037037</v>
      </c>
      <c r="C810" s="1" t="n">
        <v>45930</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21150-2025</t>
        </is>
      </c>
      <c r="B811" s="1" t="n">
        <v>45779.34417824074</v>
      </c>
      <c r="C811" s="1" t="n">
        <v>45930</v>
      </c>
      <c r="D811" t="inlineStr">
        <is>
          <t>JÄMTLANDS LÄN</t>
        </is>
      </c>
      <c r="E811" t="inlineStr">
        <is>
          <t>RAGUNDA</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21177-2025</t>
        </is>
      </c>
      <c r="B812" s="1" t="n">
        <v>45779.4281712963</v>
      </c>
      <c r="C812" s="1" t="n">
        <v>45930</v>
      </c>
      <c r="D812" t="inlineStr">
        <is>
          <t>JÄMTLANDS LÄN</t>
        </is>
      </c>
      <c r="E812" t="inlineStr">
        <is>
          <t>RAGUNDA</t>
        </is>
      </c>
      <c r="F812" t="inlineStr">
        <is>
          <t>SCA</t>
        </is>
      </c>
      <c r="G812" t="n">
        <v>16.1</v>
      </c>
      <c r="H812" t="n">
        <v>0</v>
      </c>
      <c r="I812" t="n">
        <v>0</v>
      </c>
      <c r="J812" t="n">
        <v>0</v>
      </c>
      <c r="K812" t="n">
        <v>0</v>
      </c>
      <c r="L812" t="n">
        <v>0</v>
      </c>
      <c r="M812" t="n">
        <v>0</v>
      </c>
      <c r="N812" t="n">
        <v>0</v>
      </c>
      <c r="O812" t="n">
        <v>0</v>
      </c>
      <c r="P812" t="n">
        <v>0</v>
      </c>
      <c r="Q812" t="n">
        <v>0</v>
      </c>
      <c r="R812" s="2" t="inlineStr"/>
    </row>
    <row r="813" ht="15" customHeight="1">
      <c r="A813" t="inlineStr">
        <is>
          <t>A 21331-2025</t>
        </is>
      </c>
      <c r="B813" s="1" t="n">
        <v>45782.36494212963</v>
      </c>
      <c r="C813" s="1" t="n">
        <v>45930</v>
      </c>
      <c r="D813" t="inlineStr">
        <is>
          <t>JÄMTLANDS LÄN</t>
        </is>
      </c>
      <c r="E813" t="inlineStr">
        <is>
          <t>RAGUNDA</t>
        </is>
      </c>
      <c r="F813" t="inlineStr">
        <is>
          <t>SCA</t>
        </is>
      </c>
      <c r="G813" t="n">
        <v>23.1</v>
      </c>
      <c r="H813" t="n">
        <v>0</v>
      </c>
      <c r="I813" t="n">
        <v>0</v>
      </c>
      <c r="J813" t="n">
        <v>0</v>
      </c>
      <c r="K813" t="n">
        <v>0</v>
      </c>
      <c r="L813" t="n">
        <v>0</v>
      </c>
      <c r="M813" t="n">
        <v>0</v>
      </c>
      <c r="N813" t="n">
        <v>0</v>
      </c>
      <c r="O813" t="n">
        <v>0</v>
      </c>
      <c r="P813" t="n">
        <v>0</v>
      </c>
      <c r="Q813" t="n">
        <v>0</v>
      </c>
      <c r="R813" s="2" t="inlineStr"/>
    </row>
    <row r="814" ht="15" customHeight="1">
      <c r="A814" t="inlineStr">
        <is>
          <t>A 21214-2025</t>
        </is>
      </c>
      <c r="B814" s="1" t="n">
        <v>45779.49025462963</v>
      </c>
      <c r="C814" s="1" t="n">
        <v>45930</v>
      </c>
      <c r="D814" t="inlineStr">
        <is>
          <t>JÄMTLANDS LÄN</t>
        </is>
      </c>
      <c r="E814" t="inlineStr">
        <is>
          <t>RAGUNDA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22941-2024</t>
        </is>
      </c>
      <c r="B815" s="1" t="n">
        <v>45448.94520833333</v>
      </c>
      <c r="C815" s="1" t="n">
        <v>45930</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44881-2023</t>
        </is>
      </c>
      <c r="B816" s="1" t="n">
        <v>45187</v>
      </c>
      <c r="C816" s="1" t="n">
        <v>45930</v>
      </c>
      <c r="D816" t="inlineStr">
        <is>
          <t>JÄMTLANDS LÄN</t>
        </is>
      </c>
      <c r="E816" t="inlineStr">
        <is>
          <t>RAGUNDA</t>
        </is>
      </c>
      <c r="G816" t="n">
        <v>2.4</v>
      </c>
      <c r="H816" t="n">
        <v>0</v>
      </c>
      <c r="I816" t="n">
        <v>0</v>
      </c>
      <c r="J816" t="n">
        <v>0</v>
      </c>
      <c r="K816" t="n">
        <v>0</v>
      </c>
      <c r="L816" t="n">
        <v>0</v>
      </c>
      <c r="M816" t="n">
        <v>0</v>
      </c>
      <c r="N816" t="n">
        <v>0</v>
      </c>
      <c r="O816" t="n">
        <v>0</v>
      </c>
      <c r="P816" t="n">
        <v>0</v>
      </c>
      <c r="Q816" t="n">
        <v>0</v>
      </c>
      <c r="R816" s="2" t="inlineStr"/>
    </row>
    <row r="817" ht="15" customHeight="1">
      <c r="A817" t="inlineStr">
        <is>
          <t>A 27373-2023</t>
        </is>
      </c>
      <c r="B817" s="1" t="n">
        <v>45096.93866898148</v>
      </c>
      <c r="C817" s="1" t="n">
        <v>45930</v>
      </c>
      <c r="D817" t="inlineStr">
        <is>
          <t>JÄMTLANDS LÄN</t>
        </is>
      </c>
      <c r="E817" t="inlineStr">
        <is>
          <t>RAGUNDA</t>
        </is>
      </c>
      <c r="F817" t="inlineStr">
        <is>
          <t>SCA</t>
        </is>
      </c>
      <c r="G817" t="n">
        <v>6.9</v>
      </c>
      <c r="H817" t="n">
        <v>0</v>
      </c>
      <c r="I817" t="n">
        <v>0</v>
      </c>
      <c r="J817" t="n">
        <v>0</v>
      </c>
      <c r="K817" t="n">
        <v>0</v>
      </c>
      <c r="L817" t="n">
        <v>0</v>
      </c>
      <c r="M817" t="n">
        <v>0</v>
      </c>
      <c r="N817" t="n">
        <v>0</v>
      </c>
      <c r="O817" t="n">
        <v>0</v>
      </c>
      <c r="P817" t="n">
        <v>0</v>
      </c>
      <c r="Q817" t="n">
        <v>0</v>
      </c>
      <c r="R817" s="2" t="inlineStr"/>
    </row>
    <row r="818" ht="15" customHeight="1">
      <c r="A818" t="inlineStr">
        <is>
          <t>A 65341-2020</t>
        </is>
      </c>
      <c r="B818" s="1" t="n">
        <v>44173</v>
      </c>
      <c r="C818" s="1" t="n">
        <v>45930</v>
      </c>
      <c r="D818" t="inlineStr">
        <is>
          <t>JÄMTLANDS LÄN</t>
        </is>
      </c>
      <c r="E818" t="inlineStr">
        <is>
          <t>RAGUNDA</t>
        </is>
      </c>
      <c r="G818" t="n">
        <v>2.6</v>
      </c>
      <c r="H818" t="n">
        <v>0</v>
      </c>
      <c r="I818" t="n">
        <v>0</v>
      </c>
      <c r="J818" t="n">
        <v>0</v>
      </c>
      <c r="K818" t="n">
        <v>0</v>
      </c>
      <c r="L818" t="n">
        <v>0</v>
      </c>
      <c r="M818" t="n">
        <v>0</v>
      </c>
      <c r="N818" t="n">
        <v>0</v>
      </c>
      <c r="O818" t="n">
        <v>0</v>
      </c>
      <c r="P818" t="n">
        <v>0</v>
      </c>
      <c r="Q818" t="n">
        <v>0</v>
      </c>
      <c r="R818" s="2" t="inlineStr"/>
    </row>
    <row r="819" ht="15" customHeight="1">
      <c r="A819" t="inlineStr">
        <is>
          <t>A 16321-2025</t>
        </is>
      </c>
      <c r="B819" s="1" t="n">
        <v>45751.34873842593</v>
      </c>
      <c r="C819" s="1" t="n">
        <v>45930</v>
      </c>
      <c r="D819" t="inlineStr">
        <is>
          <t>JÄMTLANDS LÄN</t>
        </is>
      </c>
      <c r="E819" t="inlineStr">
        <is>
          <t>RAGUNDA</t>
        </is>
      </c>
      <c r="F819" t="inlineStr">
        <is>
          <t>SCA</t>
        </is>
      </c>
      <c r="G819" t="n">
        <v>63.3</v>
      </c>
      <c r="H819" t="n">
        <v>0</v>
      </c>
      <c r="I819" t="n">
        <v>0</v>
      </c>
      <c r="J819" t="n">
        <v>0</v>
      </c>
      <c r="K819" t="n">
        <v>0</v>
      </c>
      <c r="L819" t="n">
        <v>0</v>
      </c>
      <c r="M819" t="n">
        <v>0</v>
      </c>
      <c r="N819" t="n">
        <v>0</v>
      </c>
      <c r="O819" t="n">
        <v>0</v>
      </c>
      <c r="P819" t="n">
        <v>0</v>
      </c>
      <c r="Q819" t="n">
        <v>0</v>
      </c>
      <c r="R819" s="2" t="inlineStr"/>
    </row>
    <row r="820" ht="15" customHeight="1">
      <c r="A820" t="inlineStr">
        <is>
          <t>A 55904-2022</t>
        </is>
      </c>
      <c r="B820" s="1" t="n">
        <v>44888</v>
      </c>
      <c r="C820" s="1" t="n">
        <v>45930</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65898-2020</t>
        </is>
      </c>
      <c r="B821" s="1" t="n">
        <v>44174</v>
      </c>
      <c r="C821" s="1" t="n">
        <v>45930</v>
      </c>
      <c r="D821" t="inlineStr">
        <is>
          <t>JÄMTLANDS LÄN</t>
        </is>
      </c>
      <c r="E821" t="inlineStr">
        <is>
          <t>RAGUNDA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19854-2025</t>
        </is>
      </c>
      <c r="B822" s="1" t="n">
        <v>45771.51074074074</v>
      </c>
      <c r="C822" s="1" t="n">
        <v>45930</v>
      </c>
      <c r="D822" t="inlineStr">
        <is>
          <t>JÄMTLANDS LÄN</t>
        </is>
      </c>
      <c r="E822" t="inlineStr">
        <is>
          <t>RAGUNDA</t>
        </is>
      </c>
      <c r="F822" t="inlineStr">
        <is>
          <t>SCA</t>
        </is>
      </c>
      <c r="G822" t="n">
        <v>8.4</v>
      </c>
      <c r="H822" t="n">
        <v>0</v>
      </c>
      <c r="I822" t="n">
        <v>0</v>
      </c>
      <c r="J822" t="n">
        <v>0</v>
      </c>
      <c r="K822" t="n">
        <v>0</v>
      </c>
      <c r="L822" t="n">
        <v>0</v>
      </c>
      <c r="M822" t="n">
        <v>0</v>
      </c>
      <c r="N822" t="n">
        <v>0</v>
      </c>
      <c r="O822" t="n">
        <v>0</v>
      </c>
      <c r="P822" t="n">
        <v>0</v>
      </c>
      <c r="Q822" t="n">
        <v>0</v>
      </c>
      <c r="R822" s="2" t="inlineStr"/>
    </row>
    <row r="823" ht="15" customHeight="1">
      <c r="A823" t="inlineStr">
        <is>
          <t>A 6688-2024</t>
        </is>
      </c>
      <c r="B823" s="1" t="n">
        <v>45341</v>
      </c>
      <c r="C823" s="1" t="n">
        <v>45930</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30642-2024</t>
        </is>
      </c>
      <c r="B824" s="1" t="n">
        <v>45495.57677083334</v>
      </c>
      <c r="C824" s="1" t="n">
        <v>45930</v>
      </c>
      <c r="D824" t="inlineStr">
        <is>
          <t>JÄMTLANDS LÄN</t>
        </is>
      </c>
      <c r="E824" t="inlineStr">
        <is>
          <t>RAGUNDA</t>
        </is>
      </c>
      <c r="G824" t="n">
        <v>2.7</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45930</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16635-2025</t>
        </is>
      </c>
      <c r="B826" s="1" t="n">
        <v>45754</v>
      </c>
      <c r="C826" s="1" t="n">
        <v>45930</v>
      </c>
      <c r="D826" t="inlineStr">
        <is>
          <t>JÄMTLANDS LÄN</t>
        </is>
      </c>
      <c r="E826" t="inlineStr">
        <is>
          <t>RAGUNDA</t>
        </is>
      </c>
      <c r="F826" t="inlineStr">
        <is>
          <t>SCA</t>
        </is>
      </c>
      <c r="G826" t="n">
        <v>55.4</v>
      </c>
      <c r="H826" t="n">
        <v>0</v>
      </c>
      <c r="I826" t="n">
        <v>0</v>
      </c>
      <c r="J826" t="n">
        <v>0</v>
      </c>
      <c r="K826" t="n">
        <v>0</v>
      </c>
      <c r="L826" t="n">
        <v>0</v>
      </c>
      <c r="M826" t="n">
        <v>0</v>
      </c>
      <c r="N826" t="n">
        <v>0</v>
      </c>
      <c r="O826" t="n">
        <v>0</v>
      </c>
      <c r="P826" t="n">
        <v>0</v>
      </c>
      <c r="Q826" t="n">
        <v>0</v>
      </c>
      <c r="R826" s="2" t="inlineStr"/>
    </row>
    <row r="827" ht="15" customHeight="1">
      <c r="A827" t="inlineStr">
        <is>
          <t>A 44066-2024</t>
        </is>
      </c>
      <c r="B827" s="1" t="n">
        <v>45572.60363425926</v>
      </c>
      <c r="C827" s="1" t="n">
        <v>45930</v>
      </c>
      <c r="D827" t="inlineStr">
        <is>
          <t>JÄMTLANDS LÄN</t>
        </is>
      </c>
      <c r="E827" t="inlineStr">
        <is>
          <t>RAGUNDA</t>
        </is>
      </c>
      <c r="G827" t="n">
        <v>6.4</v>
      </c>
      <c r="H827" t="n">
        <v>0</v>
      </c>
      <c r="I827" t="n">
        <v>0</v>
      </c>
      <c r="J827" t="n">
        <v>0</v>
      </c>
      <c r="K827" t="n">
        <v>0</v>
      </c>
      <c r="L827" t="n">
        <v>0</v>
      </c>
      <c r="M827" t="n">
        <v>0</v>
      </c>
      <c r="N827" t="n">
        <v>0</v>
      </c>
      <c r="O827" t="n">
        <v>0</v>
      </c>
      <c r="P827" t="n">
        <v>0</v>
      </c>
      <c r="Q827" t="n">
        <v>0</v>
      </c>
      <c r="R827" s="2" t="inlineStr"/>
    </row>
    <row r="828" ht="15" customHeight="1">
      <c r="A828" t="inlineStr">
        <is>
          <t>A 57889-2024</t>
        </is>
      </c>
      <c r="B828" s="1" t="n">
        <v>45631.46665509259</v>
      </c>
      <c r="C828" s="1" t="n">
        <v>45930</v>
      </c>
      <c r="D828" t="inlineStr">
        <is>
          <t>JÄMTLANDS LÄN</t>
        </is>
      </c>
      <c r="E828" t="inlineStr">
        <is>
          <t>RAGUNDA</t>
        </is>
      </c>
      <c r="G828" t="n">
        <v>11.1</v>
      </c>
      <c r="H828" t="n">
        <v>0</v>
      </c>
      <c r="I828" t="n">
        <v>0</v>
      </c>
      <c r="J828" t="n">
        <v>0</v>
      </c>
      <c r="K828" t="n">
        <v>0</v>
      </c>
      <c r="L828" t="n">
        <v>0</v>
      </c>
      <c r="M828" t="n">
        <v>0</v>
      </c>
      <c r="N828" t="n">
        <v>0</v>
      </c>
      <c r="O828" t="n">
        <v>0</v>
      </c>
      <c r="P828" t="n">
        <v>0</v>
      </c>
      <c r="Q828" t="n">
        <v>0</v>
      </c>
      <c r="R828" s="2" t="inlineStr"/>
    </row>
    <row r="829" ht="15" customHeight="1">
      <c r="A829" t="inlineStr">
        <is>
          <t>A 22388-2025</t>
        </is>
      </c>
      <c r="B829" s="1" t="n">
        <v>45786.51077546296</v>
      </c>
      <c r="C829" s="1" t="n">
        <v>45930</v>
      </c>
      <c r="D829" t="inlineStr">
        <is>
          <t>JÄMTLANDS LÄN</t>
        </is>
      </c>
      <c r="E829" t="inlineStr">
        <is>
          <t>RAGUNDA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37479-2023</t>
        </is>
      </c>
      <c r="B830" s="1" t="n">
        <v>45156</v>
      </c>
      <c r="C830" s="1" t="n">
        <v>45930</v>
      </c>
      <c r="D830" t="inlineStr">
        <is>
          <t>JÄMTLANDS LÄN</t>
        </is>
      </c>
      <c r="E830" t="inlineStr">
        <is>
          <t>RAGUNDA</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41772-2024</t>
        </is>
      </c>
      <c r="B831" s="1" t="n">
        <v>45561.34663194444</v>
      </c>
      <c r="C831" s="1" t="n">
        <v>45930</v>
      </c>
      <c r="D831" t="inlineStr">
        <is>
          <t>JÄMTLANDS LÄN</t>
        </is>
      </c>
      <c r="E831" t="inlineStr">
        <is>
          <t>RAGUNDA</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12660-2024</t>
        </is>
      </c>
      <c r="B832" s="1" t="n">
        <v>45384</v>
      </c>
      <c r="C832" s="1" t="n">
        <v>45930</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25332-2023</t>
        </is>
      </c>
      <c r="B833" s="1" t="n">
        <v>45086.94010416666</v>
      </c>
      <c r="C833" s="1" t="n">
        <v>45930</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33615-2023</t>
        </is>
      </c>
      <c r="B834" s="1" t="n">
        <v>45119</v>
      </c>
      <c r="C834" s="1" t="n">
        <v>45930</v>
      </c>
      <c r="D834" t="inlineStr">
        <is>
          <t>JÄMTLANDS LÄN</t>
        </is>
      </c>
      <c r="E834" t="inlineStr">
        <is>
          <t>RAGUNDA</t>
        </is>
      </c>
      <c r="G834" t="n">
        <v>0.9</v>
      </c>
      <c r="H834" t="n">
        <v>0</v>
      </c>
      <c r="I834" t="n">
        <v>0</v>
      </c>
      <c r="J834" t="n">
        <v>0</v>
      </c>
      <c r="K834" t="n">
        <v>0</v>
      </c>
      <c r="L834" t="n">
        <v>0</v>
      </c>
      <c r="M834" t="n">
        <v>0</v>
      </c>
      <c r="N834" t="n">
        <v>0</v>
      </c>
      <c r="O834" t="n">
        <v>0</v>
      </c>
      <c r="P834" t="n">
        <v>0</v>
      </c>
      <c r="Q834" t="n">
        <v>0</v>
      </c>
      <c r="R834" s="2" t="inlineStr"/>
    </row>
    <row r="835" ht="15" customHeight="1">
      <c r="A835" t="inlineStr">
        <is>
          <t>A 43132-2023</t>
        </is>
      </c>
      <c r="B835" s="1" t="n">
        <v>45182</v>
      </c>
      <c r="C835" s="1" t="n">
        <v>45930</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45930</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45930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9325-2024</t>
        </is>
      </c>
      <c r="B838" s="1" t="n">
        <v>45358.95813657407</v>
      </c>
      <c r="C838" s="1" t="n">
        <v>45930</v>
      </c>
      <c r="D838" t="inlineStr">
        <is>
          <t>JÄMTLANDS LÄN</t>
        </is>
      </c>
      <c r="E838" t="inlineStr">
        <is>
          <t>RAGUNDA</t>
        </is>
      </c>
      <c r="G838" t="n">
        <v>3.1</v>
      </c>
      <c r="H838" t="n">
        <v>0</v>
      </c>
      <c r="I838" t="n">
        <v>0</v>
      </c>
      <c r="J838" t="n">
        <v>0</v>
      </c>
      <c r="K838" t="n">
        <v>0</v>
      </c>
      <c r="L838" t="n">
        <v>0</v>
      </c>
      <c r="M838" t="n">
        <v>0</v>
      </c>
      <c r="N838" t="n">
        <v>0</v>
      </c>
      <c r="O838" t="n">
        <v>0</v>
      </c>
      <c r="P838" t="n">
        <v>0</v>
      </c>
      <c r="Q838" t="n">
        <v>0</v>
      </c>
      <c r="R838" s="2" t="inlineStr"/>
    </row>
    <row r="839" ht="15" customHeight="1">
      <c r="A839" t="inlineStr">
        <is>
          <t>A 4348-2023</t>
        </is>
      </c>
      <c r="B839" s="1" t="n">
        <v>44953</v>
      </c>
      <c r="C839" s="1" t="n">
        <v>45930</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8678-2023</t>
        </is>
      </c>
      <c r="B840" s="1" t="n">
        <v>44977.98660879629</v>
      </c>
      <c r="C840" s="1" t="n">
        <v>45930</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29766-2023</t>
        </is>
      </c>
      <c r="B841" s="1" t="n">
        <v>45098</v>
      </c>
      <c r="C841" s="1" t="n">
        <v>45930</v>
      </c>
      <c r="D841" t="inlineStr">
        <is>
          <t>JÄMTLANDS LÄN</t>
        </is>
      </c>
      <c r="E841" t="inlineStr">
        <is>
          <t>RAGUNDA</t>
        </is>
      </c>
      <c r="G841" t="n">
        <v>2.7</v>
      </c>
      <c r="H841" t="n">
        <v>0</v>
      </c>
      <c r="I841" t="n">
        <v>0</v>
      </c>
      <c r="J841" t="n">
        <v>0</v>
      </c>
      <c r="K841" t="n">
        <v>0</v>
      </c>
      <c r="L841" t="n">
        <v>0</v>
      </c>
      <c r="M841" t="n">
        <v>0</v>
      </c>
      <c r="N841" t="n">
        <v>0</v>
      </c>
      <c r="O841" t="n">
        <v>0</v>
      </c>
      <c r="P841" t="n">
        <v>0</v>
      </c>
      <c r="Q841" t="n">
        <v>0</v>
      </c>
      <c r="R841" s="2" t="inlineStr"/>
    </row>
    <row r="842" ht="15" customHeight="1">
      <c r="A842" t="inlineStr">
        <is>
          <t>A 60935-2024</t>
        </is>
      </c>
      <c r="B842" s="1" t="n">
        <v>45645.36740740741</v>
      </c>
      <c r="C842" s="1" t="n">
        <v>45930</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23405-2025</t>
        </is>
      </c>
      <c r="B843" s="1" t="n">
        <v>45792.34527777778</v>
      </c>
      <c r="C843" s="1" t="n">
        <v>45930</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23654-2025</t>
        </is>
      </c>
      <c r="B844" s="1" t="n">
        <v>45792.71905092592</v>
      </c>
      <c r="C844" s="1" t="n">
        <v>45930</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23507-2025</t>
        </is>
      </c>
      <c r="B845" s="1" t="n">
        <v>45792.49023148148</v>
      </c>
      <c r="C845" s="1" t="n">
        <v>45930</v>
      </c>
      <c r="D845" t="inlineStr">
        <is>
          <t>JÄMTLANDS LÄN</t>
        </is>
      </c>
      <c r="E845" t="inlineStr">
        <is>
          <t>RAGUNDA</t>
        </is>
      </c>
      <c r="F845" t="inlineStr">
        <is>
          <t>SCA</t>
        </is>
      </c>
      <c r="G845" t="n">
        <v>16.4</v>
      </c>
      <c r="H845" t="n">
        <v>0</v>
      </c>
      <c r="I845" t="n">
        <v>0</v>
      </c>
      <c r="J845" t="n">
        <v>0</v>
      </c>
      <c r="K845" t="n">
        <v>0</v>
      </c>
      <c r="L845" t="n">
        <v>0</v>
      </c>
      <c r="M845" t="n">
        <v>0</v>
      </c>
      <c r="N845" t="n">
        <v>0</v>
      </c>
      <c r="O845" t="n">
        <v>0</v>
      </c>
      <c r="P845" t="n">
        <v>0</v>
      </c>
      <c r="Q845" t="n">
        <v>0</v>
      </c>
      <c r="R845" s="2" t="inlineStr"/>
    </row>
    <row r="846" ht="15" customHeight="1">
      <c r="A846" t="inlineStr">
        <is>
          <t>A 23586-2025</t>
        </is>
      </c>
      <c r="B846" s="1" t="n">
        <v>45792.63584490741</v>
      </c>
      <c r="C846" s="1" t="n">
        <v>45930</v>
      </c>
      <c r="D846" t="inlineStr">
        <is>
          <t>JÄMTLANDS LÄN</t>
        </is>
      </c>
      <c r="E846" t="inlineStr">
        <is>
          <t>RAGUNDA</t>
        </is>
      </c>
      <c r="F846" t="inlineStr">
        <is>
          <t>SCA</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23413-2025</t>
        </is>
      </c>
      <c r="B847" s="1" t="n">
        <v>45792.34606481482</v>
      </c>
      <c r="C847" s="1" t="n">
        <v>45930</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14156-2024</t>
        </is>
      </c>
      <c r="B848" s="1" t="n">
        <v>45392</v>
      </c>
      <c r="C848" s="1" t="n">
        <v>45930</v>
      </c>
      <c r="D848" t="inlineStr">
        <is>
          <t>JÄMTLANDS LÄN</t>
        </is>
      </c>
      <c r="E848" t="inlineStr">
        <is>
          <t>RAGUNDA</t>
        </is>
      </c>
      <c r="G848" t="n">
        <v>0.6</v>
      </c>
      <c r="H848" t="n">
        <v>0</v>
      </c>
      <c r="I848" t="n">
        <v>0</v>
      </c>
      <c r="J848" t="n">
        <v>0</v>
      </c>
      <c r="K848" t="n">
        <v>0</v>
      </c>
      <c r="L848" t="n">
        <v>0</v>
      </c>
      <c r="M848" t="n">
        <v>0</v>
      </c>
      <c r="N848" t="n">
        <v>0</v>
      </c>
      <c r="O848" t="n">
        <v>0</v>
      </c>
      <c r="P848" t="n">
        <v>0</v>
      </c>
      <c r="Q848" t="n">
        <v>0</v>
      </c>
      <c r="R848" s="2" t="inlineStr"/>
    </row>
    <row r="849" ht="15" customHeight="1">
      <c r="A849" t="inlineStr">
        <is>
          <t>A 14157-2024</t>
        </is>
      </c>
      <c r="B849" s="1" t="n">
        <v>45392.92903935185</v>
      </c>
      <c r="C849" s="1" t="n">
        <v>45930</v>
      </c>
      <c r="D849" t="inlineStr">
        <is>
          <t>JÄMTLANDS LÄN</t>
        </is>
      </c>
      <c r="E849" t="inlineStr">
        <is>
          <t>RAGUNDA</t>
        </is>
      </c>
      <c r="G849" t="n">
        <v>1.7</v>
      </c>
      <c r="H849" t="n">
        <v>0</v>
      </c>
      <c r="I849" t="n">
        <v>0</v>
      </c>
      <c r="J849" t="n">
        <v>0</v>
      </c>
      <c r="K849" t="n">
        <v>0</v>
      </c>
      <c r="L849" t="n">
        <v>0</v>
      </c>
      <c r="M849" t="n">
        <v>0</v>
      </c>
      <c r="N849" t="n">
        <v>0</v>
      </c>
      <c r="O849" t="n">
        <v>0</v>
      </c>
      <c r="P849" t="n">
        <v>0</v>
      </c>
      <c r="Q849" t="n">
        <v>0</v>
      </c>
      <c r="R849" s="2" t="inlineStr"/>
    </row>
    <row r="850" ht="15" customHeight="1">
      <c r="A850" t="inlineStr">
        <is>
          <t>A 44727-2024</t>
        </is>
      </c>
      <c r="B850" s="1" t="n">
        <v>45574.57967592592</v>
      </c>
      <c r="C850" s="1" t="n">
        <v>45930</v>
      </c>
      <c r="D850" t="inlineStr">
        <is>
          <t>JÄMTLANDS LÄN</t>
        </is>
      </c>
      <c r="E850" t="inlineStr">
        <is>
          <t>RAGUNDA</t>
        </is>
      </c>
      <c r="G850" t="n">
        <v>4.7</v>
      </c>
      <c r="H850" t="n">
        <v>0</v>
      </c>
      <c r="I850" t="n">
        <v>0</v>
      </c>
      <c r="J850" t="n">
        <v>0</v>
      </c>
      <c r="K850" t="n">
        <v>0</v>
      </c>
      <c r="L850" t="n">
        <v>0</v>
      </c>
      <c r="M850" t="n">
        <v>0</v>
      </c>
      <c r="N850" t="n">
        <v>0</v>
      </c>
      <c r="O850" t="n">
        <v>0</v>
      </c>
      <c r="P850" t="n">
        <v>0</v>
      </c>
      <c r="Q850" t="n">
        <v>0</v>
      </c>
      <c r="R850" s="2" t="inlineStr"/>
    </row>
    <row r="851" ht="15" customHeight="1">
      <c r="A851" t="inlineStr">
        <is>
          <t>A 23253-2025</t>
        </is>
      </c>
      <c r="B851" s="1" t="n">
        <v>45791.53238425926</v>
      </c>
      <c r="C851" s="1" t="n">
        <v>45930</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21661-2023</t>
        </is>
      </c>
      <c r="B852" s="1" t="n">
        <v>45063</v>
      </c>
      <c r="C852" s="1" t="n">
        <v>45930</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18284-2025</t>
        </is>
      </c>
      <c r="B853" s="1" t="n">
        <v>45762.39876157408</v>
      </c>
      <c r="C853" s="1" t="n">
        <v>45930</v>
      </c>
      <c r="D853" t="inlineStr">
        <is>
          <t>JÄMTLANDS LÄN</t>
        </is>
      </c>
      <c r="E853" t="inlineStr">
        <is>
          <t>RAGUNDA</t>
        </is>
      </c>
      <c r="G853" t="n">
        <v>0.2</v>
      </c>
      <c r="H853" t="n">
        <v>0</v>
      </c>
      <c r="I853" t="n">
        <v>0</v>
      </c>
      <c r="J853" t="n">
        <v>0</v>
      </c>
      <c r="K853" t="n">
        <v>0</v>
      </c>
      <c r="L853" t="n">
        <v>0</v>
      </c>
      <c r="M853" t="n">
        <v>0</v>
      </c>
      <c r="N853" t="n">
        <v>0</v>
      </c>
      <c r="O853" t="n">
        <v>0</v>
      </c>
      <c r="P853" t="n">
        <v>0</v>
      </c>
      <c r="Q853" t="n">
        <v>0</v>
      </c>
      <c r="R853" s="2" t="inlineStr"/>
      <c r="U853">
        <f>HYPERLINK("https://klasma.github.io/Logging_2303/knärot/A 18284-2025 karta knärot.png", "A 18284-2025")</f>
        <v/>
      </c>
      <c r="V853">
        <f>HYPERLINK("https://klasma.github.io/Logging_2303/klagomål/A 18284-2025 FSC-klagomål.docx", "A 18284-2025")</f>
        <v/>
      </c>
      <c r="W853">
        <f>HYPERLINK("https://klasma.github.io/Logging_2303/klagomålsmail/A 18284-2025 FSC-klagomål mail.docx", "A 18284-2025")</f>
        <v/>
      </c>
      <c r="X853">
        <f>HYPERLINK("https://klasma.github.io/Logging_2303/tillsyn/A 18284-2025 tillsynsbegäran.docx", "A 18284-2025")</f>
        <v/>
      </c>
      <c r="Y853">
        <f>HYPERLINK("https://klasma.github.io/Logging_2303/tillsynsmail/A 18284-2025 tillsynsbegäran mail.docx", "A 18284-2025")</f>
        <v/>
      </c>
    </row>
    <row r="854" ht="15" customHeight="1">
      <c r="A854" t="inlineStr">
        <is>
          <t>A 7281-2024</t>
        </is>
      </c>
      <c r="B854" s="1" t="n">
        <v>45344</v>
      </c>
      <c r="C854" s="1" t="n">
        <v>45930</v>
      </c>
      <c r="D854" t="inlineStr">
        <is>
          <t>JÄMTLANDS LÄN</t>
        </is>
      </c>
      <c r="E854" t="inlineStr">
        <is>
          <t>RAGUNDA</t>
        </is>
      </c>
      <c r="G854" t="n">
        <v>1.2</v>
      </c>
      <c r="H854" t="n">
        <v>0</v>
      </c>
      <c r="I854" t="n">
        <v>0</v>
      </c>
      <c r="J854" t="n">
        <v>0</v>
      </c>
      <c r="K854" t="n">
        <v>0</v>
      </c>
      <c r="L854" t="n">
        <v>0</v>
      </c>
      <c r="M854" t="n">
        <v>0</v>
      </c>
      <c r="N854" t="n">
        <v>0</v>
      </c>
      <c r="O854" t="n">
        <v>0</v>
      </c>
      <c r="P854" t="n">
        <v>0</v>
      </c>
      <c r="Q854" t="n">
        <v>0</v>
      </c>
      <c r="R854" s="2" t="inlineStr"/>
    </row>
    <row r="855" ht="15" customHeight="1">
      <c r="A855" t="inlineStr">
        <is>
          <t>A 19382-2025</t>
        </is>
      </c>
      <c r="B855" s="1" t="n">
        <v>45769.65659722222</v>
      </c>
      <c r="C855" s="1" t="n">
        <v>45930</v>
      </c>
      <c r="D855" t="inlineStr">
        <is>
          <t>JÄMTLANDS LÄN</t>
        </is>
      </c>
      <c r="E855" t="inlineStr">
        <is>
          <t>RAGUNDA</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19403-2025</t>
        </is>
      </c>
      <c r="B856" s="1" t="n">
        <v>45769.67790509259</v>
      </c>
      <c r="C856" s="1" t="n">
        <v>45930</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60225-2022</t>
        </is>
      </c>
      <c r="B857" s="1" t="n">
        <v>44903</v>
      </c>
      <c r="C857" s="1" t="n">
        <v>45930</v>
      </c>
      <c r="D857" t="inlineStr">
        <is>
          <t>JÄMTLANDS LÄN</t>
        </is>
      </c>
      <c r="E857" t="inlineStr">
        <is>
          <t>RAGUNDA</t>
        </is>
      </c>
      <c r="G857" t="n">
        <v>1</v>
      </c>
      <c r="H857" t="n">
        <v>0</v>
      </c>
      <c r="I857" t="n">
        <v>0</v>
      </c>
      <c r="J857" t="n">
        <v>0</v>
      </c>
      <c r="K857" t="n">
        <v>0</v>
      </c>
      <c r="L857" t="n">
        <v>0</v>
      </c>
      <c r="M857" t="n">
        <v>0</v>
      </c>
      <c r="N857" t="n">
        <v>0</v>
      </c>
      <c r="O857" t="n">
        <v>0</v>
      </c>
      <c r="P857" t="n">
        <v>0</v>
      </c>
      <c r="Q857" t="n">
        <v>0</v>
      </c>
      <c r="R857" s="2" t="inlineStr"/>
    </row>
    <row r="858" ht="15" customHeight="1">
      <c r="A858" t="inlineStr">
        <is>
          <t>A 61045-2022</t>
        </is>
      </c>
      <c r="B858" s="1" t="n">
        <v>44914</v>
      </c>
      <c r="C858" s="1" t="n">
        <v>45930</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19263-2025</t>
        </is>
      </c>
      <c r="B859" s="1" t="n">
        <v>45769.51075231482</v>
      </c>
      <c r="C859" s="1" t="n">
        <v>45930</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45930</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24158-2025</t>
        </is>
      </c>
      <c r="B861" s="1" t="n">
        <v>45796</v>
      </c>
      <c r="C861" s="1" t="n">
        <v>45930</v>
      </c>
      <c r="D861" t="inlineStr">
        <is>
          <t>JÄMTLANDS LÄN</t>
        </is>
      </c>
      <c r="E861" t="inlineStr">
        <is>
          <t>RAGUNDA</t>
        </is>
      </c>
      <c r="G861" t="n">
        <v>2.9</v>
      </c>
      <c r="H861" t="n">
        <v>0</v>
      </c>
      <c r="I861" t="n">
        <v>0</v>
      </c>
      <c r="J861" t="n">
        <v>0</v>
      </c>
      <c r="K861" t="n">
        <v>0</v>
      </c>
      <c r="L861" t="n">
        <v>0</v>
      </c>
      <c r="M861" t="n">
        <v>0</v>
      </c>
      <c r="N861" t="n">
        <v>0</v>
      </c>
      <c r="O861" t="n">
        <v>0</v>
      </c>
      <c r="P861" t="n">
        <v>0</v>
      </c>
      <c r="Q861" t="n">
        <v>0</v>
      </c>
      <c r="R861" s="2" t="inlineStr"/>
    </row>
    <row r="862" ht="15" customHeight="1">
      <c r="A862" t="inlineStr">
        <is>
          <t>A 24161-2025</t>
        </is>
      </c>
      <c r="B862" s="1" t="n">
        <v>45796</v>
      </c>
      <c r="C862" s="1" t="n">
        <v>45930</v>
      </c>
      <c r="D862" t="inlineStr">
        <is>
          <t>JÄMTLANDS LÄN</t>
        </is>
      </c>
      <c r="E862" t="inlineStr">
        <is>
          <t>RAGUNDA</t>
        </is>
      </c>
      <c r="G862" t="n">
        <v>2.4</v>
      </c>
      <c r="H862" t="n">
        <v>0</v>
      </c>
      <c r="I862" t="n">
        <v>0</v>
      </c>
      <c r="J862" t="n">
        <v>0</v>
      </c>
      <c r="K862" t="n">
        <v>0</v>
      </c>
      <c r="L862" t="n">
        <v>0</v>
      </c>
      <c r="M862" t="n">
        <v>0</v>
      </c>
      <c r="N862" t="n">
        <v>0</v>
      </c>
      <c r="O862" t="n">
        <v>0</v>
      </c>
      <c r="P862" t="n">
        <v>0</v>
      </c>
      <c r="Q862" t="n">
        <v>0</v>
      </c>
      <c r="R862" s="2" t="inlineStr"/>
    </row>
    <row r="863" ht="15" customHeight="1">
      <c r="A863" t="inlineStr">
        <is>
          <t>A 16320-2025</t>
        </is>
      </c>
      <c r="B863" s="1" t="n">
        <v>45751.34859953704</v>
      </c>
      <c r="C863" s="1" t="n">
        <v>45930</v>
      </c>
      <c r="D863" t="inlineStr">
        <is>
          <t>JÄMTLANDS LÄN</t>
        </is>
      </c>
      <c r="E863" t="inlineStr">
        <is>
          <t>RAGUNDA</t>
        </is>
      </c>
      <c r="F863" t="inlineStr">
        <is>
          <t>SCA</t>
        </is>
      </c>
      <c r="G863" t="n">
        <v>16.2</v>
      </c>
      <c r="H863" t="n">
        <v>0</v>
      </c>
      <c r="I863" t="n">
        <v>0</v>
      </c>
      <c r="J863" t="n">
        <v>0</v>
      </c>
      <c r="K863" t="n">
        <v>0</v>
      </c>
      <c r="L863" t="n">
        <v>0</v>
      </c>
      <c r="M863" t="n">
        <v>0</v>
      </c>
      <c r="N863" t="n">
        <v>0</v>
      </c>
      <c r="O863" t="n">
        <v>0</v>
      </c>
      <c r="P863" t="n">
        <v>0</v>
      </c>
      <c r="Q863" t="n">
        <v>0</v>
      </c>
      <c r="R863" s="2" t="inlineStr"/>
    </row>
    <row r="864" ht="15" customHeight="1">
      <c r="A864" t="inlineStr">
        <is>
          <t>A 23841-2025</t>
        </is>
      </c>
      <c r="B864" s="1" t="n">
        <v>45793.61523148148</v>
      </c>
      <c r="C864" s="1" t="n">
        <v>45930</v>
      </c>
      <c r="D864" t="inlineStr">
        <is>
          <t>JÄMTLANDS LÄN</t>
        </is>
      </c>
      <c r="E864" t="inlineStr">
        <is>
          <t>RAGUNDA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11557-2023</t>
        </is>
      </c>
      <c r="B865" s="1" t="n">
        <v>44993.94950231481</v>
      </c>
      <c r="C865" s="1" t="n">
        <v>45930</v>
      </c>
      <c r="D865" t="inlineStr">
        <is>
          <t>JÄMTLANDS LÄN</t>
        </is>
      </c>
      <c r="E865" t="inlineStr">
        <is>
          <t>RAGUNDA</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11562-2023</t>
        </is>
      </c>
      <c r="B866" s="1" t="n">
        <v>44993</v>
      </c>
      <c r="C866" s="1" t="n">
        <v>45930</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24159-2025</t>
        </is>
      </c>
      <c r="B867" s="1" t="n">
        <v>45796</v>
      </c>
      <c r="C867" s="1" t="n">
        <v>45930</v>
      </c>
      <c r="D867" t="inlineStr">
        <is>
          <t>JÄMTLANDS LÄN</t>
        </is>
      </c>
      <c r="E867" t="inlineStr">
        <is>
          <t>RAGUNDA</t>
        </is>
      </c>
      <c r="G867" t="n">
        <v>0.8</v>
      </c>
      <c r="H867" t="n">
        <v>0</v>
      </c>
      <c r="I867" t="n">
        <v>0</v>
      </c>
      <c r="J867" t="n">
        <v>0</v>
      </c>
      <c r="K867" t="n">
        <v>0</v>
      </c>
      <c r="L867" t="n">
        <v>0</v>
      </c>
      <c r="M867" t="n">
        <v>0</v>
      </c>
      <c r="N867" t="n">
        <v>0</v>
      </c>
      <c r="O867" t="n">
        <v>0</v>
      </c>
      <c r="P867" t="n">
        <v>0</v>
      </c>
      <c r="Q867" t="n">
        <v>0</v>
      </c>
      <c r="R867" s="2" t="inlineStr"/>
    </row>
    <row r="868" ht="15" customHeight="1">
      <c r="A868" t="inlineStr">
        <is>
          <t>A 21524-2024</t>
        </is>
      </c>
      <c r="B868" s="1" t="n">
        <v>45441</v>
      </c>
      <c r="C868" s="1" t="n">
        <v>45930</v>
      </c>
      <c r="D868" t="inlineStr">
        <is>
          <t>JÄMTLANDS LÄN</t>
        </is>
      </c>
      <c r="E868" t="inlineStr">
        <is>
          <t>RAGUNDA</t>
        </is>
      </c>
      <c r="G868" t="n">
        <v>1.6</v>
      </c>
      <c r="H868" t="n">
        <v>0</v>
      </c>
      <c r="I868" t="n">
        <v>0</v>
      </c>
      <c r="J868" t="n">
        <v>0</v>
      </c>
      <c r="K868" t="n">
        <v>0</v>
      </c>
      <c r="L868" t="n">
        <v>0</v>
      </c>
      <c r="M868" t="n">
        <v>0</v>
      </c>
      <c r="N868" t="n">
        <v>0</v>
      </c>
      <c r="O868" t="n">
        <v>0</v>
      </c>
      <c r="P868" t="n">
        <v>0</v>
      </c>
      <c r="Q868" t="n">
        <v>0</v>
      </c>
      <c r="R868" s="2" t="inlineStr"/>
    </row>
    <row r="869" ht="15" customHeight="1">
      <c r="A869" t="inlineStr">
        <is>
          <t>A 5175-2023</t>
        </is>
      </c>
      <c r="B869" s="1" t="n">
        <v>44958.94298611111</v>
      </c>
      <c r="C869" s="1" t="n">
        <v>45930</v>
      </c>
      <c r="D869" t="inlineStr">
        <is>
          <t>JÄMTLANDS LÄN</t>
        </is>
      </c>
      <c r="E869" t="inlineStr">
        <is>
          <t>RAGUNDA</t>
        </is>
      </c>
      <c r="F869" t="inlineStr">
        <is>
          <t>SCA</t>
        </is>
      </c>
      <c r="G869" t="n">
        <v>17.9</v>
      </c>
      <c r="H869" t="n">
        <v>0</v>
      </c>
      <c r="I869" t="n">
        <v>0</v>
      </c>
      <c r="J869" t="n">
        <v>0</v>
      </c>
      <c r="K869" t="n">
        <v>0</v>
      </c>
      <c r="L869" t="n">
        <v>0</v>
      </c>
      <c r="M869" t="n">
        <v>0</v>
      </c>
      <c r="N869" t="n">
        <v>0</v>
      </c>
      <c r="O869" t="n">
        <v>0</v>
      </c>
      <c r="P869" t="n">
        <v>0</v>
      </c>
      <c r="Q869" t="n">
        <v>0</v>
      </c>
      <c r="R869" s="2" t="inlineStr"/>
    </row>
    <row r="870" ht="15" customHeight="1">
      <c r="A870" t="inlineStr">
        <is>
          <t>A 52345-2024</t>
        </is>
      </c>
      <c r="B870" s="1" t="n">
        <v>45609.34412037037</v>
      </c>
      <c r="C870" s="1" t="n">
        <v>45930</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41343-2024</t>
        </is>
      </c>
      <c r="B871" s="1" t="n">
        <v>45559.67745370371</v>
      </c>
      <c r="C871" s="1" t="n">
        <v>45930</v>
      </c>
      <c r="D871" t="inlineStr">
        <is>
          <t>JÄMTLANDS LÄN</t>
        </is>
      </c>
      <c r="E871" t="inlineStr">
        <is>
          <t>RAGUNDA</t>
        </is>
      </c>
      <c r="F871" t="inlineStr">
        <is>
          <t>SCA</t>
        </is>
      </c>
      <c r="G871" t="n">
        <v>25.1</v>
      </c>
      <c r="H871" t="n">
        <v>0</v>
      </c>
      <c r="I871" t="n">
        <v>0</v>
      </c>
      <c r="J871" t="n">
        <v>0</v>
      </c>
      <c r="K871" t="n">
        <v>0</v>
      </c>
      <c r="L871" t="n">
        <v>0</v>
      </c>
      <c r="M871" t="n">
        <v>0</v>
      </c>
      <c r="N871" t="n">
        <v>0</v>
      </c>
      <c r="O871" t="n">
        <v>0</v>
      </c>
      <c r="P871" t="n">
        <v>0</v>
      </c>
      <c r="Q871" t="n">
        <v>0</v>
      </c>
      <c r="R871" s="2" t="inlineStr"/>
    </row>
    <row r="872" ht="15" customHeight="1">
      <c r="A872" t="inlineStr">
        <is>
          <t>A 62407-2023</t>
        </is>
      </c>
      <c r="B872" s="1" t="n">
        <v>45266</v>
      </c>
      <c r="C872" s="1" t="n">
        <v>45930</v>
      </c>
      <c r="D872" t="inlineStr">
        <is>
          <t>JÄMTLANDS LÄN</t>
        </is>
      </c>
      <c r="E872" t="inlineStr">
        <is>
          <t>RAGUNDA</t>
        </is>
      </c>
      <c r="G872" t="n">
        <v>1.6</v>
      </c>
      <c r="H872" t="n">
        <v>0</v>
      </c>
      <c r="I872" t="n">
        <v>0</v>
      </c>
      <c r="J872" t="n">
        <v>0</v>
      </c>
      <c r="K872" t="n">
        <v>0</v>
      </c>
      <c r="L872" t="n">
        <v>0</v>
      </c>
      <c r="M872" t="n">
        <v>0</v>
      </c>
      <c r="N872" t="n">
        <v>0</v>
      </c>
      <c r="O872" t="n">
        <v>0</v>
      </c>
      <c r="P872" t="n">
        <v>0</v>
      </c>
      <c r="Q872" t="n">
        <v>0</v>
      </c>
      <c r="R872" s="2" t="inlineStr"/>
    </row>
    <row r="873" ht="15" customHeight="1">
      <c r="A873" t="inlineStr">
        <is>
          <t>A 38191-2024</t>
        </is>
      </c>
      <c r="B873" s="1" t="n">
        <v>45545.49078703704</v>
      </c>
      <c r="C873" s="1" t="n">
        <v>45930</v>
      </c>
      <c r="D873" t="inlineStr">
        <is>
          <t>JÄMTLANDS LÄN</t>
        </is>
      </c>
      <c r="E873" t="inlineStr">
        <is>
          <t>RAGUNDA</t>
        </is>
      </c>
      <c r="G873" t="n">
        <v>1.6</v>
      </c>
      <c r="H873" t="n">
        <v>0</v>
      </c>
      <c r="I873" t="n">
        <v>0</v>
      </c>
      <c r="J873" t="n">
        <v>0</v>
      </c>
      <c r="K873" t="n">
        <v>0</v>
      </c>
      <c r="L873" t="n">
        <v>0</v>
      </c>
      <c r="M873" t="n">
        <v>0</v>
      </c>
      <c r="N873" t="n">
        <v>0</v>
      </c>
      <c r="O873" t="n">
        <v>0</v>
      </c>
      <c r="P873" t="n">
        <v>0</v>
      </c>
      <c r="Q873" t="n">
        <v>0</v>
      </c>
      <c r="R873" s="2" t="inlineStr"/>
    </row>
    <row r="874" ht="15" customHeight="1">
      <c r="A874" t="inlineStr">
        <is>
          <t>A 12039-2023</t>
        </is>
      </c>
      <c r="B874" s="1" t="n">
        <v>44995.98341435185</v>
      </c>
      <c r="C874" s="1" t="n">
        <v>45930</v>
      </c>
      <c r="D874" t="inlineStr">
        <is>
          <t>JÄMTLANDS LÄN</t>
        </is>
      </c>
      <c r="E874" t="inlineStr">
        <is>
          <t>RAGUNDA</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12050-2023</t>
        </is>
      </c>
      <c r="B875" s="1" t="n">
        <v>44995.98644675926</v>
      </c>
      <c r="C875" s="1" t="n">
        <v>45930</v>
      </c>
      <c r="D875" t="inlineStr">
        <is>
          <t>JÄMTLANDS LÄN</t>
        </is>
      </c>
      <c r="E875" t="inlineStr">
        <is>
          <t>RAGUNDA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2751-2024</t>
        </is>
      </c>
      <c r="B876" s="1" t="n">
        <v>45314</v>
      </c>
      <c r="C876" s="1" t="n">
        <v>45930</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36986-2023</t>
        </is>
      </c>
      <c r="B877" s="1" t="n">
        <v>45154.95525462963</v>
      </c>
      <c r="C877" s="1" t="n">
        <v>45930</v>
      </c>
      <c r="D877" t="inlineStr">
        <is>
          <t>JÄMTLANDS LÄN</t>
        </is>
      </c>
      <c r="E877" t="inlineStr">
        <is>
          <t>RAGUNDA</t>
        </is>
      </c>
      <c r="F877" t="inlineStr">
        <is>
          <t>SCA</t>
        </is>
      </c>
      <c r="G877" t="n">
        <v>0.2</v>
      </c>
      <c r="H877" t="n">
        <v>0</v>
      </c>
      <c r="I877" t="n">
        <v>0</v>
      </c>
      <c r="J877" t="n">
        <v>0</v>
      </c>
      <c r="K877" t="n">
        <v>0</v>
      </c>
      <c r="L877" t="n">
        <v>0</v>
      </c>
      <c r="M877" t="n">
        <v>0</v>
      </c>
      <c r="N877" t="n">
        <v>0</v>
      </c>
      <c r="O877" t="n">
        <v>0</v>
      </c>
      <c r="P877" t="n">
        <v>0</v>
      </c>
      <c r="Q877" t="n">
        <v>0</v>
      </c>
      <c r="R877" s="2" t="inlineStr"/>
    </row>
    <row r="878" ht="15" customHeight="1">
      <c r="A878" t="inlineStr">
        <is>
          <t>A 14368-2024</t>
        </is>
      </c>
      <c r="B878" s="1" t="n">
        <v>45393.94431712963</v>
      </c>
      <c r="C878" s="1" t="n">
        <v>45930</v>
      </c>
      <c r="D878" t="inlineStr">
        <is>
          <t>JÄMTLANDS LÄN</t>
        </is>
      </c>
      <c r="E878" t="inlineStr">
        <is>
          <t>RAGUNDA</t>
        </is>
      </c>
      <c r="F878" t="inlineStr">
        <is>
          <t>Naturvårdsverket</t>
        </is>
      </c>
      <c r="G878" t="n">
        <v>1.6</v>
      </c>
      <c r="H878" t="n">
        <v>0</v>
      </c>
      <c r="I878" t="n">
        <v>0</v>
      </c>
      <c r="J878" t="n">
        <v>0</v>
      </c>
      <c r="K878" t="n">
        <v>0</v>
      </c>
      <c r="L878" t="n">
        <v>0</v>
      </c>
      <c r="M878" t="n">
        <v>0</v>
      </c>
      <c r="N878" t="n">
        <v>0</v>
      </c>
      <c r="O878" t="n">
        <v>0</v>
      </c>
      <c r="P878" t="n">
        <v>0</v>
      </c>
      <c r="Q878" t="n">
        <v>0</v>
      </c>
      <c r="R878" s="2" t="inlineStr"/>
    </row>
    <row r="879" ht="15" customHeight="1">
      <c r="A879" t="inlineStr">
        <is>
          <t>A 24391-2025</t>
        </is>
      </c>
      <c r="B879" s="1" t="n">
        <v>45797.63627314815</v>
      </c>
      <c r="C879" s="1" t="n">
        <v>45930</v>
      </c>
      <c r="D879" t="inlineStr">
        <is>
          <t>JÄMTLANDS LÄN</t>
        </is>
      </c>
      <c r="E879" t="inlineStr">
        <is>
          <t>RAGUNDA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25376-2025</t>
        </is>
      </c>
      <c r="B880" s="1" t="n">
        <v>45800.63619212963</v>
      </c>
      <c r="C880" s="1" t="n">
        <v>45930</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18159-2023</t>
        </is>
      </c>
      <c r="B881" s="1" t="n">
        <v>45040.94277777777</v>
      </c>
      <c r="C881" s="1" t="n">
        <v>45930</v>
      </c>
      <c r="D881" t="inlineStr">
        <is>
          <t>JÄMTLANDS LÄN</t>
        </is>
      </c>
      <c r="E881" t="inlineStr">
        <is>
          <t>RAGUNDA</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24732-2025</t>
        </is>
      </c>
      <c r="B882" s="1" t="n">
        <v>45799.34421296296</v>
      </c>
      <c r="C882" s="1" t="n">
        <v>45930</v>
      </c>
      <c r="D882" t="inlineStr">
        <is>
          <t>JÄMTLANDS LÄN</t>
        </is>
      </c>
      <c r="E882" t="inlineStr">
        <is>
          <t>RAGUNDA</t>
        </is>
      </c>
      <c r="F882" t="inlineStr">
        <is>
          <t>SCA</t>
        </is>
      </c>
      <c r="G882" t="n">
        <v>16.2</v>
      </c>
      <c r="H882" t="n">
        <v>0</v>
      </c>
      <c r="I882" t="n">
        <v>0</v>
      </c>
      <c r="J882" t="n">
        <v>0</v>
      </c>
      <c r="K882" t="n">
        <v>0</v>
      </c>
      <c r="L882" t="n">
        <v>0</v>
      </c>
      <c r="M882" t="n">
        <v>0</v>
      </c>
      <c r="N882" t="n">
        <v>0</v>
      </c>
      <c r="O882" t="n">
        <v>0</v>
      </c>
      <c r="P882" t="n">
        <v>0</v>
      </c>
      <c r="Q882" t="n">
        <v>0</v>
      </c>
      <c r="R882" s="2" t="inlineStr"/>
    </row>
    <row r="883" ht="15" customHeight="1">
      <c r="A883" t="inlineStr">
        <is>
          <t>A 25350-2025</t>
        </is>
      </c>
      <c r="B883" s="1" t="n">
        <v>45800</v>
      </c>
      <c r="C883" s="1" t="n">
        <v>45930</v>
      </c>
      <c r="D883" t="inlineStr">
        <is>
          <t>JÄMTLANDS LÄN</t>
        </is>
      </c>
      <c r="E883" t="inlineStr">
        <is>
          <t>RAGUNDA</t>
        </is>
      </c>
      <c r="G883" t="n">
        <v>2.4</v>
      </c>
      <c r="H883" t="n">
        <v>0</v>
      </c>
      <c r="I883" t="n">
        <v>0</v>
      </c>
      <c r="J883" t="n">
        <v>0</v>
      </c>
      <c r="K883" t="n">
        <v>0</v>
      </c>
      <c r="L883" t="n">
        <v>0</v>
      </c>
      <c r="M883" t="n">
        <v>0</v>
      </c>
      <c r="N883" t="n">
        <v>0</v>
      </c>
      <c r="O883" t="n">
        <v>0</v>
      </c>
      <c r="P883" t="n">
        <v>0</v>
      </c>
      <c r="Q883" t="n">
        <v>0</v>
      </c>
      <c r="R883" s="2" t="inlineStr"/>
    </row>
    <row r="884" ht="15" customHeight="1">
      <c r="A884" t="inlineStr">
        <is>
          <t>A 25152-2025</t>
        </is>
      </c>
      <c r="B884" s="1" t="n">
        <v>45800.42743055556</v>
      </c>
      <c r="C884" s="1" t="n">
        <v>45930</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25175-2025</t>
        </is>
      </c>
      <c r="B885" s="1" t="n">
        <v>45800.44822916666</v>
      </c>
      <c r="C885" s="1" t="n">
        <v>45930</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25177-2025</t>
        </is>
      </c>
      <c r="B886" s="1" t="n">
        <v>45800.44862268519</v>
      </c>
      <c r="C886" s="1" t="n">
        <v>45930</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25631-2025</t>
        </is>
      </c>
      <c r="B887" s="1" t="n">
        <v>45803.5946875</v>
      </c>
      <c r="C887" s="1" t="n">
        <v>45930</v>
      </c>
      <c r="D887" t="inlineStr">
        <is>
          <t>JÄMTLANDS LÄN</t>
        </is>
      </c>
      <c r="E887" t="inlineStr">
        <is>
          <t>RAGUNDA</t>
        </is>
      </c>
      <c r="G887" t="n">
        <v>1.1</v>
      </c>
      <c r="H887" t="n">
        <v>0</v>
      </c>
      <c r="I887" t="n">
        <v>0</v>
      </c>
      <c r="J887" t="n">
        <v>0</v>
      </c>
      <c r="K887" t="n">
        <v>0</v>
      </c>
      <c r="L887" t="n">
        <v>0</v>
      </c>
      <c r="M887" t="n">
        <v>0</v>
      </c>
      <c r="N887" t="n">
        <v>0</v>
      </c>
      <c r="O887" t="n">
        <v>0</v>
      </c>
      <c r="P887" t="n">
        <v>0</v>
      </c>
      <c r="Q887" t="n">
        <v>0</v>
      </c>
      <c r="R887" s="2" t="inlineStr"/>
    </row>
    <row r="888" ht="15" customHeight="1">
      <c r="A888" t="inlineStr">
        <is>
          <t>A 25659-2025</t>
        </is>
      </c>
      <c r="B888" s="1" t="n">
        <v>45803.61552083334</v>
      </c>
      <c r="C888" s="1" t="n">
        <v>45930</v>
      </c>
      <c r="D888" t="inlineStr">
        <is>
          <t>JÄMTLANDS LÄN</t>
        </is>
      </c>
      <c r="E888" t="inlineStr">
        <is>
          <t>RAGUNDA</t>
        </is>
      </c>
      <c r="G888" t="n">
        <v>1.5</v>
      </c>
      <c r="H888" t="n">
        <v>0</v>
      </c>
      <c r="I888" t="n">
        <v>0</v>
      </c>
      <c r="J888" t="n">
        <v>0</v>
      </c>
      <c r="K888" t="n">
        <v>0</v>
      </c>
      <c r="L888" t="n">
        <v>0</v>
      </c>
      <c r="M888" t="n">
        <v>0</v>
      </c>
      <c r="N888" t="n">
        <v>0</v>
      </c>
      <c r="O888" t="n">
        <v>0</v>
      </c>
      <c r="P888" t="n">
        <v>0</v>
      </c>
      <c r="Q888" t="n">
        <v>0</v>
      </c>
      <c r="R888" s="2" t="inlineStr"/>
    </row>
    <row r="889" ht="15" customHeight="1">
      <c r="A889" t="inlineStr">
        <is>
          <t>A 25661-2025</t>
        </is>
      </c>
      <c r="B889" s="1" t="n">
        <v>45803.61557870371</v>
      </c>
      <c r="C889" s="1" t="n">
        <v>45930</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25944-2025</t>
        </is>
      </c>
      <c r="B890" s="1" t="n">
        <v>45804.59487268519</v>
      </c>
      <c r="C890" s="1" t="n">
        <v>45930</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25814-2025</t>
        </is>
      </c>
      <c r="B891" s="1" t="n">
        <v>45804.42642361111</v>
      </c>
      <c r="C891" s="1" t="n">
        <v>45930</v>
      </c>
      <c r="D891" t="inlineStr">
        <is>
          <t>JÄMTLANDS LÄN</t>
        </is>
      </c>
      <c r="E891" t="inlineStr">
        <is>
          <t>RAGUNDA</t>
        </is>
      </c>
      <c r="G891" t="n">
        <v>0.8</v>
      </c>
      <c r="H891" t="n">
        <v>0</v>
      </c>
      <c r="I891" t="n">
        <v>0</v>
      </c>
      <c r="J891" t="n">
        <v>0</v>
      </c>
      <c r="K891" t="n">
        <v>0</v>
      </c>
      <c r="L891" t="n">
        <v>0</v>
      </c>
      <c r="M891" t="n">
        <v>0</v>
      </c>
      <c r="N891" t="n">
        <v>0</v>
      </c>
      <c r="O891" t="n">
        <v>0</v>
      </c>
      <c r="P891" t="n">
        <v>0</v>
      </c>
      <c r="Q891" t="n">
        <v>0</v>
      </c>
      <c r="R891" s="2" t="inlineStr"/>
    </row>
    <row r="892" ht="15" customHeight="1">
      <c r="A892" t="inlineStr">
        <is>
          <t>A 25630-2025</t>
        </is>
      </c>
      <c r="B892" s="1" t="n">
        <v>45803.59417824074</v>
      </c>
      <c r="C892" s="1" t="n">
        <v>45930</v>
      </c>
      <c r="D892" t="inlineStr">
        <is>
          <t>JÄMTLANDS LÄN</t>
        </is>
      </c>
      <c r="E892" t="inlineStr">
        <is>
          <t>RAGUNDA</t>
        </is>
      </c>
      <c r="G892" t="n">
        <v>6.9</v>
      </c>
      <c r="H892" t="n">
        <v>0</v>
      </c>
      <c r="I892" t="n">
        <v>0</v>
      </c>
      <c r="J892" t="n">
        <v>0</v>
      </c>
      <c r="K892" t="n">
        <v>0</v>
      </c>
      <c r="L892" t="n">
        <v>0</v>
      </c>
      <c r="M892" t="n">
        <v>0</v>
      </c>
      <c r="N892" t="n">
        <v>0</v>
      </c>
      <c r="O892" t="n">
        <v>0</v>
      </c>
      <c r="P892" t="n">
        <v>0</v>
      </c>
      <c r="Q892" t="n">
        <v>0</v>
      </c>
      <c r="R892" s="2" t="inlineStr"/>
    </row>
    <row r="893" ht="15" customHeight="1">
      <c r="A893" t="inlineStr">
        <is>
          <t>A 19613-2023</t>
        </is>
      </c>
      <c r="B893" s="1" t="n">
        <v>45050.94020833333</v>
      </c>
      <c r="C893" s="1" t="n">
        <v>45930</v>
      </c>
      <c r="D893" t="inlineStr">
        <is>
          <t>JÄMTLANDS LÄN</t>
        </is>
      </c>
      <c r="E893" t="inlineStr">
        <is>
          <t>RAGUNDA</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25994-2025</t>
        </is>
      </c>
      <c r="B894" s="1" t="n">
        <v>45804.65672453704</v>
      </c>
      <c r="C894" s="1" t="n">
        <v>45930</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26283-2025</t>
        </is>
      </c>
      <c r="B895" s="1" t="n">
        <v>45805.61495370371</v>
      </c>
      <c r="C895" s="1" t="n">
        <v>45930</v>
      </c>
      <c r="D895" t="inlineStr">
        <is>
          <t>JÄMTLANDS LÄN</t>
        </is>
      </c>
      <c r="E895" t="inlineStr">
        <is>
          <t>RAGUNDA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24258-2025</t>
        </is>
      </c>
      <c r="B896" s="1" t="n">
        <v>45797.40800925926</v>
      </c>
      <c r="C896" s="1" t="n">
        <v>45930</v>
      </c>
      <c r="D896" t="inlineStr">
        <is>
          <t>JÄMTLANDS LÄN</t>
        </is>
      </c>
      <c r="E896" t="inlineStr">
        <is>
          <t>RAGUNDA</t>
        </is>
      </c>
      <c r="G896" t="n">
        <v>1.2</v>
      </c>
      <c r="H896" t="n">
        <v>0</v>
      </c>
      <c r="I896" t="n">
        <v>0</v>
      </c>
      <c r="J896" t="n">
        <v>0</v>
      </c>
      <c r="K896" t="n">
        <v>0</v>
      </c>
      <c r="L896" t="n">
        <v>0</v>
      </c>
      <c r="M896" t="n">
        <v>0</v>
      </c>
      <c r="N896" t="n">
        <v>0</v>
      </c>
      <c r="O896" t="n">
        <v>0</v>
      </c>
      <c r="P896" t="n">
        <v>0</v>
      </c>
      <c r="Q896" t="n">
        <v>0</v>
      </c>
      <c r="R896" s="2" t="inlineStr"/>
    </row>
    <row r="897" ht="15" customHeight="1">
      <c r="A897" t="inlineStr">
        <is>
          <t>A 26172-2025</t>
        </is>
      </c>
      <c r="B897" s="1" t="n">
        <v>45805.46613425926</v>
      </c>
      <c r="C897" s="1" t="n">
        <v>45930</v>
      </c>
      <c r="D897" t="inlineStr">
        <is>
          <t>JÄMTLANDS LÄN</t>
        </is>
      </c>
      <c r="E897" t="inlineStr">
        <is>
          <t>RAGUNDA</t>
        </is>
      </c>
      <c r="G897" t="n">
        <v>2.1</v>
      </c>
      <c r="H897" t="n">
        <v>0</v>
      </c>
      <c r="I897" t="n">
        <v>0</v>
      </c>
      <c r="J897" t="n">
        <v>0</v>
      </c>
      <c r="K897" t="n">
        <v>0</v>
      </c>
      <c r="L897" t="n">
        <v>0</v>
      </c>
      <c r="M897" t="n">
        <v>0</v>
      </c>
      <c r="N897" t="n">
        <v>0</v>
      </c>
      <c r="O897" t="n">
        <v>0</v>
      </c>
      <c r="P897" t="n">
        <v>0</v>
      </c>
      <c r="Q897" t="n">
        <v>0</v>
      </c>
      <c r="R897" s="2" t="inlineStr"/>
    </row>
    <row r="898" ht="15" customHeight="1">
      <c r="A898" t="inlineStr">
        <is>
          <t>A 13700-2023</t>
        </is>
      </c>
      <c r="B898" s="1" t="n">
        <v>45006</v>
      </c>
      <c r="C898" s="1" t="n">
        <v>45930</v>
      </c>
      <c r="D898" t="inlineStr">
        <is>
          <t>JÄMTLANDS LÄN</t>
        </is>
      </c>
      <c r="E898" t="inlineStr">
        <is>
          <t>RAGUNDA</t>
        </is>
      </c>
      <c r="F898" t="inlineStr">
        <is>
          <t>SCA</t>
        </is>
      </c>
      <c r="G898" t="n">
        <v>50.3</v>
      </c>
      <c r="H898" t="n">
        <v>0</v>
      </c>
      <c r="I898" t="n">
        <v>0</v>
      </c>
      <c r="J898" t="n">
        <v>0</v>
      </c>
      <c r="K898" t="n">
        <v>0</v>
      </c>
      <c r="L898" t="n">
        <v>0</v>
      </c>
      <c r="M898" t="n">
        <v>0</v>
      </c>
      <c r="N898" t="n">
        <v>0</v>
      </c>
      <c r="O898" t="n">
        <v>0</v>
      </c>
      <c r="P898" t="n">
        <v>0</v>
      </c>
      <c r="Q898" t="n">
        <v>0</v>
      </c>
      <c r="R898" s="2" t="inlineStr"/>
    </row>
    <row r="899" ht="15" customHeight="1">
      <c r="A899" t="inlineStr">
        <is>
          <t>A 55309-2020</t>
        </is>
      </c>
      <c r="B899" s="1" t="n">
        <v>44130.9416550926</v>
      </c>
      <c r="C899" s="1" t="n">
        <v>45930</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10788-2025</t>
        </is>
      </c>
      <c r="B900" s="1" t="n">
        <v>45722.48982638889</v>
      </c>
      <c r="C900" s="1" t="n">
        <v>45930</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26246-2025</t>
        </is>
      </c>
      <c r="B901" s="1" t="n">
        <v>45805.57390046296</v>
      </c>
      <c r="C901" s="1" t="n">
        <v>45930</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2001-2025</t>
        </is>
      </c>
      <c r="B902" s="1" t="n">
        <v>45672.44898148148</v>
      </c>
      <c r="C902" s="1" t="n">
        <v>45930</v>
      </c>
      <c r="D902" t="inlineStr">
        <is>
          <t>JÄMTLANDS LÄN</t>
        </is>
      </c>
      <c r="E902" t="inlineStr">
        <is>
          <t>RAGUNDA</t>
        </is>
      </c>
      <c r="F902" t="inlineStr">
        <is>
          <t>SCA</t>
        </is>
      </c>
      <c r="G902" t="n">
        <v>16.2</v>
      </c>
      <c r="H902" t="n">
        <v>0</v>
      </c>
      <c r="I902" t="n">
        <v>0</v>
      </c>
      <c r="J902" t="n">
        <v>0</v>
      </c>
      <c r="K902" t="n">
        <v>0</v>
      </c>
      <c r="L902" t="n">
        <v>0</v>
      </c>
      <c r="M902" t="n">
        <v>0</v>
      </c>
      <c r="N902" t="n">
        <v>0</v>
      </c>
      <c r="O902" t="n">
        <v>0</v>
      </c>
      <c r="P902" t="n">
        <v>0</v>
      </c>
      <c r="Q902" t="n">
        <v>0</v>
      </c>
      <c r="R902" s="2" t="inlineStr"/>
    </row>
    <row r="903" ht="15" customHeight="1">
      <c r="A903" t="inlineStr">
        <is>
          <t>A 37543-2023</t>
        </is>
      </c>
      <c r="B903" s="1" t="n">
        <v>45158.94231481481</v>
      </c>
      <c r="C903" s="1" t="n">
        <v>45930</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73278-2021</t>
        </is>
      </c>
      <c r="B904" s="1" t="n">
        <v>44550.92168981482</v>
      </c>
      <c r="C904" s="1" t="n">
        <v>45930</v>
      </c>
      <c r="D904" t="inlineStr">
        <is>
          <t>JÄMTLANDS LÄN</t>
        </is>
      </c>
      <c r="E904" t="inlineStr">
        <is>
          <t>RAGUNDA</t>
        </is>
      </c>
      <c r="G904" t="n">
        <v>4.4</v>
      </c>
      <c r="H904" t="n">
        <v>0</v>
      </c>
      <c r="I904" t="n">
        <v>0</v>
      </c>
      <c r="J904" t="n">
        <v>0</v>
      </c>
      <c r="K904" t="n">
        <v>0</v>
      </c>
      <c r="L904" t="n">
        <v>0</v>
      </c>
      <c r="M904" t="n">
        <v>0</v>
      </c>
      <c r="N904" t="n">
        <v>0</v>
      </c>
      <c r="O904" t="n">
        <v>0</v>
      </c>
      <c r="P904" t="n">
        <v>0</v>
      </c>
      <c r="Q904" t="n">
        <v>0</v>
      </c>
      <c r="R904" s="2" t="inlineStr"/>
    </row>
    <row r="905" ht="15" customHeight="1">
      <c r="A905" t="inlineStr">
        <is>
          <t>A 53171-2024</t>
        </is>
      </c>
      <c r="B905" s="1" t="n">
        <v>45611.65679398148</v>
      </c>
      <c r="C905" s="1" t="n">
        <v>45930</v>
      </c>
      <c r="D905" t="inlineStr">
        <is>
          <t>JÄMTLANDS LÄN</t>
        </is>
      </c>
      <c r="E905" t="inlineStr">
        <is>
          <t>RAGUNDA</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1523-2024</t>
        </is>
      </c>
      <c r="B906" s="1" t="n">
        <v>45306</v>
      </c>
      <c r="C906" s="1" t="n">
        <v>45930</v>
      </c>
      <c r="D906" t="inlineStr">
        <is>
          <t>JÄMTLANDS LÄN</t>
        </is>
      </c>
      <c r="E906" t="inlineStr">
        <is>
          <t>RAGUNDA</t>
        </is>
      </c>
      <c r="G906" t="n">
        <v>4.1</v>
      </c>
      <c r="H906" t="n">
        <v>0</v>
      </c>
      <c r="I906" t="n">
        <v>0</v>
      </c>
      <c r="J906" t="n">
        <v>0</v>
      </c>
      <c r="K906" t="n">
        <v>0</v>
      </c>
      <c r="L906" t="n">
        <v>0</v>
      </c>
      <c r="M906" t="n">
        <v>0</v>
      </c>
      <c r="N906" t="n">
        <v>0</v>
      </c>
      <c r="O906" t="n">
        <v>0</v>
      </c>
      <c r="P906" t="n">
        <v>0</v>
      </c>
      <c r="Q906" t="n">
        <v>0</v>
      </c>
      <c r="R906" s="2" t="inlineStr"/>
    </row>
    <row r="907" ht="15" customHeight="1">
      <c r="A907" t="inlineStr">
        <is>
          <t>A 64265-2023</t>
        </is>
      </c>
      <c r="B907" s="1" t="n">
        <v>45279.94572916667</v>
      </c>
      <c r="C907" s="1" t="n">
        <v>45930</v>
      </c>
      <c r="D907" t="inlineStr">
        <is>
          <t>JÄMTLANDS LÄN</t>
        </is>
      </c>
      <c r="E907" t="inlineStr">
        <is>
          <t>RAGUNDA</t>
        </is>
      </c>
      <c r="F907" t="inlineStr">
        <is>
          <t>SCA</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51685-2020</t>
        </is>
      </c>
      <c r="B908" s="1" t="n">
        <v>44113</v>
      </c>
      <c r="C908" s="1" t="n">
        <v>45930</v>
      </c>
      <c r="D908" t="inlineStr">
        <is>
          <t>JÄMTLANDS LÄN</t>
        </is>
      </c>
      <c r="E908" t="inlineStr">
        <is>
          <t>RAGUNDA</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44605-2024</t>
        </is>
      </c>
      <c r="B909" s="1" t="n">
        <v>45574.51185185185</v>
      </c>
      <c r="C909" s="1" t="n">
        <v>45930</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51396-2024</t>
        </is>
      </c>
      <c r="B910" s="1" t="n">
        <v>45604.4190625</v>
      </c>
      <c r="C910" s="1" t="n">
        <v>45930</v>
      </c>
      <c r="D910" t="inlineStr">
        <is>
          <t>JÄMTLANDS LÄN</t>
        </is>
      </c>
      <c r="E910" t="inlineStr">
        <is>
          <t>RAGUNDA</t>
        </is>
      </c>
      <c r="G910" t="n">
        <v>0.8</v>
      </c>
      <c r="H910" t="n">
        <v>0</v>
      </c>
      <c r="I910" t="n">
        <v>0</v>
      </c>
      <c r="J910" t="n">
        <v>0</v>
      </c>
      <c r="K910" t="n">
        <v>0</v>
      </c>
      <c r="L910" t="n">
        <v>0</v>
      </c>
      <c r="M910" t="n">
        <v>0</v>
      </c>
      <c r="N910" t="n">
        <v>0</v>
      </c>
      <c r="O910" t="n">
        <v>0</v>
      </c>
      <c r="P910" t="n">
        <v>0</v>
      </c>
      <c r="Q910" t="n">
        <v>0</v>
      </c>
      <c r="R910" s="2" t="inlineStr"/>
    </row>
    <row r="911" ht="15" customHeight="1">
      <c r="A911" t="inlineStr">
        <is>
          <t>A 26640-2025</t>
        </is>
      </c>
      <c r="B911" s="1" t="n">
        <v>45810.36495370371</v>
      </c>
      <c r="C911" s="1" t="n">
        <v>45930</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19438-2023</t>
        </is>
      </c>
      <c r="B912" s="1" t="n">
        <v>45049</v>
      </c>
      <c r="C912" s="1" t="n">
        <v>45930</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53762-2023</t>
        </is>
      </c>
      <c r="B913" s="1" t="n">
        <v>45230.96376157407</v>
      </c>
      <c r="C913" s="1" t="n">
        <v>45930</v>
      </c>
      <c r="D913" t="inlineStr">
        <is>
          <t>JÄMTLANDS LÄN</t>
        </is>
      </c>
      <c r="E913" t="inlineStr">
        <is>
          <t>RAGUNDA</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19089-2024</t>
        </is>
      </c>
      <c r="B914" s="1" t="n">
        <v>45428.00471064815</v>
      </c>
      <c r="C914" s="1" t="n">
        <v>45930</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53136-2024</t>
        </is>
      </c>
      <c r="B915" s="1" t="n">
        <v>45611.5953125</v>
      </c>
      <c r="C915" s="1" t="n">
        <v>45930</v>
      </c>
      <c r="D915" t="inlineStr">
        <is>
          <t>JÄMTLANDS LÄN</t>
        </is>
      </c>
      <c r="E915" t="inlineStr">
        <is>
          <t>RAGUNDA</t>
        </is>
      </c>
      <c r="G915" t="n">
        <v>3.8</v>
      </c>
      <c r="H915" t="n">
        <v>0</v>
      </c>
      <c r="I915" t="n">
        <v>0</v>
      </c>
      <c r="J915" t="n">
        <v>0</v>
      </c>
      <c r="K915" t="n">
        <v>0</v>
      </c>
      <c r="L915" t="n">
        <v>0</v>
      </c>
      <c r="M915" t="n">
        <v>0</v>
      </c>
      <c r="N915" t="n">
        <v>0</v>
      </c>
      <c r="O915" t="n">
        <v>0</v>
      </c>
      <c r="P915" t="n">
        <v>0</v>
      </c>
      <c r="Q915" t="n">
        <v>0</v>
      </c>
      <c r="R915" s="2" t="inlineStr"/>
    </row>
    <row r="916" ht="15" customHeight="1">
      <c r="A916" t="inlineStr">
        <is>
          <t>A 52228-2024</t>
        </is>
      </c>
      <c r="B916" s="1" t="n">
        <v>45608.6078587963</v>
      </c>
      <c r="C916" s="1" t="n">
        <v>45930</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59372-2024</t>
        </is>
      </c>
      <c r="B917" s="1" t="n">
        <v>45638.34431712963</v>
      </c>
      <c r="C917" s="1" t="n">
        <v>45930</v>
      </c>
      <c r="D917" t="inlineStr">
        <is>
          <t>JÄMTLANDS LÄN</t>
        </is>
      </c>
      <c r="E917" t="inlineStr">
        <is>
          <t>RAGUNDA</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62115-2024</t>
        </is>
      </c>
      <c r="B918" s="1" t="n">
        <v>45656</v>
      </c>
      <c r="C918" s="1" t="n">
        <v>45930</v>
      </c>
      <c r="D918" t="inlineStr">
        <is>
          <t>JÄMTLANDS LÄN</t>
        </is>
      </c>
      <c r="E918" t="inlineStr">
        <is>
          <t>RAGUNDA</t>
        </is>
      </c>
      <c r="G918" t="n">
        <v>3.3</v>
      </c>
      <c r="H918" t="n">
        <v>0</v>
      </c>
      <c r="I918" t="n">
        <v>0</v>
      </c>
      <c r="J918" t="n">
        <v>0</v>
      </c>
      <c r="K918" t="n">
        <v>0</v>
      </c>
      <c r="L918" t="n">
        <v>0</v>
      </c>
      <c r="M918" t="n">
        <v>0</v>
      </c>
      <c r="N918" t="n">
        <v>0</v>
      </c>
      <c r="O918" t="n">
        <v>0</v>
      </c>
      <c r="P918" t="n">
        <v>0</v>
      </c>
      <c r="Q918" t="n">
        <v>0</v>
      </c>
      <c r="R918" s="2" t="inlineStr"/>
    </row>
    <row r="919" ht="15" customHeight="1">
      <c r="A919" t="inlineStr">
        <is>
          <t>A 4594-2024</t>
        </is>
      </c>
      <c r="B919" s="1" t="n">
        <v>45327.94459490741</v>
      </c>
      <c r="C919" s="1" t="n">
        <v>45930</v>
      </c>
      <c r="D919" t="inlineStr">
        <is>
          <t>JÄMTLANDS LÄN</t>
        </is>
      </c>
      <c r="E919" t="inlineStr">
        <is>
          <t>RAGUNDA</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3018-2024</t>
        </is>
      </c>
      <c r="B920" s="1" t="n">
        <v>45315.9492824074</v>
      </c>
      <c r="C920" s="1" t="n">
        <v>45930</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48065-2023</t>
        </is>
      </c>
      <c r="B921" s="1" t="n">
        <v>45204.94399305555</v>
      </c>
      <c r="C921" s="1" t="n">
        <v>45930</v>
      </c>
      <c r="D921" t="inlineStr">
        <is>
          <t>JÄMTLANDS LÄN</t>
        </is>
      </c>
      <c r="E921" t="inlineStr">
        <is>
          <t>RAGUNDA</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44597-2024</t>
        </is>
      </c>
      <c r="B922" s="1" t="n">
        <v>45574.51087962963</v>
      </c>
      <c r="C922" s="1" t="n">
        <v>45930</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44598-2024</t>
        </is>
      </c>
      <c r="B923" s="1" t="n">
        <v>45574.51090277778</v>
      </c>
      <c r="C923" s="1" t="n">
        <v>45930</v>
      </c>
      <c r="D923" t="inlineStr">
        <is>
          <t>JÄMTLANDS LÄN</t>
        </is>
      </c>
      <c r="E923" t="inlineStr">
        <is>
          <t>RAGUNDA</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49659-2023</t>
        </is>
      </c>
      <c r="B924" s="1" t="n">
        <v>45211.95134259259</v>
      </c>
      <c r="C924" s="1" t="n">
        <v>45930</v>
      </c>
      <c r="D924" t="inlineStr">
        <is>
          <t>JÄMTLANDS LÄN</t>
        </is>
      </c>
      <c r="E924" t="inlineStr">
        <is>
          <t>RAGUNDA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23734-2024</t>
        </is>
      </c>
      <c r="B925" s="1" t="n">
        <v>45454.95960648148</v>
      </c>
      <c r="C925" s="1" t="n">
        <v>45930</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12653-2024</t>
        </is>
      </c>
      <c r="B926" s="1" t="n">
        <v>45384</v>
      </c>
      <c r="C926" s="1" t="n">
        <v>45930</v>
      </c>
      <c r="D926" t="inlineStr">
        <is>
          <t>JÄMTLANDS LÄN</t>
        </is>
      </c>
      <c r="E926" t="inlineStr">
        <is>
          <t>RAGUNDA</t>
        </is>
      </c>
      <c r="G926" t="n">
        <v>1.1</v>
      </c>
      <c r="H926" t="n">
        <v>0</v>
      </c>
      <c r="I926" t="n">
        <v>0</v>
      </c>
      <c r="J926" t="n">
        <v>0</v>
      </c>
      <c r="K926" t="n">
        <v>0</v>
      </c>
      <c r="L926" t="n">
        <v>0</v>
      </c>
      <c r="M926" t="n">
        <v>0</v>
      </c>
      <c r="N926" t="n">
        <v>0</v>
      </c>
      <c r="O926" t="n">
        <v>0</v>
      </c>
      <c r="P926" t="n">
        <v>0</v>
      </c>
      <c r="Q926" t="n">
        <v>0</v>
      </c>
      <c r="R926" s="2" t="inlineStr"/>
    </row>
    <row r="927" ht="15" customHeight="1">
      <c r="A927" t="inlineStr">
        <is>
          <t>A 19404-2025</t>
        </is>
      </c>
      <c r="B927" s="1" t="n">
        <v>45769.67802083334</v>
      </c>
      <c r="C927" s="1" t="n">
        <v>45930</v>
      </c>
      <c r="D927" t="inlineStr">
        <is>
          <t>JÄMTLANDS LÄN</t>
        </is>
      </c>
      <c r="E927" t="inlineStr">
        <is>
          <t>RAGUNDA</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27510-2025</t>
        </is>
      </c>
      <c r="B928" s="1" t="n">
        <v>45813.42790509259</v>
      </c>
      <c r="C928" s="1" t="n">
        <v>45930</v>
      </c>
      <c r="D928" t="inlineStr">
        <is>
          <t>JÄMTLANDS LÄN</t>
        </is>
      </c>
      <c r="E928" t="inlineStr">
        <is>
          <t>RAGUNDA</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34483-2023</t>
        </is>
      </c>
      <c r="B929" s="1" t="n">
        <v>45139.94681712963</v>
      </c>
      <c r="C929" s="1" t="n">
        <v>45930</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23567-2024</t>
        </is>
      </c>
      <c r="B930" s="1" t="n">
        <v>45453.95538194444</v>
      </c>
      <c r="C930" s="1" t="n">
        <v>45930</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57116-2024</t>
        </is>
      </c>
      <c r="B931" s="1" t="n">
        <v>45629.36513888889</v>
      </c>
      <c r="C931" s="1" t="n">
        <v>45930</v>
      </c>
      <c r="D931" t="inlineStr">
        <is>
          <t>JÄMTLANDS LÄN</t>
        </is>
      </c>
      <c r="E931" t="inlineStr">
        <is>
          <t>RAGUNDA</t>
        </is>
      </c>
      <c r="G931" t="n">
        <v>0.6</v>
      </c>
      <c r="H931" t="n">
        <v>0</v>
      </c>
      <c r="I931" t="n">
        <v>0</v>
      </c>
      <c r="J931" t="n">
        <v>0</v>
      </c>
      <c r="K931" t="n">
        <v>0</v>
      </c>
      <c r="L931" t="n">
        <v>0</v>
      </c>
      <c r="M931" t="n">
        <v>0</v>
      </c>
      <c r="N931" t="n">
        <v>0</v>
      </c>
      <c r="O931" t="n">
        <v>0</v>
      </c>
      <c r="P931" t="n">
        <v>0</v>
      </c>
      <c r="Q931" t="n">
        <v>0</v>
      </c>
      <c r="R931" s="2" t="inlineStr"/>
    </row>
    <row r="932" ht="15" customHeight="1">
      <c r="A932" t="inlineStr">
        <is>
          <t>A 38312-2024</t>
        </is>
      </c>
      <c r="B932" s="1" t="n">
        <v>45545.64957175926</v>
      </c>
      <c r="C932" s="1" t="n">
        <v>45930</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9262-2025</t>
        </is>
      </c>
      <c r="B933" s="1" t="n">
        <v>45714.60649305556</v>
      </c>
      <c r="C933" s="1" t="n">
        <v>45930</v>
      </c>
      <c r="D933" t="inlineStr">
        <is>
          <t>JÄMTLANDS LÄN</t>
        </is>
      </c>
      <c r="E933" t="inlineStr">
        <is>
          <t>RAGUNDA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16982-2024</t>
        </is>
      </c>
      <c r="B934" s="1" t="n">
        <v>45412.02506944445</v>
      </c>
      <c r="C934" s="1" t="n">
        <v>45930</v>
      </c>
      <c r="D934" t="inlineStr">
        <is>
          <t>JÄMTLANDS LÄN</t>
        </is>
      </c>
      <c r="E934" t="inlineStr">
        <is>
          <t>RAGUNDA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18989-2025</t>
        </is>
      </c>
      <c r="B935" s="1" t="n">
        <v>45764</v>
      </c>
      <c r="C935" s="1" t="n">
        <v>45930</v>
      </c>
      <c r="D935" t="inlineStr">
        <is>
          <t>JÄMTLANDS LÄN</t>
        </is>
      </c>
      <c r="E935" t="inlineStr">
        <is>
          <t>RAGUNDA</t>
        </is>
      </c>
      <c r="G935" t="n">
        <v>0.9</v>
      </c>
      <c r="H935" t="n">
        <v>0</v>
      </c>
      <c r="I935" t="n">
        <v>0</v>
      </c>
      <c r="J935" t="n">
        <v>0</v>
      </c>
      <c r="K935" t="n">
        <v>0</v>
      </c>
      <c r="L935" t="n">
        <v>0</v>
      </c>
      <c r="M935" t="n">
        <v>0</v>
      </c>
      <c r="N935" t="n">
        <v>0</v>
      </c>
      <c r="O935" t="n">
        <v>0</v>
      </c>
      <c r="P935" t="n">
        <v>0</v>
      </c>
      <c r="Q935" t="n">
        <v>0</v>
      </c>
      <c r="R935" s="2" t="inlineStr"/>
    </row>
    <row r="936" ht="15" customHeight="1">
      <c r="A936" t="inlineStr">
        <is>
          <t>A 58564-2024</t>
        </is>
      </c>
      <c r="B936" s="1" t="n">
        <v>45635.47243055556</v>
      </c>
      <c r="C936" s="1" t="n">
        <v>45930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53144-2024</t>
        </is>
      </c>
      <c r="B937" s="1" t="n">
        <v>45611</v>
      </c>
      <c r="C937" s="1" t="n">
        <v>45930</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28216-2025</t>
        </is>
      </c>
      <c r="B938" s="1" t="n">
        <v>45818.46898148148</v>
      </c>
      <c r="C938" s="1" t="n">
        <v>45930</v>
      </c>
      <c r="D938" t="inlineStr">
        <is>
          <t>JÄMTLANDS LÄN</t>
        </is>
      </c>
      <c r="E938" t="inlineStr">
        <is>
          <t>RAGUNDA</t>
        </is>
      </c>
      <c r="G938" t="n">
        <v>6.6</v>
      </c>
      <c r="H938" t="n">
        <v>0</v>
      </c>
      <c r="I938" t="n">
        <v>0</v>
      </c>
      <c r="J938" t="n">
        <v>0</v>
      </c>
      <c r="K938" t="n">
        <v>0</v>
      </c>
      <c r="L938" t="n">
        <v>0</v>
      </c>
      <c r="M938" t="n">
        <v>0</v>
      </c>
      <c r="N938" t="n">
        <v>0</v>
      </c>
      <c r="O938" t="n">
        <v>0</v>
      </c>
      <c r="P938" t="n">
        <v>0</v>
      </c>
      <c r="Q938" t="n">
        <v>0</v>
      </c>
      <c r="R938" s="2" t="inlineStr"/>
    </row>
    <row r="939" ht="15" customHeight="1">
      <c r="A939" t="inlineStr">
        <is>
          <t>A 28637-2025</t>
        </is>
      </c>
      <c r="B939" s="1" t="n">
        <v>45819.6359375</v>
      </c>
      <c r="C939" s="1" t="n">
        <v>45930</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5806-2025</t>
        </is>
      </c>
      <c r="B940" s="1" t="n">
        <v>45694.69826388889</v>
      </c>
      <c r="C940" s="1" t="n">
        <v>45930</v>
      </c>
      <c r="D940" t="inlineStr">
        <is>
          <t>JÄMTLANDS LÄN</t>
        </is>
      </c>
      <c r="E940" t="inlineStr">
        <is>
          <t>RAGUNDA</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20773-2024</t>
        </is>
      </c>
      <c r="B941" s="1" t="n">
        <v>45436.94636574074</v>
      </c>
      <c r="C941" s="1" t="n">
        <v>45930</v>
      </c>
      <c r="D941" t="inlineStr">
        <is>
          <t>JÄMTLANDS LÄN</t>
        </is>
      </c>
      <c r="E941" t="inlineStr">
        <is>
          <t>RAGUNDA</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28973-2025</t>
        </is>
      </c>
      <c r="B942" s="1" t="n">
        <v>45821.34513888889</v>
      </c>
      <c r="C942" s="1" t="n">
        <v>45930</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29723-2025</t>
        </is>
      </c>
      <c r="B943" s="1" t="n">
        <v>45825.57675925926</v>
      </c>
      <c r="C943" s="1" t="n">
        <v>45930</v>
      </c>
      <c r="D943" t="inlineStr">
        <is>
          <t>JÄMTLANDS LÄN</t>
        </is>
      </c>
      <c r="E943" t="inlineStr">
        <is>
          <t>RAGUNDA</t>
        </is>
      </c>
      <c r="G943" t="n">
        <v>3.1</v>
      </c>
      <c r="H943" t="n">
        <v>0</v>
      </c>
      <c r="I943" t="n">
        <v>0</v>
      </c>
      <c r="J943" t="n">
        <v>0</v>
      </c>
      <c r="K943" t="n">
        <v>0</v>
      </c>
      <c r="L943" t="n">
        <v>0</v>
      </c>
      <c r="M943" t="n">
        <v>0</v>
      </c>
      <c r="N943" t="n">
        <v>0</v>
      </c>
      <c r="O943" t="n">
        <v>0</v>
      </c>
      <c r="P943" t="n">
        <v>0</v>
      </c>
      <c r="Q943" t="n">
        <v>0</v>
      </c>
      <c r="R943" s="2" t="inlineStr"/>
    </row>
    <row r="944" ht="15" customHeight="1">
      <c r="A944" t="inlineStr">
        <is>
          <t>A 29731-2025</t>
        </is>
      </c>
      <c r="B944" s="1" t="n">
        <v>45825.58252314815</v>
      </c>
      <c r="C944" s="1" t="n">
        <v>45930</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29714-2025</t>
        </is>
      </c>
      <c r="B945" s="1" t="n">
        <v>45825.56762731481</v>
      </c>
      <c r="C945" s="1" t="n">
        <v>45930</v>
      </c>
      <c r="D945" t="inlineStr">
        <is>
          <t>JÄMTLANDS LÄN</t>
        </is>
      </c>
      <c r="E945" t="inlineStr">
        <is>
          <t>RAGUNDA</t>
        </is>
      </c>
      <c r="G945" t="n">
        <v>2.7</v>
      </c>
      <c r="H945" t="n">
        <v>0</v>
      </c>
      <c r="I945" t="n">
        <v>0</v>
      </c>
      <c r="J945" t="n">
        <v>0</v>
      </c>
      <c r="K945" t="n">
        <v>0</v>
      </c>
      <c r="L945" t="n">
        <v>0</v>
      </c>
      <c r="M945" t="n">
        <v>0</v>
      </c>
      <c r="N945" t="n">
        <v>0</v>
      </c>
      <c r="O945" t="n">
        <v>0</v>
      </c>
      <c r="P945" t="n">
        <v>0</v>
      </c>
      <c r="Q945" t="n">
        <v>0</v>
      </c>
      <c r="R945" s="2" t="inlineStr"/>
    </row>
    <row r="946" ht="15" customHeight="1">
      <c r="A946" t="inlineStr">
        <is>
          <t>A 30088-2025</t>
        </is>
      </c>
      <c r="B946" s="1" t="n">
        <v>45826.65759259259</v>
      </c>
      <c r="C946" s="1" t="n">
        <v>45930</v>
      </c>
      <c r="D946" t="inlineStr">
        <is>
          <t>JÄMTLANDS LÄN</t>
        </is>
      </c>
      <c r="E946" t="inlineStr">
        <is>
          <t>RAGUNDA</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14076-2023</t>
        </is>
      </c>
      <c r="B947" s="1" t="n">
        <v>45009.0897337963</v>
      </c>
      <c r="C947" s="1" t="n">
        <v>45930</v>
      </c>
      <c r="D947" t="inlineStr">
        <is>
          <t>JÄMTLANDS LÄN</t>
        </is>
      </c>
      <c r="E947" t="inlineStr">
        <is>
          <t>RAGUNDA</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45335-2023</t>
        </is>
      </c>
      <c r="B948" s="1" t="n">
        <v>45191</v>
      </c>
      <c r="C948" s="1" t="n">
        <v>45930</v>
      </c>
      <c r="D948" t="inlineStr">
        <is>
          <t>JÄMTLANDS LÄN</t>
        </is>
      </c>
      <c r="E948" t="inlineStr">
        <is>
          <t>RAGUNDA</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31463-2024</t>
        </is>
      </c>
      <c r="B949" s="1" t="n">
        <v>45505</v>
      </c>
      <c r="C949" s="1" t="n">
        <v>45930</v>
      </c>
      <c r="D949" t="inlineStr">
        <is>
          <t>JÄMTLANDS LÄN</t>
        </is>
      </c>
      <c r="E949" t="inlineStr">
        <is>
          <t>RAGUNDA</t>
        </is>
      </c>
      <c r="F949" t="inlineStr">
        <is>
          <t>SCA</t>
        </is>
      </c>
      <c r="G949" t="n">
        <v>20.3</v>
      </c>
      <c r="H949" t="n">
        <v>0</v>
      </c>
      <c r="I949" t="n">
        <v>0</v>
      </c>
      <c r="J949" t="n">
        <v>0</v>
      </c>
      <c r="K949" t="n">
        <v>0</v>
      </c>
      <c r="L949" t="n">
        <v>0</v>
      </c>
      <c r="M949" t="n">
        <v>0</v>
      </c>
      <c r="N949" t="n">
        <v>0</v>
      </c>
      <c r="O949" t="n">
        <v>0</v>
      </c>
      <c r="P949" t="n">
        <v>0</v>
      </c>
      <c r="Q949" t="n">
        <v>0</v>
      </c>
      <c r="R949" s="2" t="inlineStr"/>
    </row>
    <row r="950" ht="15" customHeight="1">
      <c r="A950" t="inlineStr">
        <is>
          <t>A 10972-2022</t>
        </is>
      </c>
      <c r="B950" s="1" t="n">
        <v>44628</v>
      </c>
      <c r="C950" s="1" t="n">
        <v>45930</v>
      </c>
      <c r="D950" t="inlineStr">
        <is>
          <t>JÄMTLANDS LÄN</t>
        </is>
      </c>
      <c r="E950" t="inlineStr">
        <is>
          <t>RAGUNDA</t>
        </is>
      </c>
      <c r="G950" t="n">
        <v>9.5</v>
      </c>
      <c r="H950" t="n">
        <v>0</v>
      </c>
      <c r="I950" t="n">
        <v>0</v>
      </c>
      <c r="J950" t="n">
        <v>0</v>
      </c>
      <c r="K950" t="n">
        <v>0</v>
      </c>
      <c r="L950" t="n">
        <v>0</v>
      </c>
      <c r="M950" t="n">
        <v>0</v>
      </c>
      <c r="N950" t="n">
        <v>0</v>
      </c>
      <c r="O950" t="n">
        <v>0</v>
      </c>
      <c r="P950" t="n">
        <v>0</v>
      </c>
      <c r="Q950" t="n">
        <v>0</v>
      </c>
      <c r="R950" s="2" t="inlineStr"/>
    </row>
    <row r="951" ht="15" customHeight="1">
      <c r="A951" t="inlineStr">
        <is>
          <t>A 30348-2025</t>
        </is>
      </c>
      <c r="B951" s="1" t="n">
        <v>45827.53178240741</v>
      </c>
      <c r="C951" s="1" t="n">
        <v>45930</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30434-2025</t>
        </is>
      </c>
      <c r="B952" s="1" t="n">
        <v>45827.63582175926</v>
      </c>
      <c r="C952" s="1" t="n">
        <v>45930</v>
      </c>
      <c r="D952" t="inlineStr">
        <is>
          <t>JÄMTLANDS LÄN</t>
        </is>
      </c>
      <c r="E952" t="inlineStr">
        <is>
          <t>RAGUNDA</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43102-2023</t>
        </is>
      </c>
      <c r="B953" s="1" t="n">
        <v>45182</v>
      </c>
      <c r="C953" s="1" t="n">
        <v>45930</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30883-2025</t>
        </is>
      </c>
      <c r="B954" s="1" t="n">
        <v>45832.34552083333</v>
      </c>
      <c r="C954" s="1" t="n">
        <v>45930</v>
      </c>
      <c r="D954" t="inlineStr">
        <is>
          <t>JÄMTLANDS LÄN</t>
        </is>
      </c>
      <c r="E954" t="inlineStr">
        <is>
          <t>RAGUNDA</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6694-2024</t>
        </is>
      </c>
      <c r="B955" s="1" t="n">
        <v>45341.95381944445</v>
      </c>
      <c r="C955" s="1" t="n">
        <v>45930</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30880-2025</t>
        </is>
      </c>
      <c r="B956" s="1" t="n">
        <v>45832.34524305556</v>
      </c>
      <c r="C956" s="1" t="n">
        <v>45930</v>
      </c>
      <c r="D956" t="inlineStr">
        <is>
          <t>JÄMTLANDS LÄN</t>
        </is>
      </c>
      <c r="E956" t="inlineStr">
        <is>
          <t>RAGUNDA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30887-2025</t>
        </is>
      </c>
      <c r="B957" s="1" t="n">
        <v>45832.3459375</v>
      </c>
      <c r="C957" s="1" t="n">
        <v>45930</v>
      </c>
      <c r="D957" t="inlineStr">
        <is>
          <t>JÄMTLANDS LÄN</t>
        </is>
      </c>
      <c r="E957" t="inlineStr">
        <is>
          <t>RAGUNDA</t>
        </is>
      </c>
      <c r="F957" t="inlineStr">
        <is>
          <t>SCA</t>
        </is>
      </c>
      <c r="G957" t="n">
        <v>10.1</v>
      </c>
      <c r="H957" t="n">
        <v>0</v>
      </c>
      <c r="I957" t="n">
        <v>0</v>
      </c>
      <c r="J957" t="n">
        <v>0</v>
      </c>
      <c r="K957" t="n">
        <v>0</v>
      </c>
      <c r="L957" t="n">
        <v>0</v>
      </c>
      <c r="M957" t="n">
        <v>0</v>
      </c>
      <c r="N957" t="n">
        <v>0</v>
      </c>
      <c r="O957" t="n">
        <v>0</v>
      </c>
      <c r="P957" t="n">
        <v>0</v>
      </c>
      <c r="Q957" t="n">
        <v>0</v>
      </c>
      <c r="R957" s="2" t="inlineStr"/>
    </row>
    <row r="958" ht="15" customHeight="1">
      <c r="A958" t="inlineStr">
        <is>
          <t>A 21083-2024</t>
        </is>
      </c>
      <c r="B958" s="1" t="n">
        <v>45439.92752314815</v>
      </c>
      <c r="C958" s="1" t="n">
        <v>45930</v>
      </c>
      <c r="D958" t="inlineStr">
        <is>
          <t>JÄMTLANDS LÄN</t>
        </is>
      </c>
      <c r="E958" t="inlineStr">
        <is>
          <t>RAGUNDA</t>
        </is>
      </c>
      <c r="G958" t="n">
        <v>1.5</v>
      </c>
      <c r="H958" t="n">
        <v>0</v>
      </c>
      <c r="I958" t="n">
        <v>0</v>
      </c>
      <c r="J958" t="n">
        <v>0</v>
      </c>
      <c r="K958" t="n">
        <v>0</v>
      </c>
      <c r="L958" t="n">
        <v>0</v>
      </c>
      <c r="M958" t="n">
        <v>0</v>
      </c>
      <c r="N958" t="n">
        <v>0</v>
      </c>
      <c r="O958" t="n">
        <v>0</v>
      </c>
      <c r="P958" t="n">
        <v>0</v>
      </c>
      <c r="Q958" t="n">
        <v>0</v>
      </c>
      <c r="R958" s="2" t="inlineStr"/>
    </row>
    <row r="959" ht="15" customHeight="1">
      <c r="A959" t="inlineStr">
        <is>
          <t>A 59759-2024</t>
        </is>
      </c>
      <c r="B959" s="1" t="n">
        <v>45639.55240740741</v>
      </c>
      <c r="C959" s="1" t="n">
        <v>45930</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12204-2025</t>
        </is>
      </c>
      <c r="B960" s="1" t="n">
        <v>45729.51074074074</v>
      </c>
      <c r="C960" s="1" t="n">
        <v>45930</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11245-2025</t>
        </is>
      </c>
      <c r="B961" s="1" t="n">
        <v>45726.38575231482</v>
      </c>
      <c r="C961" s="1" t="n">
        <v>45930</v>
      </c>
      <c r="D961" t="inlineStr">
        <is>
          <t>JÄMTLANDS LÄN</t>
        </is>
      </c>
      <c r="E961" t="inlineStr">
        <is>
          <t>RAGUNDA</t>
        </is>
      </c>
      <c r="G961" t="n">
        <v>2.3</v>
      </c>
      <c r="H961" t="n">
        <v>0</v>
      </c>
      <c r="I961" t="n">
        <v>0</v>
      </c>
      <c r="J961" t="n">
        <v>0</v>
      </c>
      <c r="K961" t="n">
        <v>0</v>
      </c>
      <c r="L961" t="n">
        <v>0</v>
      </c>
      <c r="M961" t="n">
        <v>0</v>
      </c>
      <c r="N961" t="n">
        <v>0</v>
      </c>
      <c r="O961" t="n">
        <v>0</v>
      </c>
      <c r="P961" t="n">
        <v>0</v>
      </c>
      <c r="Q961" t="n">
        <v>0</v>
      </c>
      <c r="R961" s="2" t="inlineStr"/>
    </row>
    <row r="962" ht="15" customHeight="1">
      <c r="A962" t="inlineStr">
        <is>
          <t>A 13905-2025</t>
        </is>
      </c>
      <c r="B962" s="1" t="n">
        <v>45737.63574074074</v>
      </c>
      <c r="C962" s="1" t="n">
        <v>45930</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31882-2025</t>
        </is>
      </c>
      <c r="B963" s="1" t="n">
        <v>45834.65662037037</v>
      </c>
      <c r="C963" s="1" t="n">
        <v>45930</v>
      </c>
      <c r="D963" t="inlineStr">
        <is>
          <t>JÄMTLANDS LÄN</t>
        </is>
      </c>
      <c r="E963" t="inlineStr">
        <is>
          <t>RAGUNDA</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32762-2025</t>
        </is>
      </c>
      <c r="B964" s="1" t="n">
        <v>45838</v>
      </c>
      <c r="C964" s="1" t="n">
        <v>45930</v>
      </c>
      <c r="D964" t="inlineStr">
        <is>
          <t>JÄMTLANDS LÄN</t>
        </is>
      </c>
      <c r="E964" t="inlineStr">
        <is>
          <t>RAGUNDA</t>
        </is>
      </c>
      <c r="G964" t="n">
        <v>0.6</v>
      </c>
      <c r="H964" t="n">
        <v>0</v>
      </c>
      <c r="I964" t="n">
        <v>0</v>
      </c>
      <c r="J964" t="n">
        <v>0</v>
      </c>
      <c r="K964" t="n">
        <v>0</v>
      </c>
      <c r="L964" t="n">
        <v>0</v>
      </c>
      <c r="M964" t="n">
        <v>0</v>
      </c>
      <c r="N964" t="n">
        <v>0</v>
      </c>
      <c r="O964" t="n">
        <v>0</v>
      </c>
      <c r="P964" t="n">
        <v>0</v>
      </c>
      <c r="Q964" t="n">
        <v>0</v>
      </c>
      <c r="R964" s="2" t="inlineStr"/>
    </row>
    <row r="965" ht="15" customHeight="1">
      <c r="A965" t="inlineStr">
        <is>
          <t>A 4125-2024</t>
        </is>
      </c>
      <c r="B965" s="1" t="n">
        <v>45323</v>
      </c>
      <c r="C965" s="1" t="n">
        <v>45930</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44980-2023</t>
        </is>
      </c>
      <c r="B966" s="1" t="n">
        <v>45190</v>
      </c>
      <c r="C966" s="1" t="n">
        <v>45930</v>
      </c>
      <c r="D966" t="inlineStr">
        <is>
          <t>JÄMTLANDS LÄN</t>
        </is>
      </c>
      <c r="E966" t="inlineStr">
        <is>
          <t>RAGUNDA</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32306-2025</t>
        </is>
      </c>
      <c r="B967" s="1" t="n">
        <v>45835.72046296296</v>
      </c>
      <c r="C967" s="1" t="n">
        <v>45930</v>
      </c>
      <c r="D967" t="inlineStr">
        <is>
          <t>JÄMTLANDS LÄN</t>
        </is>
      </c>
      <c r="E967" t="inlineStr">
        <is>
          <t>RAGUNDA</t>
        </is>
      </c>
      <c r="G967" t="n">
        <v>10.2</v>
      </c>
      <c r="H967" t="n">
        <v>0</v>
      </c>
      <c r="I967" t="n">
        <v>0</v>
      </c>
      <c r="J967" t="n">
        <v>0</v>
      </c>
      <c r="K967" t="n">
        <v>0</v>
      </c>
      <c r="L967" t="n">
        <v>0</v>
      </c>
      <c r="M967" t="n">
        <v>0</v>
      </c>
      <c r="N967" t="n">
        <v>0</v>
      </c>
      <c r="O967" t="n">
        <v>0</v>
      </c>
      <c r="P967" t="n">
        <v>0</v>
      </c>
      <c r="Q967" t="n">
        <v>0</v>
      </c>
      <c r="R967" s="2" t="inlineStr"/>
    </row>
    <row r="968" ht="15" customHeight="1">
      <c r="A968" t="inlineStr">
        <is>
          <t>A 32757-2025</t>
        </is>
      </c>
      <c r="B968" s="1" t="n">
        <v>45838</v>
      </c>
      <c r="C968" s="1" t="n">
        <v>45930</v>
      </c>
      <c r="D968" t="inlineStr">
        <is>
          <t>JÄMTLANDS LÄN</t>
        </is>
      </c>
      <c r="E968" t="inlineStr">
        <is>
          <t>RAGUNDA</t>
        </is>
      </c>
      <c r="G968" t="n">
        <v>4.5</v>
      </c>
      <c r="H968" t="n">
        <v>0</v>
      </c>
      <c r="I968" t="n">
        <v>0</v>
      </c>
      <c r="J968" t="n">
        <v>0</v>
      </c>
      <c r="K968" t="n">
        <v>0</v>
      </c>
      <c r="L968" t="n">
        <v>0</v>
      </c>
      <c r="M968" t="n">
        <v>0</v>
      </c>
      <c r="N968" t="n">
        <v>0</v>
      </c>
      <c r="O968" t="n">
        <v>0</v>
      </c>
      <c r="P968" t="n">
        <v>0</v>
      </c>
      <c r="Q968" t="n">
        <v>0</v>
      </c>
      <c r="R968" s="2" t="inlineStr"/>
    </row>
    <row r="969" ht="15" customHeight="1">
      <c r="A969" t="inlineStr">
        <is>
          <t>A 32660-2025</t>
        </is>
      </c>
      <c r="B969" s="1" t="n">
        <v>45838.67887731481</v>
      </c>
      <c r="C969" s="1" t="n">
        <v>45930</v>
      </c>
      <c r="D969" t="inlineStr">
        <is>
          <t>JÄMTLANDS LÄN</t>
        </is>
      </c>
      <c r="E969" t="inlineStr">
        <is>
          <t>RAGUNDA</t>
        </is>
      </c>
      <c r="F969" t="inlineStr">
        <is>
          <t>SCA</t>
        </is>
      </c>
      <c r="G969" t="n">
        <v>10.3</v>
      </c>
      <c r="H969" t="n">
        <v>0</v>
      </c>
      <c r="I969" t="n">
        <v>0</v>
      </c>
      <c r="J969" t="n">
        <v>0</v>
      </c>
      <c r="K969" t="n">
        <v>0</v>
      </c>
      <c r="L969" t="n">
        <v>0</v>
      </c>
      <c r="M969" t="n">
        <v>0</v>
      </c>
      <c r="N969" t="n">
        <v>0</v>
      </c>
      <c r="O969" t="n">
        <v>0</v>
      </c>
      <c r="P969" t="n">
        <v>0</v>
      </c>
      <c r="Q969" t="n">
        <v>0</v>
      </c>
      <c r="R969" s="2" t="inlineStr"/>
    </row>
    <row r="970" ht="15" customHeight="1">
      <c r="A970" t="inlineStr">
        <is>
          <t>A 32527-2025</t>
        </is>
      </c>
      <c r="B970" s="1" t="n">
        <v>45838.48996527777</v>
      </c>
      <c r="C970" s="1" t="n">
        <v>45930</v>
      </c>
      <c r="D970" t="inlineStr">
        <is>
          <t>JÄMTLANDS LÄN</t>
        </is>
      </c>
      <c r="E970" t="inlineStr">
        <is>
          <t>RAGUNDA</t>
        </is>
      </c>
      <c r="G970" t="n">
        <v>5</v>
      </c>
      <c r="H970" t="n">
        <v>0</v>
      </c>
      <c r="I970" t="n">
        <v>0</v>
      </c>
      <c r="J970" t="n">
        <v>0</v>
      </c>
      <c r="K970" t="n">
        <v>0</v>
      </c>
      <c r="L970" t="n">
        <v>0</v>
      </c>
      <c r="M970" t="n">
        <v>0</v>
      </c>
      <c r="N970" t="n">
        <v>0</v>
      </c>
      <c r="O970" t="n">
        <v>0</v>
      </c>
      <c r="P970" t="n">
        <v>0</v>
      </c>
      <c r="Q970" t="n">
        <v>0</v>
      </c>
      <c r="R970" s="2" t="inlineStr"/>
    </row>
    <row r="971" ht="15" customHeight="1">
      <c r="A971" t="inlineStr">
        <is>
          <t>A 32021-2025</t>
        </is>
      </c>
      <c r="B971" s="1" t="n">
        <v>45835.40668981482</v>
      </c>
      <c r="C971" s="1" t="n">
        <v>45930</v>
      </c>
      <c r="D971" t="inlineStr">
        <is>
          <t>JÄMTLANDS LÄN</t>
        </is>
      </c>
      <c r="E971" t="inlineStr">
        <is>
          <t>RAGUNDA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45930</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32151-2025</t>
        </is>
      </c>
      <c r="B973" s="1" t="n">
        <v>45835.53166666667</v>
      </c>
      <c r="C973" s="1" t="n">
        <v>45930</v>
      </c>
      <c r="D973" t="inlineStr">
        <is>
          <t>JÄMTLANDS LÄN</t>
        </is>
      </c>
      <c r="E973" t="inlineStr">
        <is>
          <t>RAGUNDA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32096-2025</t>
        </is>
      </c>
      <c r="B974" s="1" t="n">
        <v>45835.46334490741</v>
      </c>
      <c r="C974" s="1" t="n">
        <v>45930</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32748-2025</t>
        </is>
      </c>
      <c r="B975" s="1" t="n">
        <v>45839.42822916667</v>
      </c>
      <c r="C975" s="1" t="n">
        <v>45930</v>
      </c>
      <c r="D975" t="inlineStr">
        <is>
          <t>JÄMTLANDS LÄN</t>
        </is>
      </c>
      <c r="E975" t="inlineStr">
        <is>
          <t>RAGUNDA</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32777-2025</t>
        </is>
      </c>
      <c r="B976" s="1" t="n">
        <v>45839.46915509259</v>
      </c>
      <c r="C976" s="1" t="n">
        <v>45930</v>
      </c>
      <c r="D976" t="inlineStr">
        <is>
          <t>JÄMTLANDS LÄN</t>
        </is>
      </c>
      <c r="E976" t="inlineStr">
        <is>
          <t>RAGUNDA</t>
        </is>
      </c>
      <c r="F976" t="inlineStr">
        <is>
          <t>SCA</t>
        </is>
      </c>
      <c r="G976" t="n">
        <v>21.7</v>
      </c>
      <c r="H976" t="n">
        <v>0</v>
      </c>
      <c r="I976" t="n">
        <v>0</v>
      </c>
      <c r="J976" t="n">
        <v>0</v>
      </c>
      <c r="K976" t="n">
        <v>0</v>
      </c>
      <c r="L976" t="n">
        <v>0</v>
      </c>
      <c r="M976" t="n">
        <v>0</v>
      </c>
      <c r="N976" t="n">
        <v>0</v>
      </c>
      <c r="O976" t="n">
        <v>0</v>
      </c>
      <c r="P976" t="n">
        <v>0</v>
      </c>
      <c r="Q976" t="n">
        <v>0</v>
      </c>
      <c r="R976" s="2" t="inlineStr"/>
    </row>
    <row r="977" ht="15" customHeight="1">
      <c r="A977" t="inlineStr">
        <is>
          <t>A 32430-2025</t>
        </is>
      </c>
      <c r="B977" s="1" t="n">
        <v>45838.36532407408</v>
      </c>
      <c r="C977" s="1" t="n">
        <v>45930</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32796-2025</t>
        </is>
      </c>
      <c r="B978" s="1" t="n">
        <v>45839.49082175926</v>
      </c>
      <c r="C978" s="1" t="n">
        <v>45930</v>
      </c>
      <c r="D978" t="inlineStr">
        <is>
          <t>JÄMTLANDS LÄN</t>
        </is>
      </c>
      <c r="E978" t="inlineStr">
        <is>
          <t>RAGUNDA</t>
        </is>
      </c>
      <c r="G978" t="n">
        <v>1.7</v>
      </c>
      <c r="H978" t="n">
        <v>0</v>
      </c>
      <c r="I978" t="n">
        <v>0</v>
      </c>
      <c r="J978" t="n">
        <v>0</v>
      </c>
      <c r="K978" t="n">
        <v>0</v>
      </c>
      <c r="L978" t="n">
        <v>0</v>
      </c>
      <c r="M978" t="n">
        <v>0</v>
      </c>
      <c r="N978" t="n">
        <v>0</v>
      </c>
      <c r="O978" t="n">
        <v>0</v>
      </c>
      <c r="P978" t="n">
        <v>0</v>
      </c>
      <c r="Q978" t="n">
        <v>0</v>
      </c>
      <c r="R978" s="2" t="inlineStr"/>
    </row>
    <row r="979" ht="15" customHeight="1">
      <c r="A979" t="inlineStr">
        <is>
          <t>A 32747-2025</t>
        </is>
      </c>
      <c r="B979" s="1" t="n">
        <v>45839.42810185185</v>
      </c>
      <c r="C979" s="1" t="n">
        <v>45930</v>
      </c>
      <c r="D979" t="inlineStr">
        <is>
          <t>JÄMTLANDS LÄN</t>
        </is>
      </c>
      <c r="E979" t="inlineStr">
        <is>
          <t>RAGUNDA</t>
        </is>
      </c>
      <c r="F979" t="inlineStr">
        <is>
          <t>SCA</t>
        </is>
      </c>
      <c r="G979" t="n">
        <v>4.5</v>
      </c>
      <c r="H979" t="n">
        <v>0</v>
      </c>
      <c r="I979" t="n">
        <v>0</v>
      </c>
      <c r="J979" t="n">
        <v>0</v>
      </c>
      <c r="K979" t="n">
        <v>0</v>
      </c>
      <c r="L979" t="n">
        <v>0</v>
      </c>
      <c r="M979" t="n">
        <v>0</v>
      </c>
      <c r="N979" t="n">
        <v>0</v>
      </c>
      <c r="O979" t="n">
        <v>0</v>
      </c>
      <c r="P979" t="n">
        <v>0</v>
      </c>
      <c r="Q979" t="n">
        <v>0</v>
      </c>
      <c r="R979" s="2" t="inlineStr"/>
    </row>
    <row r="980" ht="15" customHeight="1">
      <c r="A980" t="inlineStr">
        <is>
          <t>A 32751-2025</t>
        </is>
      </c>
      <c r="B980" s="1" t="n">
        <v>45839.42864583333</v>
      </c>
      <c r="C980" s="1" t="n">
        <v>45930</v>
      </c>
      <c r="D980" t="inlineStr">
        <is>
          <t>JÄMTLANDS LÄN</t>
        </is>
      </c>
      <c r="E980" t="inlineStr">
        <is>
          <t>RAGUNDA</t>
        </is>
      </c>
      <c r="F980" t="inlineStr">
        <is>
          <t>SCA</t>
        </is>
      </c>
      <c r="G980" t="n">
        <v>10</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45930</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33140-2025</t>
        </is>
      </c>
      <c r="B982" s="1" t="n">
        <v>45840.52225694444</v>
      </c>
      <c r="C982" s="1" t="n">
        <v>45930</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27777-2022</t>
        </is>
      </c>
      <c r="B983" s="1" t="n">
        <v>44743</v>
      </c>
      <c r="C983" s="1" t="n">
        <v>45930</v>
      </c>
      <c r="D983" t="inlineStr">
        <is>
          <t>JÄMTLANDS LÄN</t>
        </is>
      </c>
      <c r="E983" t="inlineStr">
        <is>
          <t>RAGUNDA</t>
        </is>
      </c>
      <c r="G983" t="n">
        <v>1.5</v>
      </c>
      <c r="H983" t="n">
        <v>0</v>
      </c>
      <c r="I983" t="n">
        <v>0</v>
      </c>
      <c r="J983" t="n">
        <v>0</v>
      </c>
      <c r="K983" t="n">
        <v>0</v>
      </c>
      <c r="L983" t="n">
        <v>0</v>
      </c>
      <c r="M983" t="n">
        <v>0</v>
      </c>
      <c r="N983" t="n">
        <v>0</v>
      </c>
      <c r="O983" t="n">
        <v>0</v>
      </c>
      <c r="P983" t="n">
        <v>0</v>
      </c>
      <c r="Q983" t="n">
        <v>0</v>
      </c>
      <c r="R983" s="2" t="inlineStr"/>
    </row>
    <row r="984" ht="15" customHeight="1">
      <c r="A984" t="inlineStr">
        <is>
          <t>A 33763-2025</t>
        </is>
      </c>
      <c r="B984" s="1" t="n">
        <v>45842.38579861111</v>
      </c>
      <c r="C984" s="1" t="n">
        <v>45930</v>
      </c>
      <c r="D984" t="inlineStr">
        <is>
          <t>JÄMTLANDS LÄN</t>
        </is>
      </c>
      <c r="E984" t="inlineStr">
        <is>
          <t>RAGUNDA</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51245-2024</t>
        </is>
      </c>
      <c r="B985" s="1" t="n">
        <v>45603.67850694444</v>
      </c>
      <c r="C985" s="1" t="n">
        <v>45930</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33556-2025</t>
        </is>
      </c>
      <c r="B986" s="1" t="n">
        <v>45841.57427083333</v>
      </c>
      <c r="C986" s="1" t="n">
        <v>45930</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61923-2024</t>
        </is>
      </c>
      <c r="B987" s="1" t="n">
        <v>45653.44836805556</v>
      </c>
      <c r="C987" s="1" t="n">
        <v>45930</v>
      </c>
      <c r="D987" t="inlineStr">
        <is>
          <t>JÄMTLANDS LÄN</t>
        </is>
      </c>
      <c r="E987" t="inlineStr">
        <is>
          <t>RAGUNDA</t>
        </is>
      </c>
      <c r="F987" t="inlineStr">
        <is>
          <t>SCA</t>
        </is>
      </c>
      <c r="G987" t="n">
        <v>11.1</v>
      </c>
      <c r="H987" t="n">
        <v>0</v>
      </c>
      <c r="I987" t="n">
        <v>0</v>
      </c>
      <c r="J987" t="n">
        <v>0</v>
      </c>
      <c r="K987" t="n">
        <v>0</v>
      </c>
      <c r="L987" t="n">
        <v>0</v>
      </c>
      <c r="M987" t="n">
        <v>0</v>
      </c>
      <c r="N987" t="n">
        <v>0</v>
      </c>
      <c r="O987" t="n">
        <v>0</v>
      </c>
      <c r="P987" t="n">
        <v>0</v>
      </c>
      <c r="Q987" t="n">
        <v>0</v>
      </c>
      <c r="R987" s="2" t="inlineStr"/>
    </row>
    <row r="988" ht="15" customHeight="1">
      <c r="A988" t="inlineStr">
        <is>
          <t>A 50503-2024</t>
        </is>
      </c>
      <c r="B988" s="1" t="n">
        <v>45601.5315625</v>
      </c>
      <c r="C988" s="1" t="n">
        <v>45930</v>
      </c>
      <c r="D988" t="inlineStr">
        <is>
          <t>JÄMTLANDS LÄN</t>
        </is>
      </c>
      <c r="E988" t="inlineStr">
        <is>
          <t>RAGUNDA</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59556-2024</t>
        </is>
      </c>
      <c r="B989" s="1" t="n">
        <v>45638.63600694444</v>
      </c>
      <c r="C989" s="1" t="n">
        <v>45930</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33790-2025</t>
        </is>
      </c>
      <c r="B990" s="1" t="n">
        <v>45842.42608796297</v>
      </c>
      <c r="C990" s="1" t="n">
        <v>45930</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13302-2022</t>
        </is>
      </c>
      <c r="B991" s="1" t="n">
        <v>44644</v>
      </c>
      <c r="C991" s="1" t="n">
        <v>45930</v>
      </c>
      <c r="D991" t="inlineStr">
        <is>
          <t>JÄMTLANDS LÄN</t>
        </is>
      </c>
      <c r="E991" t="inlineStr">
        <is>
          <t>RAGUNDA</t>
        </is>
      </c>
      <c r="F991" t="inlineStr">
        <is>
          <t>SCA</t>
        </is>
      </c>
      <c r="G991" t="n">
        <v>35.6</v>
      </c>
      <c r="H991" t="n">
        <v>0</v>
      </c>
      <c r="I991" t="n">
        <v>0</v>
      </c>
      <c r="J991" t="n">
        <v>0</v>
      </c>
      <c r="K991" t="n">
        <v>0</v>
      </c>
      <c r="L991" t="n">
        <v>0</v>
      </c>
      <c r="M991" t="n">
        <v>0</v>
      </c>
      <c r="N991" t="n">
        <v>0</v>
      </c>
      <c r="O991" t="n">
        <v>0</v>
      </c>
      <c r="P991" t="n">
        <v>0</v>
      </c>
      <c r="Q991" t="n">
        <v>0</v>
      </c>
      <c r="R991" s="2" t="inlineStr"/>
    </row>
    <row r="992" ht="15" customHeight="1">
      <c r="A992" t="inlineStr">
        <is>
          <t>A 33650-2025</t>
        </is>
      </c>
      <c r="B992" s="1" t="n">
        <v>45841.6571412037</v>
      </c>
      <c r="C992" s="1" t="n">
        <v>45930</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45930</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39192-2025</t>
        </is>
      </c>
      <c r="B994" s="1" t="n">
        <v>45888.6775</v>
      </c>
      <c r="C994" s="1" t="n">
        <v>45930</v>
      </c>
      <c r="D994" t="inlineStr">
        <is>
          <t>JÄMTLANDS LÄN</t>
        </is>
      </c>
      <c r="E994" t="inlineStr">
        <is>
          <t>RAGUNDA</t>
        </is>
      </c>
      <c r="F994" t="inlineStr">
        <is>
          <t>Naturvårdsverket</t>
        </is>
      </c>
      <c r="G994" t="n">
        <v>2.3</v>
      </c>
      <c r="H994" t="n">
        <v>0</v>
      </c>
      <c r="I994" t="n">
        <v>0</v>
      </c>
      <c r="J994" t="n">
        <v>0</v>
      </c>
      <c r="K994" t="n">
        <v>0</v>
      </c>
      <c r="L994" t="n">
        <v>0</v>
      </c>
      <c r="M994" t="n">
        <v>0</v>
      </c>
      <c r="N994" t="n">
        <v>0</v>
      </c>
      <c r="O994" t="n">
        <v>0</v>
      </c>
      <c r="P994" t="n">
        <v>0</v>
      </c>
      <c r="Q994" t="n">
        <v>0</v>
      </c>
      <c r="R994" s="2" t="inlineStr"/>
    </row>
    <row r="995" ht="15" customHeight="1">
      <c r="A995" t="inlineStr">
        <is>
          <t>A 61598-2024</t>
        </is>
      </c>
      <c r="B995" s="1" t="n">
        <v>45646.63605324074</v>
      </c>
      <c r="C995" s="1" t="n">
        <v>45930</v>
      </c>
      <c r="D995" t="inlineStr">
        <is>
          <t>JÄMTLANDS LÄN</t>
        </is>
      </c>
      <c r="E995" t="inlineStr">
        <is>
          <t>RAGUNDA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7280-2024</t>
        </is>
      </c>
      <c r="B996" s="1" t="n">
        <v>45344</v>
      </c>
      <c r="C996" s="1" t="n">
        <v>45930</v>
      </c>
      <c r="D996" t="inlineStr">
        <is>
          <t>JÄMTLANDS LÄN</t>
        </is>
      </c>
      <c r="E996" t="inlineStr">
        <is>
          <t>RAGUNDA</t>
        </is>
      </c>
      <c r="G996" t="n">
        <v>1.6</v>
      </c>
      <c r="H996" t="n">
        <v>0</v>
      </c>
      <c r="I996" t="n">
        <v>0</v>
      </c>
      <c r="J996" t="n">
        <v>0</v>
      </c>
      <c r="K996" t="n">
        <v>0</v>
      </c>
      <c r="L996" t="n">
        <v>0</v>
      </c>
      <c r="M996" t="n">
        <v>0</v>
      </c>
      <c r="N996" t="n">
        <v>0</v>
      </c>
      <c r="O996" t="n">
        <v>0</v>
      </c>
      <c r="P996" t="n">
        <v>0</v>
      </c>
      <c r="Q996" t="n">
        <v>0</v>
      </c>
      <c r="R996" s="2" t="inlineStr"/>
    </row>
    <row r="997" ht="15" customHeight="1">
      <c r="A997" t="inlineStr">
        <is>
          <t>A 21662-2023</t>
        </is>
      </c>
      <c r="B997" s="1" t="n">
        <v>45063</v>
      </c>
      <c r="C997" s="1" t="n">
        <v>45930</v>
      </c>
      <c r="D997" t="inlineStr">
        <is>
          <t>JÄMTLANDS LÄN</t>
        </is>
      </c>
      <c r="E997" t="inlineStr">
        <is>
          <t>RAGUNDA</t>
        </is>
      </c>
      <c r="G997" t="n">
        <v>1.8</v>
      </c>
      <c r="H997" t="n">
        <v>0</v>
      </c>
      <c r="I997" t="n">
        <v>0</v>
      </c>
      <c r="J997" t="n">
        <v>0</v>
      </c>
      <c r="K997" t="n">
        <v>0</v>
      </c>
      <c r="L997" t="n">
        <v>0</v>
      </c>
      <c r="M997" t="n">
        <v>0</v>
      </c>
      <c r="N997" t="n">
        <v>0</v>
      </c>
      <c r="O997" t="n">
        <v>0</v>
      </c>
      <c r="P997" t="n">
        <v>0</v>
      </c>
      <c r="Q997" t="n">
        <v>0</v>
      </c>
      <c r="R997" s="2" t="inlineStr"/>
    </row>
    <row r="998" ht="15" customHeight="1">
      <c r="A998" t="inlineStr">
        <is>
          <t>A 61107-2024</t>
        </is>
      </c>
      <c r="B998" s="1" t="n">
        <v>45645.55665509259</v>
      </c>
      <c r="C998" s="1" t="n">
        <v>45930</v>
      </c>
      <c r="D998" t="inlineStr">
        <is>
          <t>JÄMTLANDS LÄN</t>
        </is>
      </c>
      <c r="E998" t="inlineStr">
        <is>
          <t>RAGUNDA</t>
        </is>
      </c>
      <c r="G998" t="n">
        <v>3.2</v>
      </c>
      <c r="H998" t="n">
        <v>0</v>
      </c>
      <c r="I998" t="n">
        <v>0</v>
      </c>
      <c r="J998" t="n">
        <v>0</v>
      </c>
      <c r="K998" t="n">
        <v>0</v>
      </c>
      <c r="L998" t="n">
        <v>0</v>
      </c>
      <c r="M998" t="n">
        <v>0</v>
      </c>
      <c r="N998" t="n">
        <v>0</v>
      </c>
      <c r="O998" t="n">
        <v>0</v>
      </c>
      <c r="P998" t="n">
        <v>0</v>
      </c>
      <c r="Q998" t="n">
        <v>0</v>
      </c>
      <c r="R998" s="2" t="inlineStr"/>
    </row>
    <row r="999" ht="15" customHeight="1">
      <c r="A999" t="inlineStr">
        <is>
          <t>A 34296-2025</t>
        </is>
      </c>
      <c r="B999" s="1" t="n">
        <v>45846.34454861111</v>
      </c>
      <c r="C999" s="1" t="n">
        <v>45930</v>
      </c>
      <c r="D999" t="inlineStr">
        <is>
          <t>JÄMTLANDS LÄN</t>
        </is>
      </c>
      <c r="E999" t="inlineStr">
        <is>
          <t>RAGUNDA</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5313-2025</t>
        </is>
      </c>
      <c r="B1000" s="1" t="n">
        <v>45692.51069444444</v>
      </c>
      <c r="C1000" s="1" t="n">
        <v>45930</v>
      </c>
      <c r="D1000" t="inlineStr">
        <is>
          <t>JÄMTLANDS LÄN</t>
        </is>
      </c>
      <c r="E1000" t="inlineStr">
        <is>
          <t>RAGUNDA</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5357-2025</t>
        </is>
      </c>
      <c r="B1001" s="1" t="n">
        <v>45692.57326388889</v>
      </c>
      <c r="C1001" s="1" t="n">
        <v>45930</v>
      </c>
      <c r="D1001" t="inlineStr">
        <is>
          <t>JÄMTLANDS LÄN</t>
        </is>
      </c>
      <c r="E1001" t="inlineStr">
        <is>
          <t>RAGUNDA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44494-2024</t>
        </is>
      </c>
      <c r="B1002" s="1" t="n">
        <v>45574.39081018518</v>
      </c>
      <c r="C1002" s="1" t="n">
        <v>45930</v>
      </c>
      <c r="D1002" t="inlineStr">
        <is>
          <t>JÄMTLANDS LÄN</t>
        </is>
      </c>
      <c r="E1002" t="inlineStr">
        <is>
          <t>RAGUNDA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12983-2025</t>
        </is>
      </c>
      <c r="B1003" s="1" t="n">
        <v>45734.4633912037</v>
      </c>
      <c r="C1003" s="1" t="n">
        <v>45930</v>
      </c>
      <c r="D1003" t="inlineStr">
        <is>
          <t>JÄMTLANDS LÄN</t>
        </is>
      </c>
      <c r="E1003" t="inlineStr">
        <is>
          <t>RAGUNDA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39626-2024</t>
        </is>
      </c>
      <c r="B1004" s="1" t="n">
        <v>45552.44096064815</v>
      </c>
      <c r="C1004" s="1" t="n">
        <v>45930</v>
      </c>
      <c r="D1004" t="inlineStr">
        <is>
          <t>JÄMTLANDS LÄN</t>
        </is>
      </c>
      <c r="E1004" t="inlineStr">
        <is>
          <t>RAGUNDA</t>
        </is>
      </c>
      <c r="G1004" t="n">
        <v>23.5</v>
      </c>
      <c r="H1004" t="n">
        <v>0</v>
      </c>
      <c r="I1004" t="n">
        <v>0</v>
      </c>
      <c r="J1004" t="n">
        <v>0</v>
      </c>
      <c r="K1004" t="n">
        <v>0</v>
      </c>
      <c r="L1004" t="n">
        <v>0</v>
      </c>
      <c r="M1004" t="n">
        <v>0</v>
      </c>
      <c r="N1004" t="n">
        <v>0</v>
      </c>
      <c r="O1004" t="n">
        <v>0</v>
      </c>
      <c r="P1004" t="n">
        <v>0</v>
      </c>
      <c r="Q1004" t="n">
        <v>0</v>
      </c>
      <c r="R1004" s="2" t="inlineStr"/>
    </row>
    <row r="1005" ht="15" customHeight="1">
      <c r="A1005" t="inlineStr">
        <is>
          <t>A 45631-2024</t>
        </is>
      </c>
      <c r="B1005" s="1" t="n">
        <v>45579.47052083333</v>
      </c>
      <c r="C1005" s="1" t="n">
        <v>45930</v>
      </c>
      <c r="D1005" t="inlineStr">
        <is>
          <t>JÄMTLANDS LÄN</t>
        </is>
      </c>
      <c r="E1005" t="inlineStr">
        <is>
          <t>RAGUNDA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62135-2024</t>
        </is>
      </c>
      <c r="B1006" s="1" t="n">
        <v>45656.64223379629</v>
      </c>
      <c r="C1006" s="1" t="n">
        <v>45930</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8802-2022</t>
        </is>
      </c>
      <c r="B1007" s="1" t="n">
        <v>44614</v>
      </c>
      <c r="C1007" s="1" t="n">
        <v>45930</v>
      </c>
      <c r="D1007" t="inlineStr">
        <is>
          <t>JÄMTLANDS LÄN</t>
        </is>
      </c>
      <c r="E1007" t="inlineStr">
        <is>
          <t>RAGUNDA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34461-2025</t>
        </is>
      </c>
      <c r="B1008" s="1" t="n">
        <v>45847.34474537037</v>
      </c>
      <c r="C1008" s="1" t="n">
        <v>45930</v>
      </c>
      <c r="D1008" t="inlineStr">
        <is>
          <t>JÄMTLANDS LÄN</t>
        </is>
      </c>
      <c r="E1008" t="inlineStr">
        <is>
          <t>RAGUNDA</t>
        </is>
      </c>
      <c r="F1008" t="inlineStr">
        <is>
          <t>SCA</t>
        </is>
      </c>
      <c r="G1008" t="n">
        <v>44.8</v>
      </c>
      <c r="H1008" t="n">
        <v>0</v>
      </c>
      <c r="I1008" t="n">
        <v>0</v>
      </c>
      <c r="J1008" t="n">
        <v>0</v>
      </c>
      <c r="K1008" t="n">
        <v>0</v>
      </c>
      <c r="L1008" t="n">
        <v>0</v>
      </c>
      <c r="M1008" t="n">
        <v>0</v>
      </c>
      <c r="N1008" t="n">
        <v>0</v>
      </c>
      <c r="O1008" t="n">
        <v>0</v>
      </c>
      <c r="P1008" t="n">
        <v>0</v>
      </c>
      <c r="Q1008" t="n">
        <v>0</v>
      </c>
      <c r="R1008" s="2" t="inlineStr"/>
    </row>
    <row r="1009" ht="15" customHeight="1">
      <c r="A1009" t="inlineStr">
        <is>
          <t>A 34464-2025</t>
        </is>
      </c>
      <c r="B1009" s="1" t="n">
        <v>45847.34528935186</v>
      </c>
      <c r="C1009" s="1" t="n">
        <v>45930</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9823-2025</t>
        </is>
      </c>
      <c r="B1010" s="1" t="n">
        <v>45716</v>
      </c>
      <c r="C1010" s="1" t="n">
        <v>45930</v>
      </c>
      <c r="D1010" t="inlineStr">
        <is>
          <t>JÄMTLANDS LÄN</t>
        </is>
      </c>
      <c r="E1010" t="inlineStr">
        <is>
          <t>RAGUNDA</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45930</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20987-2023</t>
        </is>
      </c>
      <c r="B1012" s="1" t="n">
        <v>45056</v>
      </c>
      <c r="C1012" s="1" t="n">
        <v>45930</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20994-2023</t>
        </is>
      </c>
      <c r="B1013" s="1" t="n">
        <v>45056</v>
      </c>
      <c r="C1013" s="1" t="n">
        <v>45930</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34468-2025</t>
        </is>
      </c>
      <c r="B1014" s="1" t="n">
        <v>45847.34597222223</v>
      </c>
      <c r="C1014" s="1" t="n">
        <v>45930</v>
      </c>
      <c r="D1014" t="inlineStr">
        <is>
          <t>JÄMTLANDS LÄN</t>
        </is>
      </c>
      <c r="E1014" t="inlineStr">
        <is>
          <t>RAGUNDA</t>
        </is>
      </c>
      <c r="F1014" t="inlineStr">
        <is>
          <t>SCA</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34586-2025</t>
        </is>
      </c>
      <c r="B1015" s="1" t="n">
        <v>45847.61513888889</v>
      </c>
      <c r="C1015" s="1" t="n">
        <v>45930</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34607-2025</t>
        </is>
      </c>
      <c r="B1016" s="1" t="n">
        <v>45847.65703703704</v>
      </c>
      <c r="C1016" s="1" t="n">
        <v>45930</v>
      </c>
      <c r="D1016" t="inlineStr">
        <is>
          <t>JÄMTLANDS LÄN</t>
        </is>
      </c>
      <c r="E1016" t="inlineStr">
        <is>
          <t>RAGUNDA</t>
        </is>
      </c>
      <c r="F1016" t="inlineStr">
        <is>
          <t>SCA</t>
        </is>
      </c>
      <c r="G1016" t="n">
        <v>31.4</v>
      </c>
      <c r="H1016" t="n">
        <v>0</v>
      </c>
      <c r="I1016" t="n">
        <v>0</v>
      </c>
      <c r="J1016" t="n">
        <v>0</v>
      </c>
      <c r="K1016" t="n">
        <v>0</v>
      </c>
      <c r="L1016" t="n">
        <v>0</v>
      </c>
      <c r="M1016" t="n">
        <v>0</v>
      </c>
      <c r="N1016" t="n">
        <v>0</v>
      </c>
      <c r="O1016" t="n">
        <v>0</v>
      </c>
      <c r="P1016" t="n">
        <v>0</v>
      </c>
      <c r="Q1016" t="n">
        <v>0</v>
      </c>
      <c r="R1016" s="2" t="inlineStr"/>
    </row>
    <row r="1017" ht="15" customHeight="1">
      <c r="A1017" t="inlineStr">
        <is>
          <t>A 34772-2025</t>
        </is>
      </c>
      <c r="B1017" s="1" t="n">
        <v>45848.65658564815</v>
      </c>
      <c r="C1017" s="1" t="n">
        <v>45930</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34466-2025</t>
        </is>
      </c>
      <c r="B1018" s="1" t="n">
        <v>45847.34565972222</v>
      </c>
      <c r="C1018" s="1" t="n">
        <v>45930</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6490-2022</t>
        </is>
      </c>
      <c r="B1019" s="1" t="n">
        <v>44601</v>
      </c>
      <c r="C1019" s="1" t="n">
        <v>45930</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23287-2024</t>
        </is>
      </c>
      <c r="B1020" s="1" t="n">
        <v>45453.42041666667</v>
      </c>
      <c r="C1020" s="1" t="n">
        <v>45930</v>
      </c>
      <c r="D1020" t="inlineStr">
        <is>
          <t>JÄMTLANDS LÄN</t>
        </is>
      </c>
      <c r="E1020" t="inlineStr">
        <is>
          <t>RAGUNDA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53740-2024</t>
        </is>
      </c>
      <c r="B1021" s="1" t="n">
        <v>45615.47091435185</v>
      </c>
      <c r="C1021" s="1" t="n">
        <v>45930</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1325-2025</t>
        </is>
      </c>
      <c r="B1022" s="1" t="n">
        <v>45667.57342592593</v>
      </c>
      <c r="C1022" s="1" t="n">
        <v>45930</v>
      </c>
      <c r="D1022" t="inlineStr">
        <is>
          <t>JÄMTLANDS LÄN</t>
        </is>
      </c>
      <c r="E1022" t="inlineStr">
        <is>
          <t>RAGUNDA</t>
        </is>
      </c>
      <c r="F1022" t="inlineStr">
        <is>
          <t>SCA</t>
        </is>
      </c>
      <c r="G1022" t="n">
        <v>20.2</v>
      </c>
      <c r="H1022" t="n">
        <v>0</v>
      </c>
      <c r="I1022" t="n">
        <v>0</v>
      </c>
      <c r="J1022" t="n">
        <v>0</v>
      </c>
      <c r="K1022" t="n">
        <v>0</v>
      </c>
      <c r="L1022" t="n">
        <v>0</v>
      </c>
      <c r="M1022" t="n">
        <v>0</v>
      </c>
      <c r="N1022" t="n">
        <v>0</v>
      </c>
      <c r="O1022" t="n">
        <v>0</v>
      </c>
      <c r="P1022" t="n">
        <v>0</v>
      </c>
      <c r="Q1022" t="n">
        <v>0</v>
      </c>
      <c r="R1022" s="2" t="inlineStr"/>
    </row>
    <row r="1023" ht="15" customHeight="1">
      <c r="A1023" t="inlineStr">
        <is>
          <t>A 1326-2025</t>
        </is>
      </c>
      <c r="B1023" s="1" t="n">
        <v>45667.57347222222</v>
      </c>
      <c r="C1023" s="1" t="n">
        <v>45930</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34588-2025</t>
        </is>
      </c>
      <c r="B1024" s="1" t="n">
        <v>45847.61548611111</v>
      </c>
      <c r="C1024" s="1" t="n">
        <v>45930</v>
      </c>
      <c r="D1024" t="inlineStr">
        <is>
          <t>JÄMTLANDS LÄN</t>
        </is>
      </c>
      <c r="E1024" t="inlineStr">
        <is>
          <t>RAGUNDA</t>
        </is>
      </c>
      <c r="G1024" t="n">
        <v>32.3</v>
      </c>
      <c r="H1024" t="n">
        <v>0</v>
      </c>
      <c r="I1024" t="n">
        <v>0</v>
      </c>
      <c r="J1024" t="n">
        <v>0</v>
      </c>
      <c r="K1024" t="n">
        <v>0</v>
      </c>
      <c r="L1024" t="n">
        <v>0</v>
      </c>
      <c r="M1024" t="n">
        <v>0</v>
      </c>
      <c r="N1024" t="n">
        <v>0</v>
      </c>
      <c r="O1024" t="n">
        <v>0</v>
      </c>
      <c r="P1024" t="n">
        <v>0</v>
      </c>
      <c r="Q1024" t="n">
        <v>0</v>
      </c>
      <c r="R1024" s="2" t="inlineStr"/>
    </row>
    <row r="1025" ht="15" customHeight="1">
      <c r="A1025" t="inlineStr">
        <is>
          <t>A 14696-2022</t>
        </is>
      </c>
      <c r="B1025" s="1" t="n">
        <v>44655</v>
      </c>
      <c r="C1025" s="1" t="n">
        <v>45930</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39384-2025</t>
        </is>
      </c>
      <c r="B1026" s="1" t="n">
        <v>45889.61517361111</v>
      </c>
      <c r="C1026" s="1" t="n">
        <v>45930</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34463-2025</t>
        </is>
      </c>
      <c r="B1027" s="1" t="n">
        <v>45847.34515046296</v>
      </c>
      <c r="C1027" s="1" t="n">
        <v>45930</v>
      </c>
      <c r="D1027" t="inlineStr">
        <is>
          <t>JÄMTLANDS LÄN</t>
        </is>
      </c>
      <c r="E1027" t="inlineStr">
        <is>
          <t>RAGUNDA</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34710-2025</t>
        </is>
      </c>
      <c r="B1028" s="1" t="n">
        <v>45848.49774305556</v>
      </c>
      <c r="C1028" s="1" t="n">
        <v>45930</v>
      </c>
      <c r="D1028" t="inlineStr">
        <is>
          <t>JÄMTLANDS LÄN</t>
        </is>
      </c>
      <c r="E1028" t="inlineStr">
        <is>
          <t>RAGUNDA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39947-2025</t>
        </is>
      </c>
      <c r="B1029" s="1" t="n">
        <v>45892.34438657408</v>
      </c>
      <c r="C1029" s="1" t="n">
        <v>45930</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39950-2025</t>
        </is>
      </c>
      <c r="B1030" s="1" t="n">
        <v>45892.38641203703</v>
      </c>
      <c r="C1030" s="1" t="n">
        <v>45930</v>
      </c>
      <c r="D1030" t="inlineStr">
        <is>
          <t>JÄMTLANDS LÄN</t>
        </is>
      </c>
      <c r="E1030" t="inlineStr">
        <is>
          <t>RAGUNDA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39946-2025</t>
        </is>
      </c>
      <c r="B1031" s="1" t="n">
        <v>45892.34423611111</v>
      </c>
      <c r="C1031" s="1" t="n">
        <v>45930</v>
      </c>
      <c r="D1031" t="inlineStr">
        <is>
          <t>JÄMTLANDS LÄN</t>
        </is>
      </c>
      <c r="E1031" t="inlineStr">
        <is>
          <t>RAGUNDA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39948-2025</t>
        </is>
      </c>
      <c r="B1032" s="1" t="n">
        <v>45892.38591435185</v>
      </c>
      <c r="C1032" s="1" t="n">
        <v>45930</v>
      </c>
      <c r="D1032" t="inlineStr">
        <is>
          <t>JÄMTLANDS LÄN</t>
        </is>
      </c>
      <c r="E1032" t="inlineStr">
        <is>
          <t>RAGUNDA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39951-2025</t>
        </is>
      </c>
      <c r="B1033" s="1" t="n">
        <v>45892.38657407407</v>
      </c>
      <c r="C1033" s="1" t="n">
        <v>45930</v>
      </c>
      <c r="D1033" t="inlineStr">
        <is>
          <t>JÄMTLANDS LÄN</t>
        </is>
      </c>
      <c r="E1033" t="inlineStr">
        <is>
          <t>RAGUNDA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45952-2023</t>
        </is>
      </c>
      <c r="B1034" s="1" t="n">
        <v>45195</v>
      </c>
      <c r="C1034" s="1" t="n">
        <v>45930</v>
      </c>
      <c r="D1034" t="inlineStr">
        <is>
          <t>JÄMTLANDS LÄN</t>
        </is>
      </c>
      <c r="E1034" t="inlineStr">
        <is>
          <t>RAGUNDA</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45954-2023</t>
        </is>
      </c>
      <c r="B1035" s="1" t="n">
        <v>45195.94679398148</v>
      </c>
      <c r="C1035" s="1" t="n">
        <v>45930</v>
      </c>
      <c r="D1035" t="inlineStr">
        <is>
          <t>JÄMTLANDS LÄN</t>
        </is>
      </c>
      <c r="E1035" t="inlineStr">
        <is>
          <t>RAGUNDA</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45955-2023</t>
        </is>
      </c>
      <c r="B1036" s="1" t="n">
        <v>45195.94685185186</v>
      </c>
      <c r="C1036" s="1" t="n">
        <v>45930</v>
      </c>
      <c r="D1036" t="inlineStr">
        <is>
          <t>JÄMTLANDS LÄN</t>
        </is>
      </c>
      <c r="E1036" t="inlineStr">
        <is>
          <t>RAGUNDA</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34709-2025</t>
        </is>
      </c>
      <c r="B1037" s="1" t="n">
        <v>45848.49761574074</v>
      </c>
      <c r="C1037" s="1" t="n">
        <v>45930</v>
      </c>
      <c r="D1037" t="inlineStr">
        <is>
          <t>JÄMTLANDS LÄN</t>
        </is>
      </c>
      <c r="E1037" t="inlineStr">
        <is>
          <t>RAGUNDA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8787-2022</t>
        </is>
      </c>
      <c r="B1038" s="1" t="n">
        <v>44614</v>
      </c>
      <c r="C1038" s="1" t="n">
        <v>45930</v>
      </c>
      <c r="D1038" t="inlineStr">
        <is>
          <t>JÄMTLANDS LÄN</t>
        </is>
      </c>
      <c r="E1038" t="inlineStr">
        <is>
          <t>RAGUNDA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45930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45253-2023</t>
        </is>
      </c>
      <c r="B1040" s="1" t="n">
        <v>45187</v>
      </c>
      <c r="C1040" s="1" t="n">
        <v>45930</v>
      </c>
      <c r="D1040" t="inlineStr">
        <is>
          <t>JÄMTLANDS LÄN</t>
        </is>
      </c>
      <c r="E1040" t="inlineStr">
        <is>
          <t>RAGUNDA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35092-2025</t>
        </is>
      </c>
      <c r="B1041" s="1" t="n">
        <v>45852.53185185185</v>
      </c>
      <c r="C1041" s="1" t="n">
        <v>45930</v>
      </c>
      <c r="D1041" t="inlineStr">
        <is>
          <t>JÄMTLANDS LÄN</t>
        </is>
      </c>
      <c r="E1041" t="inlineStr">
        <is>
          <t>RAGUNDA</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39956-2025</t>
        </is>
      </c>
      <c r="B1042" s="1" t="n">
        <v>45892.44840277778</v>
      </c>
      <c r="C1042" s="1" t="n">
        <v>45930</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3104-2025</t>
        </is>
      </c>
      <c r="B1043" s="1" t="n">
        <v>45678.67761574074</v>
      </c>
      <c r="C1043" s="1" t="n">
        <v>45930</v>
      </c>
      <c r="D1043" t="inlineStr">
        <is>
          <t>JÄMTLANDS LÄN</t>
        </is>
      </c>
      <c r="E1043" t="inlineStr">
        <is>
          <t>RAGUNDA</t>
        </is>
      </c>
      <c r="F1043" t="inlineStr">
        <is>
          <t>SCA</t>
        </is>
      </c>
      <c r="G1043" t="n">
        <v>46.2</v>
      </c>
      <c r="H1043" t="n">
        <v>0</v>
      </c>
      <c r="I1043" t="n">
        <v>0</v>
      </c>
      <c r="J1043" t="n">
        <v>0</v>
      </c>
      <c r="K1043" t="n">
        <v>0</v>
      </c>
      <c r="L1043" t="n">
        <v>0</v>
      </c>
      <c r="M1043" t="n">
        <v>0</v>
      </c>
      <c r="N1043" t="n">
        <v>0</v>
      </c>
      <c r="O1043" t="n">
        <v>0</v>
      </c>
      <c r="P1043" t="n">
        <v>0</v>
      </c>
      <c r="Q1043" t="n">
        <v>0</v>
      </c>
      <c r="R1043" s="2" t="inlineStr"/>
    </row>
    <row r="1044" ht="15" customHeight="1">
      <c r="A1044" t="inlineStr">
        <is>
          <t>A 34998-2025</t>
        </is>
      </c>
      <c r="B1044" s="1" t="n">
        <v>45850.34434027778</v>
      </c>
      <c r="C1044" s="1" t="n">
        <v>45930</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36046-2023</t>
        </is>
      </c>
      <c r="B1045" s="1" t="n">
        <v>45148</v>
      </c>
      <c r="C1045" s="1" t="n">
        <v>45930</v>
      </c>
      <c r="D1045" t="inlineStr">
        <is>
          <t>JÄMTLANDS LÄN</t>
        </is>
      </c>
      <c r="E1045" t="inlineStr">
        <is>
          <t>RAGUNDA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18193-2022</t>
        </is>
      </c>
      <c r="B1046" s="1" t="n">
        <v>44684.94032407407</v>
      </c>
      <c r="C1046" s="1" t="n">
        <v>45930</v>
      </c>
      <c r="D1046" t="inlineStr">
        <is>
          <t>JÄMTLANDS LÄN</t>
        </is>
      </c>
      <c r="E1046" t="inlineStr">
        <is>
          <t>RAGUNDA</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34323-2023</t>
        </is>
      </c>
      <c r="B1047" s="1" t="n">
        <v>45138.94925925926</v>
      </c>
      <c r="C1047" s="1" t="n">
        <v>45930</v>
      </c>
      <c r="D1047" t="inlineStr">
        <is>
          <t>JÄMTLANDS LÄN</t>
        </is>
      </c>
      <c r="E1047" t="inlineStr">
        <is>
          <t>RAGUNDA</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58843-2024</t>
        </is>
      </c>
      <c r="B1048" s="1" t="n">
        <v>45636.38599537037</v>
      </c>
      <c r="C1048" s="1" t="n">
        <v>45930</v>
      </c>
      <c r="D1048" t="inlineStr">
        <is>
          <t>JÄMTLANDS LÄN</t>
        </is>
      </c>
      <c r="E1048" t="inlineStr">
        <is>
          <t>RAGUNDA</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45953-2023</t>
        </is>
      </c>
      <c r="B1049" s="1" t="n">
        <v>45195.94672453704</v>
      </c>
      <c r="C1049" s="1" t="n">
        <v>45930</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30824-2023</t>
        </is>
      </c>
      <c r="B1050" s="1" t="n">
        <v>45112.94303240741</v>
      </c>
      <c r="C1050" s="1" t="n">
        <v>45930</v>
      </c>
      <c r="D1050" t="inlineStr">
        <is>
          <t>JÄMTLANDS LÄN</t>
        </is>
      </c>
      <c r="E1050" t="inlineStr">
        <is>
          <t>RAGUNDA</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30825-2023</t>
        </is>
      </c>
      <c r="B1051" s="1" t="n">
        <v>45112.94310185185</v>
      </c>
      <c r="C1051" s="1" t="n">
        <v>45930</v>
      </c>
      <c r="D1051" t="inlineStr">
        <is>
          <t>JÄMTLANDS LÄN</t>
        </is>
      </c>
      <c r="E1051" t="inlineStr">
        <is>
          <t>RAGUNDA</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31506-2024</t>
        </is>
      </c>
      <c r="B1052" s="1" t="n">
        <v>45505</v>
      </c>
      <c r="C1052" s="1" t="n">
        <v>45930</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55222-2024</t>
        </is>
      </c>
      <c r="B1053" s="1" t="n">
        <v>45621.57395833333</v>
      </c>
      <c r="C1053" s="1" t="n">
        <v>45930</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44755-2024</t>
        </is>
      </c>
      <c r="B1054" s="1" t="n">
        <v>45574.61184027778</v>
      </c>
      <c r="C1054" s="1" t="n">
        <v>45930</v>
      </c>
      <c r="D1054" t="inlineStr">
        <is>
          <t>JÄMTLANDS LÄN</t>
        </is>
      </c>
      <c r="E1054" t="inlineStr">
        <is>
          <t>RAGUNDA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44766-2024</t>
        </is>
      </c>
      <c r="B1055" s="1" t="n">
        <v>45574.62297453704</v>
      </c>
      <c r="C1055" s="1" t="n">
        <v>45930</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44778-2024</t>
        </is>
      </c>
      <c r="B1056" s="1" t="n">
        <v>45574.63355324074</v>
      </c>
      <c r="C1056" s="1" t="n">
        <v>45930</v>
      </c>
      <c r="D1056" t="inlineStr">
        <is>
          <t>JÄMTLANDS LÄN</t>
        </is>
      </c>
      <c r="E1056" t="inlineStr">
        <is>
          <t>RAGUNDA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8795-2022</t>
        </is>
      </c>
      <c r="B1057" s="1" t="n">
        <v>44614</v>
      </c>
      <c r="C1057" s="1" t="n">
        <v>45930</v>
      </c>
      <c r="D1057" t="inlineStr">
        <is>
          <t>JÄMTLANDS LÄN</t>
        </is>
      </c>
      <c r="E1057" t="inlineStr">
        <is>
          <t>RAGUNDA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14905-2022</t>
        </is>
      </c>
      <c r="B1058" s="1" t="n">
        <v>44656.94708333333</v>
      </c>
      <c r="C1058" s="1" t="n">
        <v>45930</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6257-2025</t>
        </is>
      </c>
      <c r="B1059" s="1" t="n">
        <v>45698.59409722222</v>
      </c>
      <c r="C1059" s="1" t="n">
        <v>45930</v>
      </c>
      <c r="D1059" t="inlineStr">
        <is>
          <t>JÄMTLANDS LÄN</t>
        </is>
      </c>
      <c r="E1059" t="inlineStr">
        <is>
          <t>RAGUNDA</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42508-2023</t>
        </is>
      </c>
      <c r="B1060" s="1" t="n">
        <v>45180.95907407408</v>
      </c>
      <c r="C1060" s="1" t="n">
        <v>45930</v>
      </c>
      <c r="D1060" t="inlineStr">
        <is>
          <t>JÄMTLANDS LÄN</t>
        </is>
      </c>
      <c r="E1060" t="inlineStr">
        <is>
          <t>RAGUNDA</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59286-2023</t>
        </is>
      </c>
      <c r="B1061" s="1" t="n">
        <v>45253</v>
      </c>
      <c r="C1061" s="1" t="n">
        <v>45930</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7284-2025</t>
        </is>
      </c>
      <c r="B1062" s="1" t="n">
        <v>45702.63604166666</v>
      </c>
      <c r="C1062" s="1" t="n">
        <v>45930</v>
      </c>
      <c r="D1062" t="inlineStr">
        <is>
          <t>JÄMTLANDS LÄN</t>
        </is>
      </c>
      <c r="E1062" t="inlineStr">
        <is>
          <t>RAGUNDA</t>
        </is>
      </c>
      <c r="F1062" t="inlineStr">
        <is>
          <t>SCA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60012-2023</t>
        </is>
      </c>
      <c r="B1063" s="1" t="n">
        <v>45257</v>
      </c>
      <c r="C1063" s="1" t="n">
        <v>45930</v>
      </c>
      <c r="D1063" t="inlineStr">
        <is>
          <t>JÄMTLANDS LÄN</t>
        </is>
      </c>
      <c r="E1063" t="inlineStr">
        <is>
          <t>RAGUNDA</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20221-2025</t>
        </is>
      </c>
      <c r="B1064" s="1" t="n">
        <v>45772.6565625</v>
      </c>
      <c r="C1064" s="1" t="n">
        <v>45930</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35265-2023</t>
        </is>
      </c>
      <c r="B1065" s="1" t="n">
        <v>45145.95326388889</v>
      </c>
      <c r="C1065" s="1" t="n">
        <v>45930</v>
      </c>
      <c r="D1065" t="inlineStr">
        <is>
          <t>JÄMTLANDS LÄN</t>
        </is>
      </c>
      <c r="E1065" t="inlineStr">
        <is>
          <t>RAGUNDA</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31435-2022</t>
        </is>
      </c>
      <c r="B1066" s="1" t="n">
        <v>44774</v>
      </c>
      <c r="C1066" s="1" t="n">
        <v>45930</v>
      </c>
      <c r="D1066" t="inlineStr">
        <is>
          <t>JÄMTLANDS LÄN</t>
        </is>
      </c>
      <c r="E1066" t="inlineStr">
        <is>
          <t>RAGUNDA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50211-2023</t>
        </is>
      </c>
      <c r="B1067" s="1" t="n">
        <v>45215.94657407407</v>
      </c>
      <c r="C1067" s="1" t="n">
        <v>45930</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16529-2022</t>
        </is>
      </c>
      <c r="B1068" s="1" t="n">
        <v>44671</v>
      </c>
      <c r="C1068" s="1" t="n">
        <v>45930</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40269-2022</t>
        </is>
      </c>
      <c r="B1069" s="1" t="n">
        <v>44820</v>
      </c>
      <c r="C1069" s="1" t="n">
        <v>45930</v>
      </c>
      <c r="D1069" t="inlineStr">
        <is>
          <t>JÄMTLANDS LÄN</t>
        </is>
      </c>
      <c r="E1069" t="inlineStr">
        <is>
          <t>RAGUNDA</t>
        </is>
      </c>
      <c r="F1069" t="inlineStr">
        <is>
          <t>SCA</t>
        </is>
      </c>
      <c r="G1069" t="n">
        <v>77.8</v>
      </c>
      <c r="H1069" t="n">
        <v>0</v>
      </c>
      <c r="I1069" t="n">
        <v>0</v>
      </c>
      <c r="J1069" t="n">
        <v>0</v>
      </c>
      <c r="K1069" t="n">
        <v>0</v>
      </c>
      <c r="L1069" t="n">
        <v>0</v>
      </c>
      <c r="M1069" t="n">
        <v>0</v>
      </c>
      <c r="N1069" t="n">
        <v>0</v>
      </c>
      <c r="O1069" t="n">
        <v>0</v>
      </c>
      <c r="P1069" t="n">
        <v>0</v>
      </c>
      <c r="Q1069" t="n">
        <v>0</v>
      </c>
      <c r="R1069" s="2" t="inlineStr"/>
    </row>
    <row r="1070" ht="15" customHeight="1">
      <c r="A1070" t="inlineStr">
        <is>
          <t>A 44536-2022</t>
        </is>
      </c>
      <c r="B1070" s="1" t="n">
        <v>44839</v>
      </c>
      <c r="C1070" s="1" t="n">
        <v>45930</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36212-2023</t>
        </is>
      </c>
      <c r="B1071" s="1" t="n">
        <v>45149.95241898148</v>
      </c>
      <c r="C1071" s="1" t="n">
        <v>45930</v>
      </c>
      <c r="D1071" t="inlineStr">
        <is>
          <t>JÄMTLANDS LÄN</t>
        </is>
      </c>
      <c r="E1071" t="inlineStr">
        <is>
          <t>RAGUNDA</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53860-2023</t>
        </is>
      </c>
      <c r="B1072" s="1" t="n">
        <v>45224</v>
      </c>
      <c r="C1072" s="1" t="n">
        <v>45930</v>
      </c>
      <c r="D1072" t="inlineStr">
        <is>
          <t>JÄMTLANDS LÄN</t>
        </is>
      </c>
      <c r="E1072" t="inlineStr">
        <is>
          <t>RAGUNDA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54599-2023</t>
        </is>
      </c>
      <c r="B1073" s="1" t="n">
        <v>45233.92591435185</v>
      </c>
      <c r="C1073" s="1" t="n">
        <v>45930</v>
      </c>
      <c r="D1073" t="inlineStr">
        <is>
          <t>JÄMTLANDS LÄN</t>
        </is>
      </c>
      <c r="E1073" t="inlineStr">
        <is>
          <t>RAGUNDA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10610-2024</t>
        </is>
      </c>
      <c r="B1074" s="1" t="n">
        <v>45367.04693287037</v>
      </c>
      <c r="C1074" s="1" t="n">
        <v>45930</v>
      </c>
      <c r="D1074" t="inlineStr">
        <is>
          <t>JÄMTLANDS LÄN</t>
        </is>
      </c>
      <c r="E1074" t="inlineStr">
        <is>
          <t>RAGUNDA</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8779-2025</t>
        </is>
      </c>
      <c r="B1075" s="1" t="n">
        <v>45712.61552083334</v>
      </c>
      <c r="C1075" s="1" t="n">
        <v>45930</v>
      </c>
      <c r="D1075" t="inlineStr">
        <is>
          <t>JÄMTLANDS LÄN</t>
        </is>
      </c>
      <c r="E1075" t="inlineStr">
        <is>
          <t>RAGUNDA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20574-2025</t>
        </is>
      </c>
      <c r="B1076" s="1" t="n">
        <v>45775.67747685185</v>
      </c>
      <c r="C1076" s="1" t="n">
        <v>45930</v>
      </c>
      <c r="D1076" t="inlineStr">
        <is>
          <t>JÄMTLANDS LÄN</t>
        </is>
      </c>
      <c r="E1076" t="inlineStr">
        <is>
          <t>RAGUNDA</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16676-2022</t>
        </is>
      </c>
      <c r="B1077" s="1" t="n">
        <v>44672.94018518519</v>
      </c>
      <c r="C1077" s="1" t="n">
        <v>45930</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57078-2023</t>
        </is>
      </c>
      <c r="B1078" s="1" t="n">
        <v>45244.96774305555</v>
      </c>
      <c r="C1078" s="1" t="n">
        <v>45930</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12976-2025</t>
        </is>
      </c>
      <c r="B1079" s="1" t="n">
        <v>45734.45268518518</v>
      </c>
      <c r="C1079" s="1" t="n">
        <v>45930</v>
      </c>
      <c r="D1079" t="inlineStr">
        <is>
          <t>JÄMTLANDS LÄN</t>
        </is>
      </c>
      <c r="E1079" t="inlineStr">
        <is>
          <t>RAGUNDA</t>
        </is>
      </c>
      <c r="G1079" t="n">
        <v>24.2</v>
      </c>
      <c r="H1079" t="n">
        <v>0</v>
      </c>
      <c r="I1079" t="n">
        <v>0</v>
      </c>
      <c r="J1079" t="n">
        <v>0</v>
      </c>
      <c r="K1079" t="n">
        <v>0</v>
      </c>
      <c r="L1079" t="n">
        <v>0</v>
      </c>
      <c r="M1079" t="n">
        <v>0</v>
      </c>
      <c r="N1079" t="n">
        <v>0</v>
      </c>
      <c r="O1079" t="n">
        <v>0</v>
      </c>
      <c r="P1079" t="n">
        <v>0</v>
      </c>
      <c r="Q1079" t="n">
        <v>0</v>
      </c>
      <c r="R1079" s="2" t="inlineStr"/>
    </row>
    <row r="1080" ht="15" customHeight="1">
      <c r="A1080" t="inlineStr">
        <is>
          <t>A 56286-2023</t>
        </is>
      </c>
      <c r="B1080" s="1" t="n">
        <v>45241.95741898148</v>
      </c>
      <c r="C1080" s="1" t="n">
        <v>45930</v>
      </c>
      <c r="D1080" t="inlineStr">
        <is>
          <t>JÄMTLANDS LÄN</t>
        </is>
      </c>
      <c r="E1080" t="inlineStr">
        <is>
          <t>RAGUNDA</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56287-2023</t>
        </is>
      </c>
      <c r="B1081" s="1" t="n">
        <v>45241</v>
      </c>
      <c r="C1081" s="1" t="n">
        <v>45930</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59658-2023</t>
        </is>
      </c>
      <c r="B1082" s="1" t="n">
        <v>45254.96402777778</v>
      </c>
      <c r="C1082" s="1" t="n">
        <v>45930</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28081-2022</t>
        </is>
      </c>
      <c r="B1083" s="1" t="n">
        <v>44746</v>
      </c>
      <c r="C1083" s="1" t="n">
        <v>45930</v>
      </c>
      <c r="D1083" t="inlineStr">
        <is>
          <t>JÄMTLANDS LÄN</t>
        </is>
      </c>
      <c r="E1083" t="inlineStr">
        <is>
          <t>RAGUNDA</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37324-2022</t>
        </is>
      </c>
      <c r="B1084" s="1" t="n">
        <v>44806</v>
      </c>
      <c r="C1084" s="1" t="n">
        <v>45930</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19727-2025</t>
        </is>
      </c>
      <c r="B1085" s="1" t="n">
        <v>45771.36538194444</v>
      </c>
      <c r="C1085" s="1" t="n">
        <v>45930</v>
      </c>
      <c r="D1085" t="inlineStr">
        <is>
          <t>JÄMTLANDS LÄN</t>
        </is>
      </c>
      <c r="E1085" t="inlineStr">
        <is>
          <t>RAGUNDA</t>
        </is>
      </c>
      <c r="F1085" t="inlineStr">
        <is>
          <t>SCA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62106-2023</t>
        </is>
      </c>
      <c r="B1086" s="1" t="n">
        <v>45266.95082175926</v>
      </c>
      <c r="C1086" s="1" t="n">
        <v>45930</v>
      </c>
      <c r="D1086" t="inlineStr">
        <is>
          <t>JÄMTLANDS LÄN</t>
        </is>
      </c>
      <c r="E1086" t="inlineStr">
        <is>
          <t>RAGUNDA</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4592-2024</t>
        </is>
      </c>
      <c r="B1087" s="1" t="n">
        <v>45327.94443287037</v>
      </c>
      <c r="C1087" s="1" t="n">
        <v>45930</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18984-2023</t>
        </is>
      </c>
      <c r="B1088" s="1" t="n">
        <v>45044</v>
      </c>
      <c r="C1088" s="1" t="n">
        <v>45930</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8241-2024</t>
        </is>
      </c>
      <c r="B1089" s="1" t="n">
        <v>45351.98496527778</v>
      </c>
      <c r="C1089" s="1" t="n">
        <v>45930</v>
      </c>
      <c r="D1089" t="inlineStr">
        <is>
          <t>JÄMTLANDS LÄN</t>
        </is>
      </c>
      <c r="E1089" t="inlineStr">
        <is>
          <t>RAGUNDA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14512-2025</t>
        </is>
      </c>
      <c r="B1090" s="1" t="n">
        <v>45741.63659722222</v>
      </c>
      <c r="C1090" s="1" t="n">
        <v>45930</v>
      </c>
      <c r="D1090" t="inlineStr">
        <is>
          <t>JÄMTLANDS LÄN</t>
        </is>
      </c>
      <c r="E1090" t="inlineStr">
        <is>
          <t>RAGUNDA</t>
        </is>
      </c>
      <c r="F1090" t="inlineStr">
        <is>
          <t>SCA</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53019-2023</t>
        </is>
      </c>
      <c r="B1091" s="1" t="n">
        <v>45222</v>
      </c>
      <c r="C1091" s="1" t="n">
        <v>45930</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59996-2023</t>
        </is>
      </c>
      <c r="B1092" s="1" t="n">
        <v>45257.92826388889</v>
      </c>
      <c r="C1092" s="1" t="n">
        <v>45930</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1537-2024</t>
        </is>
      </c>
      <c r="B1093" s="1" t="n">
        <v>45306</v>
      </c>
      <c r="C1093" s="1" t="n">
        <v>45930</v>
      </c>
      <c r="D1093" t="inlineStr">
        <is>
          <t>JÄMTLANDS LÄN</t>
        </is>
      </c>
      <c r="E1093" t="inlineStr">
        <is>
          <t>RAGUNDA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29257-2024</t>
        </is>
      </c>
      <c r="B1094" s="1" t="n">
        <v>45482.94815972223</v>
      </c>
      <c r="C1094" s="1" t="n">
        <v>45930</v>
      </c>
      <c r="D1094" t="inlineStr">
        <is>
          <t>JÄMTLANDS LÄN</t>
        </is>
      </c>
      <c r="E1094" t="inlineStr">
        <is>
          <t>RAGUNDA</t>
        </is>
      </c>
      <c r="F1094" t="inlineStr">
        <is>
          <t>SCA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55487-2023</t>
        </is>
      </c>
      <c r="B1095" s="1" t="n">
        <v>45238</v>
      </c>
      <c r="C1095" s="1" t="n">
        <v>45930</v>
      </c>
      <c r="D1095" t="inlineStr">
        <is>
          <t>JÄMTLANDS LÄN</t>
        </is>
      </c>
      <c r="E1095" t="inlineStr">
        <is>
          <t>RAGUNDA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20770-2024</t>
        </is>
      </c>
      <c r="B1096" s="1" t="n">
        <v>45436.94613425926</v>
      </c>
      <c r="C1096" s="1" t="n">
        <v>45930</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19383-2025</t>
        </is>
      </c>
      <c r="B1097" s="1" t="n">
        <v>45769.65688657408</v>
      </c>
      <c r="C1097" s="1" t="n">
        <v>45930</v>
      </c>
      <c r="D1097" t="inlineStr">
        <is>
          <t>JÄMTLANDS LÄN</t>
        </is>
      </c>
      <c r="E1097" t="inlineStr">
        <is>
          <t>RAGUNDA</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12783-2023</t>
        </is>
      </c>
      <c r="B1098" s="1" t="n">
        <v>45000</v>
      </c>
      <c r="C1098" s="1" t="n">
        <v>45930</v>
      </c>
      <c r="D1098" t="inlineStr">
        <is>
          <t>JÄMTLANDS LÄN</t>
        </is>
      </c>
      <c r="E1098" t="inlineStr">
        <is>
          <t>RAGUNDA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35153-2024</t>
        </is>
      </c>
      <c r="B1099" s="1" t="n">
        <v>45530</v>
      </c>
      <c r="C1099" s="1" t="n">
        <v>45930</v>
      </c>
      <c r="D1099" t="inlineStr">
        <is>
          <t>JÄMTLANDS LÄN</t>
        </is>
      </c>
      <c r="E1099" t="inlineStr">
        <is>
          <t>RAGUNDA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61197-2023</t>
        </is>
      </c>
      <c r="B1100" s="1" t="n">
        <v>45260</v>
      </c>
      <c r="C1100" s="1" t="n">
        <v>45930</v>
      </c>
      <c r="D1100" t="inlineStr">
        <is>
          <t>JÄMTLANDS LÄN</t>
        </is>
      </c>
      <c r="E1100" t="inlineStr">
        <is>
          <t>RAGUNDA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31135-2023</t>
        </is>
      </c>
      <c r="B1101" s="1" t="n">
        <v>45103</v>
      </c>
      <c r="C1101" s="1" t="n">
        <v>45930</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13767-2022</t>
        </is>
      </c>
      <c r="B1102" s="1" t="n">
        <v>44649.47048611111</v>
      </c>
      <c r="C1102" s="1" t="n">
        <v>45930</v>
      </c>
      <c r="D1102" t="inlineStr">
        <is>
          <t>JÄMTLANDS LÄN</t>
        </is>
      </c>
      <c r="E1102" t="inlineStr">
        <is>
          <t>RAGUNDA</t>
        </is>
      </c>
      <c r="F1102" t="inlineStr">
        <is>
          <t>Kommuner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45930</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c r="A1104" t="inlineStr">
        <is>
          <t>A 4212-2024</t>
        </is>
      </c>
      <c r="B1104" s="1" t="n">
        <v>45324</v>
      </c>
      <c r="C1104" s="1" t="n">
        <v>45930</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2025-09-30T12:20:05Z</dcterms:created>
  <dcterms:modified xmlns:dcterms="http://purl.org/dc/terms/" xmlns:xsi="http://www.w3.org/2001/XMLSchema-instance" xsi:type="dcterms:W3CDTF">2025-09-30T12:20:06Z</dcterms:modified>
</cp:coreProperties>
</file>