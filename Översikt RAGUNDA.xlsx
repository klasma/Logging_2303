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46052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46052</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46052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46052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46052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46052</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46052</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46052</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29068-2023</t>
        </is>
      </c>
      <c r="B10" s="1" t="n">
        <v>45104</v>
      </c>
      <c r="C10" s="1" t="n">
        <v>46052</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46052</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46052</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46052</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46052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10625-2024</t>
        </is>
      </c>
      <c r="B15" s="1" t="n">
        <v>45367.04916666666</v>
      </c>
      <c r="C15" s="1" t="n">
        <v>46052</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54810-2021</t>
        </is>
      </c>
      <c r="B16" s="1" t="n">
        <v>44473</v>
      </c>
      <c r="C16" s="1" t="n">
        <v>46052</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46052</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59762-2024</t>
        </is>
      </c>
      <c r="B18" s="1" t="n">
        <v>45639.55269675926</v>
      </c>
      <c r="C18" s="1" t="n">
        <v>46052</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46052</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46052</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46052</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46052</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46052</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46052</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31839-2022</t>
        </is>
      </c>
      <c r="B25" s="1" t="n">
        <v>44776</v>
      </c>
      <c r="C25" s="1" t="n">
        <v>46052</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25632-2025</t>
        </is>
      </c>
      <c r="B26" s="1" t="n">
        <v>45803.59474537037</v>
      </c>
      <c r="C26" s="1" t="n">
        <v>46052</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9347-2024</t>
        </is>
      </c>
      <c r="B27" s="1" t="n">
        <v>45358.99375</v>
      </c>
      <c r="C27" s="1" t="n">
        <v>46052</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32741-2025</t>
        </is>
      </c>
      <c r="B28" s="1" t="n">
        <v>45839.42482638889</v>
      </c>
      <c r="C28" s="1" t="n">
        <v>46052</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36943-2022</t>
        </is>
      </c>
      <c r="B29" s="1" t="n">
        <v>44805</v>
      </c>
      <c r="C29" s="1" t="n">
        <v>46052</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46052</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10982-2025</t>
        </is>
      </c>
      <c r="B31" s="1" t="n">
        <v>45723.40688657408</v>
      </c>
      <c r="C31" s="1" t="n">
        <v>46052</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41412-2024</t>
        </is>
      </c>
      <c r="B32" s="1" t="n">
        <v>45560.34484953704</v>
      </c>
      <c r="C32" s="1" t="n">
        <v>46052</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13483-2022</t>
        </is>
      </c>
      <c r="B33" s="1" t="n">
        <v>44645.99859953704</v>
      </c>
      <c r="C33" s="1" t="n">
        <v>46052</v>
      </c>
      <c r="D33" t="inlineStr">
        <is>
          <t>JÄMTLANDS LÄN</t>
        </is>
      </c>
      <c r="E33" t="inlineStr">
        <is>
          <t>RAGUNDA</t>
        </is>
      </c>
      <c r="F33" t="inlineStr">
        <is>
          <t>SCA</t>
        </is>
      </c>
      <c r="G33" t="n">
        <v>5.7</v>
      </c>
      <c r="H33" t="n">
        <v>1</v>
      </c>
      <c r="I33" t="n">
        <v>3</v>
      </c>
      <c r="J33" t="n">
        <v>6</v>
      </c>
      <c r="K33" t="n">
        <v>1</v>
      </c>
      <c r="L33" t="n">
        <v>0</v>
      </c>
      <c r="M33" t="n">
        <v>0</v>
      </c>
      <c r="N33" t="n">
        <v>0</v>
      </c>
      <c r="O33" t="n">
        <v>7</v>
      </c>
      <c r="P33" t="n">
        <v>1</v>
      </c>
      <c r="Q33" t="n">
        <v>10</v>
      </c>
      <c r="R33" s="2" t="inlineStr">
        <is>
          <t>Knärot
Garnlav
Lunglav
Mörk kolflarnlav
Vedskivlav
Vedtrappmossa
Vitgrynig nållav
Barkkornlav
Dropptaggsvamp
Stuplav</t>
        </is>
      </c>
      <c r="S33">
        <f>HYPERLINK("https://klasma.github.io/Logging_2303/artfynd/A 13483-2022 artfynd.xlsx", "A 13483-2022")</f>
        <v/>
      </c>
      <c r="T33">
        <f>HYPERLINK("https://klasma.github.io/Logging_2303/kartor/A 13483-2022 karta.png", "A 13483-2022")</f>
        <v/>
      </c>
      <c r="U33">
        <f>HYPERLINK("https://klasma.github.io/Logging_2303/knärot/A 13483-2022 karta knärot.png", "A 13483-2022")</f>
        <v/>
      </c>
      <c r="V33">
        <f>HYPERLINK("https://klasma.github.io/Logging_2303/klagomål/A 13483-2022 FSC-klagomål.docx", "A 13483-2022")</f>
        <v/>
      </c>
      <c r="W33">
        <f>HYPERLINK("https://klasma.github.io/Logging_2303/klagomålsmail/A 13483-2022 FSC-klagomål mail.docx", "A 13483-2022")</f>
        <v/>
      </c>
      <c r="X33">
        <f>HYPERLINK("https://klasma.github.io/Logging_2303/tillsyn/A 13483-2022 tillsynsbegäran.docx", "A 13483-2022")</f>
        <v/>
      </c>
      <c r="Y33">
        <f>HYPERLINK("https://klasma.github.io/Logging_2303/tillsynsmail/A 13483-2022 tillsynsbegäran mail.docx", "A 13483-2022")</f>
        <v/>
      </c>
    </row>
    <row r="34" ht="15" customHeight="1">
      <c r="A34" t="inlineStr">
        <is>
          <t>A 4591-2024</t>
        </is>
      </c>
      <c r="B34" s="1" t="n">
        <v>45327</v>
      </c>
      <c r="C34" s="1" t="n">
        <v>46052</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4146-2025</t>
        </is>
      </c>
      <c r="B35" s="1" t="n">
        <v>45685.36501157407</v>
      </c>
      <c r="C35" s="1" t="n">
        <v>46052</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33822-2023</t>
        </is>
      </c>
      <c r="B36" s="1" t="n">
        <v>45121</v>
      </c>
      <c r="C36" s="1" t="n">
        <v>46052</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46052</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46052</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46052</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46052</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45008-2023</t>
        </is>
      </c>
      <c r="B41" s="1" t="n">
        <v>45190.96092592592</v>
      </c>
      <c r="C41" s="1" t="n">
        <v>46052</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46052</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30876-2025</t>
        </is>
      </c>
      <c r="B43" s="1" t="n">
        <v>45832.34461805555</v>
      </c>
      <c r="C43" s="1" t="n">
        <v>46052</v>
      </c>
      <c r="D43" t="inlineStr">
        <is>
          <t>JÄMTLANDS LÄN</t>
        </is>
      </c>
      <c r="E43" t="inlineStr">
        <is>
          <t>RAGUNDA</t>
        </is>
      </c>
      <c r="F43" t="inlineStr">
        <is>
          <t>SCA</t>
        </is>
      </c>
      <c r="G43" t="n">
        <v>5.5</v>
      </c>
      <c r="H43" t="n">
        <v>6</v>
      </c>
      <c r="I43" t="n">
        <v>1</v>
      </c>
      <c r="J43" t="n">
        <v>5</v>
      </c>
      <c r="K43" t="n">
        <v>1</v>
      </c>
      <c r="L43" t="n">
        <v>0</v>
      </c>
      <c r="M43" t="n">
        <v>0</v>
      </c>
      <c r="N43" t="n">
        <v>0</v>
      </c>
      <c r="O43" t="n">
        <v>6</v>
      </c>
      <c r="P43" t="n">
        <v>1</v>
      </c>
      <c r="Q43" t="n">
        <v>9</v>
      </c>
      <c r="R43" s="2" t="inlineStr">
        <is>
          <t>Knärot
Järpe
Lunglav
Spillkråka
Tallticka
Tretåig hackspett
Kamjordstjärna
Tjäder
Nattviol</t>
        </is>
      </c>
      <c r="S43">
        <f>HYPERLINK("https://klasma.github.io/Logging_2303/artfynd/A 30876-2025 artfynd.xlsx", "A 30876-2025")</f>
        <v/>
      </c>
      <c r="T43">
        <f>HYPERLINK("https://klasma.github.io/Logging_2303/kartor/A 30876-2025 karta.png", "A 30876-2025")</f>
        <v/>
      </c>
      <c r="U43">
        <f>HYPERLINK("https://klasma.github.io/Logging_2303/knärot/A 30876-2025 karta knärot.png", "A 30876-2025")</f>
        <v/>
      </c>
      <c r="V43">
        <f>HYPERLINK("https://klasma.github.io/Logging_2303/klagomål/A 30876-2025 FSC-klagomål.docx", "A 30876-2025")</f>
        <v/>
      </c>
      <c r="W43">
        <f>HYPERLINK("https://klasma.github.io/Logging_2303/klagomålsmail/A 30876-2025 FSC-klagomål mail.docx", "A 30876-2025")</f>
        <v/>
      </c>
      <c r="X43">
        <f>HYPERLINK("https://klasma.github.io/Logging_2303/tillsyn/A 30876-2025 tillsynsbegäran.docx", "A 30876-2025")</f>
        <v/>
      </c>
      <c r="Y43">
        <f>HYPERLINK("https://klasma.github.io/Logging_2303/tillsynsmail/A 30876-2025 tillsynsbegäran mail.docx", "A 30876-2025")</f>
        <v/>
      </c>
      <c r="Z43">
        <f>HYPERLINK("https://klasma.github.io/Logging_2303/fåglar/A 30876-2025 prioriterade fågelarter.docx", "A 30876-2025")</f>
        <v/>
      </c>
    </row>
    <row r="44" ht="15" customHeight="1">
      <c r="A44" t="inlineStr">
        <is>
          <t>A 12372-2024</t>
        </is>
      </c>
      <c r="B44" s="1" t="n">
        <v>45378</v>
      </c>
      <c r="C44" s="1" t="n">
        <v>46052</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58876-2025</t>
        </is>
      </c>
      <c r="B45" s="1" t="n">
        <v>45987.46929398148</v>
      </c>
      <c r="C45" s="1" t="n">
        <v>46052</v>
      </c>
      <c r="D45" t="inlineStr">
        <is>
          <t>JÄMTLANDS LÄN</t>
        </is>
      </c>
      <c r="E45" t="inlineStr">
        <is>
          <t>RAGUNDA</t>
        </is>
      </c>
      <c r="F45" t="inlineStr">
        <is>
          <t>SCA</t>
        </is>
      </c>
      <c r="G45" t="n">
        <v>6.3</v>
      </c>
      <c r="H45" t="n">
        <v>2</v>
      </c>
      <c r="I45" t="n">
        <v>0</v>
      </c>
      <c r="J45" t="n">
        <v>7</v>
      </c>
      <c r="K45" t="n">
        <v>1</v>
      </c>
      <c r="L45" t="n">
        <v>0</v>
      </c>
      <c r="M45" t="n">
        <v>0</v>
      </c>
      <c r="N45" t="n">
        <v>0</v>
      </c>
      <c r="O45" t="n">
        <v>8</v>
      </c>
      <c r="P45" t="n">
        <v>1</v>
      </c>
      <c r="Q45" t="n">
        <v>9</v>
      </c>
      <c r="R45" s="2" t="inlineStr">
        <is>
          <t>Knärot
Gammelgransskål
Garnlav
Granticka
Lunglav
Rosenticka
Ullticka
Vitgrynig nållav
Fläcknycklar</t>
        </is>
      </c>
      <c r="S45">
        <f>HYPERLINK("https://klasma.github.io/Logging_2303/artfynd/A 58876-2025 artfynd.xlsx", "A 58876-2025")</f>
        <v/>
      </c>
      <c r="T45">
        <f>HYPERLINK("https://klasma.github.io/Logging_2303/kartor/A 58876-2025 karta.png", "A 58876-2025")</f>
        <v/>
      </c>
      <c r="U45">
        <f>HYPERLINK("https://klasma.github.io/Logging_2303/knärot/A 58876-2025 karta knärot.png", "A 58876-2025")</f>
        <v/>
      </c>
      <c r="V45">
        <f>HYPERLINK("https://klasma.github.io/Logging_2303/klagomål/A 58876-2025 FSC-klagomål.docx", "A 58876-2025")</f>
        <v/>
      </c>
      <c r="W45">
        <f>HYPERLINK("https://klasma.github.io/Logging_2303/klagomålsmail/A 58876-2025 FSC-klagomål mail.docx", "A 58876-2025")</f>
        <v/>
      </c>
      <c r="X45">
        <f>HYPERLINK("https://klasma.github.io/Logging_2303/tillsyn/A 58876-2025 tillsynsbegäran.docx", "A 58876-2025")</f>
        <v/>
      </c>
      <c r="Y45">
        <f>HYPERLINK("https://klasma.github.io/Logging_2303/tillsynsmail/A 58876-2025 tillsynsbegäran mail.docx", "A 58876-2025")</f>
        <v/>
      </c>
    </row>
    <row r="46" ht="15" customHeight="1">
      <c r="A46" t="inlineStr">
        <is>
          <t>A 42393-2025</t>
        </is>
      </c>
      <c r="B46" s="1" t="n">
        <v>45905</v>
      </c>
      <c r="C46" s="1" t="n">
        <v>46052</v>
      </c>
      <c r="D46" t="inlineStr">
        <is>
          <t>JÄMTLANDS LÄN</t>
        </is>
      </c>
      <c r="E46" t="inlineStr">
        <is>
          <t>RAGUNDA</t>
        </is>
      </c>
      <c r="G46" t="n">
        <v>8.800000000000001</v>
      </c>
      <c r="H46" t="n">
        <v>6</v>
      </c>
      <c r="I46" t="n">
        <v>0</v>
      </c>
      <c r="J46" t="n">
        <v>4</v>
      </c>
      <c r="K46" t="n">
        <v>2</v>
      </c>
      <c r="L46" t="n">
        <v>0</v>
      </c>
      <c r="M46" t="n">
        <v>0</v>
      </c>
      <c r="N46" t="n">
        <v>0</v>
      </c>
      <c r="O46" t="n">
        <v>6</v>
      </c>
      <c r="P46" t="n">
        <v>2</v>
      </c>
      <c r="Q46" t="n">
        <v>9</v>
      </c>
      <c r="R46" s="2" t="inlineStr">
        <is>
          <t>Doftticka
Knärot
Garnlav
Lunglav
Tallticka
Tretåig hackspett
Lavskrika
Fläcknycklar
Blåsippa</t>
        </is>
      </c>
      <c r="S46">
        <f>HYPERLINK("https://klasma.github.io/Logging_2303/artfynd/A 42393-2025 artfynd.xlsx", "A 42393-2025")</f>
        <v/>
      </c>
      <c r="T46">
        <f>HYPERLINK("https://klasma.github.io/Logging_2303/kartor/A 42393-2025 karta.png", "A 42393-2025")</f>
        <v/>
      </c>
      <c r="U46">
        <f>HYPERLINK("https://klasma.github.io/Logging_2303/knärot/A 42393-2025 karta knärot.png", "A 42393-2025")</f>
        <v/>
      </c>
      <c r="V46">
        <f>HYPERLINK("https://klasma.github.io/Logging_2303/klagomål/A 42393-2025 FSC-klagomål.docx", "A 42393-2025")</f>
        <v/>
      </c>
      <c r="W46">
        <f>HYPERLINK("https://klasma.github.io/Logging_2303/klagomålsmail/A 42393-2025 FSC-klagomål mail.docx", "A 42393-2025")</f>
        <v/>
      </c>
      <c r="X46">
        <f>HYPERLINK("https://klasma.github.io/Logging_2303/tillsyn/A 42393-2025 tillsynsbegäran.docx", "A 42393-2025")</f>
        <v/>
      </c>
      <c r="Y46">
        <f>HYPERLINK("https://klasma.github.io/Logging_2303/tillsynsmail/A 42393-2025 tillsynsbegäran mail.docx", "A 42393-2025")</f>
        <v/>
      </c>
      <c r="Z46">
        <f>HYPERLINK("https://klasma.github.io/Logging_2303/fåglar/A 42393-2025 prioriterade fågelarter.docx", "A 42393-2025")</f>
        <v/>
      </c>
    </row>
    <row r="47" ht="15" customHeight="1">
      <c r="A47" t="inlineStr">
        <is>
          <t>A 3634-2024</t>
        </is>
      </c>
      <c r="B47" s="1" t="n">
        <v>45320</v>
      </c>
      <c r="C47" s="1" t="n">
        <v>46052</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46052</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46052</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51037-2025</t>
        </is>
      </c>
      <c r="B50" s="1" t="n">
        <v>45947.40729166667</v>
      </c>
      <c r="C50" s="1" t="n">
        <v>46052</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59107-2025</t>
        </is>
      </c>
      <c r="B51" s="1" t="n">
        <v>45988.46924768519</v>
      </c>
      <c r="C51" s="1" t="n">
        <v>46052</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60129-2025</t>
        </is>
      </c>
      <c r="B52" s="1" t="n">
        <v>45994.34461805555</v>
      </c>
      <c r="C52" s="1" t="n">
        <v>46052</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32475-2023</t>
        </is>
      </c>
      <c r="B53" s="1" t="n">
        <v>45120</v>
      </c>
      <c r="C53" s="1" t="n">
        <v>46052</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62738-2025</t>
        </is>
      </c>
      <c r="B54" s="1" t="n">
        <v>46008.57341435185</v>
      </c>
      <c r="C54" s="1" t="n">
        <v>46052</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46052</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46052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46052</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46052</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46052</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24169-2021</t>
        </is>
      </c>
      <c r="B60" s="1" t="n">
        <v>44336</v>
      </c>
      <c r="C60" s="1" t="n">
        <v>46052</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33806-2023</t>
        </is>
      </c>
      <c r="B61" s="1" t="n">
        <v>45121</v>
      </c>
      <c r="C61" s="1" t="n">
        <v>46052</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19399-2025</t>
        </is>
      </c>
      <c r="B62" s="1" t="n">
        <v>45769.67740740741</v>
      </c>
      <c r="C62" s="1" t="n">
        <v>46052</v>
      </c>
      <c r="D62" t="inlineStr">
        <is>
          <t>JÄMTLANDS LÄN</t>
        </is>
      </c>
      <c r="E62" t="inlineStr">
        <is>
          <t>RAGUNDA</t>
        </is>
      </c>
      <c r="F62" t="inlineStr">
        <is>
          <t>SCA</t>
        </is>
      </c>
      <c r="G62" t="n">
        <v>3.8</v>
      </c>
      <c r="H62" t="n">
        <v>2</v>
      </c>
      <c r="I62" t="n">
        <v>2</v>
      </c>
      <c r="J62" t="n">
        <v>4</v>
      </c>
      <c r="K62" t="n">
        <v>0</v>
      </c>
      <c r="L62" t="n">
        <v>0</v>
      </c>
      <c r="M62" t="n">
        <v>0</v>
      </c>
      <c r="N62" t="n">
        <v>0</v>
      </c>
      <c r="O62" t="n">
        <v>4</v>
      </c>
      <c r="P62" t="n">
        <v>0</v>
      </c>
      <c r="Q62" t="n">
        <v>7</v>
      </c>
      <c r="R62" s="2" t="inlineStr">
        <is>
          <t>Lunglav
Skrovellav
Tretåig hackspett
Ullticka
Skinnlav
Stuplav
Nattviol</t>
        </is>
      </c>
      <c r="S62">
        <f>HYPERLINK("https://klasma.github.io/Logging_2303/artfynd/A 19399-2025 artfynd.xlsx", "A 19399-2025")</f>
        <v/>
      </c>
      <c r="T62">
        <f>HYPERLINK("https://klasma.github.io/Logging_2303/kartor/A 19399-2025 karta.png", "A 19399-2025")</f>
        <v/>
      </c>
      <c r="V62">
        <f>HYPERLINK("https://klasma.github.io/Logging_2303/klagomål/A 19399-2025 FSC-klagomål.docx", "A 19399-2025")</f>
        <v/>
      </c>
      <c r="W62">
        <f>HYPERLINK("https://klasma.github.io/Logging_2303/klagomålsmail/A 19399-2025 FSC-klagomål mail.docx", "A 19399-2025")</f>
        <v/>
      </c>
      <c r="X62">
        <f>HYPERLINK("https://klasma.github.io/Logging_2303/tillsyn/A 19399-2025 tillsynsbegäran.docx", "A 19399-2025")</f>
        <v/>
      </c>
      <c r="Y62">
        <f>HYPERLINK("https://klasma.github.io/Logging_2303/tillsynsmail/A 19399-2025 tillsynsbegäran mail.docx", "A 19399-2025")</f>
        <v/>
      </c>
      <c r="Z62">
        <f>HYPERLINK("https://klasma.github.io/Logging_2303/fåglar/A 19399-2025 prioriterade fågelarter.docx", "A 19399-2025")</f>
        <v/>
      </c>
    </row>
    <row r="63" ht="15" customHeight="1">
      <c r="A63" t="inlineStr">
        <is>
          <t>A 61386-2022</t>
        </is>
      </c>
      <c r="B63" s="1" t="n">
        <v>44915</v>
      </c>
      <c r="C63" s="1" t="n">
        <v>46052</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27913-2024</t>
        </is>
      </c>
      <c r="B64" s="1" t="n">
        <v>45475.94796296296</v>
      </c>
      <c r="C64" s="1" t="n">
        <v>46052</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15977-2024</t>
        </is>
      </c>
      <c r="B65" s="1" t="n">
        <v>45405.57392361111</v>
      </c>
      <c r="C65" s="1" t="n">
        <v>46052</v>
      </c>
      <c r="D65" t="inlineStr">
        <is>
          <t>JÄMTLANDS LÄN</t>
        </is>
      </c>
      <c r="E65" t="inlineStr">
        <is>
          <t>RAGUNDA</t>
        </is>
      </c>
      <c r="F65" t="inlineStr">
        <is>
          <t>Kommuner</t>
        </is>
      </c>
      <c r="G65" t="n">
        <v>12.1</v>
      </c>
      <c r="H65" t="n">
        <v>0</v>
      </c>
      <c r="I65" t="n">
        <v>1</v>
      </c>
      <c r="J65" t="n">
        <v>6</v>
      </c>
      <c r="K65" t="n">
        <v>0</v>
      </c>
      <c r="L65" t="n">
        <v>0</v>
      </c>
      <c r="M65" t="n">
        <v>0</v>
      </c>
      <c r="N65" t="n">
        <v>0</v>
      </c>
      <c r="O65" t="n">
        <v>6</v>
      </c>
      <c r="P65" t="n">
        <v>0</v>
      </c>
      <c r="Q65" t="n">
        <v>7</v>
      </c>
      <c r="R65" s="2" t="inlineStr">
        <is>
          <t>Blanksvart spiklav
Dvärgbägarlav
Garnlav
Mörk kolflarnlav
Ullticka
Vedflamlav
Dropptaggsvamp</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41929-2023</t>
        </is>
      </c>
      <c r="B66" s="1" t="n">
        <v>45176</v>
      </c>
      <c r="C66" s="1" t="n">
        <v>46052</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37237-2023</t>
        </is>
      </c>
      <c r="B67" s="1" t="n">
        <v>45155</v>
      </c>
      <c r="C67" s="1" t="n">
        <v>46052</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11828-2023</t>
        </is>
      </c>
      <c r="B68" s="1" t="n">
        <v>44994</v>
      </c>
      <c r="C68" s="1" t="n">
        <v>46052</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933-2023</t>
        </is>
      </c>
      <c r="B69" s="1" t="n">
        <v>44932</v>
      </c>
      <c r="C69" s="1" t="n">
        <v>46052</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24431-2024</t>
        </is>
      </c>
      <c r="B70" s="1" t="n">
        <v>45457</v>
      </c>
      <c r="C70" s="1" t="n">
        <v>46052</v>
      </c>
      <c r="D70" t="inlineStr">
        <is>
          <t>JÄMTLANDS LÄN</t>
        </is>
      </c>
      <c r="E70" t="inlineStr">
        <is>
          <t>RAGUNDA</t>
        </is>
      </c>
      <c r="F70" t="inlineStr">
        <is>
          <t>SCA</t>
        </is>
      </c>
      <c r="G70" t="n">
        <v>3.6</v>
      </c>
      <c r="H70" t="n">
        <v>1</v>
      </c>
      <c r="I70" t="n">
        <v>0</v>
      </c>
      <c r="J70" t="n">
        <v>6</v>
      </c>
      <c r="K70" t="n">
        <v>0</v>
      </c>
      <c r="L70" t="n">
        <v>0</v>
      </c>
      <c r="M70" t="n">
        <v>0</v>
      </c>
      <c r="N70" t="n">
        <v>0</v>
      </c>
      <c r="O70" t="n">
        <v>6</v>
      </c>
      <c r="P70" t="n">
        <v>0</v>
      </c>
      <c r="Q70" t="n">
        <v>6</v>
      </c>
      <c r="R70" s="2" t="inlineStr">
        <is>
          <t>Doftskinn
Gammelgransskål
Rosenticka
Tretåig hackspett
Ullticka
Vitgrynig nållav</t>
        </is>
      </c>
      <c r="S70">
        <f>HYPERLINK("https://klasma.github.io/Logging_2303/artfynd/A 24431-2024 artfynd.xlsx", "A 24431-2024")</f>
        <v/>
      </c>
      <c r="T70">
        <f>HYPERLINK("https://klasma.github.io/Logging_2303/kartor/A 24431-2024 karta.png", "A 24431-2024")</f>
        <v/>
      </c>
      <c r="V70">
        <f>HYPERLINK("https://klasma.github.io/Logging_2303/klagomål/A 24431-2024 FSC-klagomål.docx", "A 24431-2024")</f>
        <v/>
      </c>
      <c r="W70">
        <f>HYPERLINK("https://klasma.github.io/Logging_2303/klagomålsmail/A 24431-2024 FSC-klagomål mail.docx", "A 24431-2024")</f>
        <v/>
      </c>
      <c r="X70">
        <f>HYPERLINK("https://klasma.github.io/Logging_2303/tillsyn/A 24431-2024 tillsynsbegäran.docx", "A 24431-2024")</f>
        <v/>
      </c>
      <c r="Y70">
        <f>HYPERLINK("https://klasma.github.io/Logging_2303/tillsynsmail/A 24431-2024 tillsynsbegäran mail.docx", "A 24431-2024")</f>
        <v/>
      </c>
      <c r="Z70">
        <f>HYPERLINK("https://klasma.github.io/Logging_2303/fåglar/A 24431-2024 prioriterade fågelarter.docx", "A 24431-2024")</f>
        <v/>
      </c>
    </row>
    <row r="71" ht="15" customHeight="1">
      <c r="A71" t="inlineStr">
        <is>
          <t>A 19402-2025</t>
        </is>
      </c>
      <c r="B71" s="1" t="n">
        <v>45769.67778935185</v>
      </c>
      <c r="C71" s="1" t="n">
        <v>46052</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30884-2025</t>
        </is>
      </c>
      <c r="B72" s="1" t="n">
        <v>45832.34564814815</v>
      </c>
      <c r="C72" s="1" t="n">
        <v>46052</v>
      </c>
      <c r="D72" t="inlineStr">
        <is>
          <t>JÄMTLANDS LÄN</t>
        </is>
      </c>
      <c r="E72" t="inlineStr">
        <is>
          <t>RAGUNDA</t>
        </is>
      </c>
      <c r="F72" t="inlineStr">
        <is>
          <t>SCA</t>
        </is>
      </c>
      <c r="G72" t="n">
        <v>5.7</v>
      </c>
      <c r="H72" t="n">
        <v>0</v>
      </c>
      <c r="I72" t="n">
        <v>1</v>
      </c>
      <c r="J72" t="n">
        <v>5</v>
      </c>
      <c r="K72" t="n">
        <v>0</v>
      </c>
      <c r="L72" t="n">
        <v>0</v>
      </c>
      <c r="M72" t="n">
        <v>0</v>
      </c>
      <c r="N72" t="n">
        <v>0</v>
      </c>
      <c r="O72" t="n">
        <v>5</v>
      </c>
      <c r="P72" t="n">
        <v>0</v>
      </c>
      <c r="Q72" t="n">
        <v>6</v>
      </c>
      <c r="R72" s="2" t="inlineStr">
        <is>
          <t>Garnlav
Granticka
Rosenticka
Stjärntagging
Ullticka
Rödgul trumpetsvamp</t>
        </is>
      </c>
      <c r="S72">
        <f>HYPERLINK("https://klasma.github.io/Logging_2303/artfynd/A 30884-2025 artfynd.xlsx", "A 30884-2025")</f>
        <v/>
      </c>
      <c r="T72">
        <f>HYPERLINK("https://klasma.github.io/Logging_2303/kartor/A 30884-2025 karta.png", "A 30884-2025")</f>
        <v/>
      </c>
      <c r="V72">
        <f>HYPERLINK("https://klasma.github.io/Logging_2303/klagomål/A 30884-2025 FSC-klagomål.docx", "A 30884-2025")</f>
        <v/>
      </c>
      <c r="W72">
        <f>HYPERLINK("https://klasma.github.io/Logging_2303/klagomålsmail/A 30884-2025 FSC-klagomål mail.docx", "A 30884-2025")</f>
        <v/>
      </c>
      <c r="X72">
        <f>HYPERLINK("https://klasma.github.io/Logging_2303/tillsyn/A 30884-2025 tillsynsbegäran.docx", "A 30884-2025")</f>
        <v/>
      </c>
      <c r="Y72">
        <f>HYPERLINK("https://klasma.github.io/Logging_2303/tillsynsmail/A 30884-2025 tillsynsbegäran mail.docx", "A 30884-2025")</f>
        <v/>
      </c>
    </row>
    <row r="73" ht="15" customHeight="1">
      <c r="A73" t="inlineStr">
        <is>
          <t>A 53021-2022</t>
        </is>
      </c>
      <c r="B73" s="1" t="n">
        <v>44875</v>
      </c>
      <c r="C73" s="1" t="n">
        <v>46052</v>
      </c>
      <c r="D73" t="inlineStr">
        <is>
          <t>JÄMTLANDS LÄN</t>
        </is>
      </c>
      <c r="E73" t="inlineStr">
        <is>
          <t>RAGUNDA</t>
        </is>
      </c>
      <c r="F73" t="inlineStr">
        <is>
          <t>SCA</t>
        </is>
      </c>
      <c r="G73" t="n">
        <v>6.1</v>
      </c>
      <c r="H73" t="n">
        <v>0</v>
      </c>
      <c r="I73" t="n">
        <v>2</v>
      </c>
      <c r="J73" t="n">
        <v>4</v>
      </c>
      <c r="K73" t="n">
        <v>0</v>
      </c>
      <c r="L73" t="n">
        <v>0</v>
      </c>
      <c r="M73" t="n">
        <v>0</v>
      </c>
      <c r="N73" t="n">
        <v>0</v>
      </c>
      <c r="O73" t="n">
        <v>4</v>
      </c>
      <c r="P73" t="n">
        <v>0</v>
      </c>
      <c r="Q73" t="n">
        <v>6</v>
      </c>
      <c r="R73" s="2" t="inlineStr">
        <is>
          <t>Gammelgransskål
Garnlav
Granticka
Vitgrynig nållav
Bollvitmossa
Ögonpyrola</t>
        </is>
      </c>
      <c r="S73">
        <f>HYPERLINK("https://klasma.github.io/Logging_2303/artfynd/A 53021-2022 artfynd.xlsx", "A 53021-2022")</f>
        <v/>
      </c>
      <c r="T73">
        <f>HYPERLINK("https://klasma.github.io/Logging_2303/kartor/A 53021-2022 karta.png", "A 53021-2022")</f>
        <v/>
      </c>
      <c r="V73">
        <f>HYPERLINK("https://klasma.github.io/Logging_2303/klagomål/A 53021-2022 FSC-klagomål.docx", "A 53021-2022")</f>
        <v/>
      </c>
      <c r="W73">
        <f>HYPERLINK("https://klasma.github.io/Logging_2303/klagomålsmail/A 53021-2022 FSC-klagomål mail.docx", "A 53021-2022")</f>
        <v/>
      </c>
      <c r="X73">
        <f>HYPERLINK("https://klasma.github.io/Logging_2303/tillsyn/A 53021-2022 tillsynsbegäran.docx", "A 53021-2022")</f>
        <v/>
      </c>
      <c r="Y73">
        <f>HYPERLINK("https://klasma.github.io/Logging_2303/tillsynsmail/A 53021-2022 tillsynsbegäran mail.docx", "A 53021-2022")</f>
        <v/>
      </c>
    </row>
    <row r="74" ht="15" customHeight="1">
      <c r="A74" t="inlineStr">
        <is>
          <t>A 39973-2025</t>
        </is>
      </c>
      <c r="B74" s="1" t="n">
        <v>45893.38584490741</v>
      </c>
      <c r="C74" s="1" t="n">
        <v>46052</v>
      </c>
      <c r="D74" t="inlineStr">
        <is>
          <t>JÄMTLANDS LÄN</t>
        </is>
      </c>
      <c r="E74" t="inlineStr">
        <is>
          <t>RAGUNDA</t>
        </is>
      </c>
      <c r="F74" t="inlineStr">
        <is>
          <t>Naturvårdsverket</t>
        </is>
      </c>
      <c r="G74" t="n">
        <v>8</v>
      </c>
      <c r="H74" t="n">
        <v>0</v>
      </c>
      <c r="I74" t="n">
        <v>1</v>
      </c>
      <c r="J74" t="n">
        <v>5</v>
      </c>
      <c r="K74" t="n">
        <v>0</v>
      </c>
      <c r="L74" t="n">
        <v>0</v>
      </c>
      <c r="M74" t="n">
        <v>0</v>
      </c>
      <c r="N74" t="n">
        <v>0</v>
      </c>
      <c r="O74" t="n">
        <v>5</v>
      </c>
      <c r="P74" t="n">
        <v>0</v>
      </c>
      <c r="Q74" t="n">
        <v>6</v>
      </c>
      <c r="R74" s="2" t="inlineStr">
        <is>
          <t>Granticka
Lunglav
Mörk kolflarnlav
Tallticka
Vedskivlav
Skinnlav</t>
        </is>
      </c>
      <c r="S74">
        <f>HYPERLINK("https://klasma.github.io/Logging_2303/artfynd/A 39973-2025 artfynd.xlsx", "A 39973-2025")</f>
        <v/>
      </c>
      <c r="T74">
        <f>HYPERLINK("https://klasma.github.io/Logging_2303/kartor/A 39973-2025 karta.png", "A 39973-2025")</f>
        <v/>
      </c>
      <c r="V74">
        <f>HYPERLINK("https://klasma.github.io/Logging_2303/klagomål/A 39973-2025 FSC-klagomål.docx", "A 39973-2025")</f>
        <v/>
      </c>
      <c r="W74">
        <f>HYPERLINK("https://klasma.github.io/Logging_2303/klagomålsmail/A 39973-2025 FSC-klagomål mail.docx", "A 39973-2025")</f>
        <v/>
      </c>
      <c r="X74">
        <f>HYPERLINK("https://klasma.github.io/Logging_2303/tillsyn/A 39973-2025 tillsynsbegäran.docx", "A 39973-2025")</f>
        <v/>
      </c>
      <c r="Y74">
        <f>HYPERLINK("https://klasma.github.io/Logging_2303/tillsynsmail/A 39973-2025 tillsynsbegäran mail.docx", "A 39973-2025")</f>
        <v/>
      </c>
    </row>
    <row r="75" ht="15" customHeight="1">
      <c r="A75" t="inlineStr">
        <is>
          <t>A 36276-2025</t>
        </is>
      </c>
      <c r="B75" s="1" t="n">
        <v>45867.63619212963</v>
      </c>
      <c r="C75" s="1" t="n">
        <v>46052</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26326-2024</t>
        </is>
      </c>
      <c r="B76" s="1" t="n">
        <v>45468.97528935185</v>
      </c>
      <c r="C76" s="1" t="n">
        <v>46052</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46052</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49291-2025</t>
        </is>
      </c>
      <c r="B78" s="1" t="n">
        <v>45938.53188657408</v>
      </c>
      <c r="C78" s="1" t="n">
        <v>46052</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2193-2026</t>
        </is>
      </c>
      <c r="B79" s="1" t="n">
        <v>46036.46946759259</v>
      </c>
      <c r="C79" s="1" t="n">
        <v>46052</v>
      </c>
      <c r="D79" t="inlineStr">
        <is>
          <t>JÄMTLANDS LÄN</t>
        </is>
      </c>
      <c r="E79" t="inlineStr">
        <is>
          <t>RAGUNDA</t>
        </is>
      </c>
      <c r="F79" t="inlineStr">
        <is>
          <t>SCA</t>
        </is>
      </c>
      <c r="G79" t="n">
        <v>2.4</v>
      </c>
      <c r="H79" t="n">
        <v>1</v>
      </c>
      <c r="I79" t="n">
        <v>1</v>
      </c>
      <c r="J79" t="n">
        <v>4</v>
      </c>
      <c r="K79" t="n">
        <v>1</v>
      </c>
      <c r="L79" t="n">
        <v>0</v>
      </c>
      <c r="M79" t="n">
        <v>0</v>
      </c>
      <c r="N79" t="n">
        <v>0</v>
      </c>
      <c r="O79" t="n">
        <v>5</v>
      </c>
      <c r="P79" t="n">
        <v>1</v>
      </c>
      <c r="Q79" t="n">
        <v>6</v>
      </c>
      <c r="R79" s="2" t="inlineStr">
        <is>
          <t>Knärot
Garnlav
Lunglav
Rosenticka
Ullticka
Luddlav</t>
        </is>
      </c>
      <c r="S79">
        <f>HYPERLINK("https://klasma.github.io/Logging_2303/artfynd/A 2193-2026 artfynd.xlsx", "A 2193-2026")</f>
        <v/>
      </c>
      <c r="T79">
        <f>HYPERLINK("https://klasma.github.io/Logging_2303/kartor/A 2193-2026 karta.png", "A 2193-2026")</f>
        <v/>
      </c>
      <c r="U79">
        <f>HYPERLINK("https://klasma.github.io/Logging_2303/knärot/A 2193-2026 karta knärot.png", "A 2193-2026")</f>
        <v/>
      </c>
      <c r="V79">
        <f>HYPERLINK("https://klasma.github.io/Logging_2303/klagomål/A 2193-2026 FSC-klagomål.docx", "A 2193-2026")</f>
        <v/>
      </c>
      <c r="W79">
        <f>HYPERLINK("https://klasma.github.io/Logging_2303/klagomålsmail/A 2193-2026 FSC-klagomål mail.docx", "A 2193-2026")</f>
        <v/>
      </c>
      <c r="X79">
        <f>HYPERLINK("https://klasma.github.io/Logging_2303/tillsyn/A 2193-2026 tillsynsbegäran.docx", "A 2193-2026")</f>
        <v/>
      </c>
      <c r="Y79">
        <f>HYPERLINK("https://klasma.github.io/Logging_2303/tillsynsmail/A 2193-2026 tillsynsbegäran mail.docx", "A 2193-2026")</f>
        <v/>
      </c>
    </row>
    <row r="80" ht="15" customHeight="1">
      <c r="A80" t="inlineStr">
        <is>
          <t>A 55646-2023</t>
        </is>
      </c>
      <c r="B80" s="1" t="n">
        <v>45238</v>
      </c>
      <c r="C80" s="1" t="n">
        <v>46052</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47115-2025</t>
        </is>
      </c>
      <c r="B81" s="1" t="n">
        <v>45929</v>
      </c>
      <c r="C81" s="1" t="n">
        <v>46052</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34317-2025</t>
        </is>
      </c>
      <c r="B82" s="1" t="n">
        <v>45846.41361111111</v>
      </c>
      <c r="C82" s="1" t="n">
        <v>46052</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30637-2024</t>
        </is>
      </c>
      <c r="B83" s="1" t="n">
        <v>45495</v>
      </c>
      <c r="C83" s="1" t="n">
        <v>46052</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21037-2021</t>
        </is>
      </c>
      <c r="B84" s="1" t="n">
        <v>44319</v>
      </c>
      <c r="C84" s="1" t="n">
        <v>46052</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46052</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45969-2023</t>
        </is>
      </c>
      <c r="B86" s="1" t="n">
        <v>45195</v>
      </c>
      <c r="C86" s="1" t="n">
        <v>46052</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15379-2024</t>
        </is>
      </c>
      <c r="B87" s="1" t="n">
        <v>45400.94002314815</v>
      </c>
      <c r="C87" s="1" t="n">
        <v>46052</v>
      </c>
      <c r="D87" t="inlineStr">
        <is>
          <t>JÄMTLANDS LÄN</t>
        </is>
      </c>
      <c r="E87" t="inlineStr">
        <is>
          <t>RAGUNDA</t>
        </is>
      </c>
      <c r="F87" t="inlineStr">
        <is>
          <t>SCA</t>
        </is>
      </c>
      <c r="G87" t="n">
        <v>4.2</v>
      </c>
      <c r="H87" t="n">
        <v>3</v>
      </c>
      <c r="I87" t="n">
        <v>3</v>
      </c>
      <c r="J87" t="n">
        <v>0</v>
      </c>
      <c r="K87" t="n">
        <v>1</v>
      </c>
      <c r="L87" t="n">
        <v>0</v>
      </c>
      <c r="M87" t="n">
        <v>0</v>
      </c>
      <c r="N87" t="n">
        <v>0</v>
      </c>
      <c r="O87" t="n">
        <v>1</v>
      </c>
      <c r="P87" t="n">
        <v>1</v>
      </c>
      <c r="Q87" t="n">
        <v>5</v>
      </c>
      <c r="R87" s="2" t="inlineStr">
        <is>
          <t>Knärot
Finbräken
Guckusko
Svavelriska
Blåsippa</t>
        </is>
      </c>
      <c r="S87">
        <f>HYPERLINK("https://klasma.github.io/Logging_2303/artfynd/A 15379-2024 artfynd.xlsx", "A 15379-2024")</f>
        <v/>
      </c>
      <c r="T87">
        <f>HYPERLINK("https://klasma.github.io/Logging_2303/kartor/A 15379-2024 karta.png", "A 15379-2024")</f>
        <v/>
      </c>
      <c r="U87">
        <f>HYPERLINK("https://klasma.github.io/Logging_2303/knärot/A 15379-2024 karta knärot.png", "A 15379-2024")</f>
        <v/>
      </c>
      <c r="V87">
        <f>HYPERLINK("https://klasma.github.io/Logging_2303/klagomål/A 15379-2024 FSC-klagomål.docx", "A 15379-2024")</f>
        <v/>
      </c>
      <c r="W87">
        <f>HYPERLINK("https://klasma.github.io/Logging_2303/klagomålsmail/A 15379-2024 FSC-klagomål mail.docx", "A 15379-2024")</f>
        <v/>
      </c>
      <c r="X87">
        <f>HYPERLINK("https://klasma.github.io/Logging_2303/tillsyn/A 15379-2024 tillsynsbegäran.docx", "A 15379-2024")</f>
        <v/>
      </c>
      <c r="Y87">
        <f>HYPERLINK("https://klasma.github.io/Logging_2303/tillsynsmail/A 15379-2024 tillsynsbegäran mail.docx", "A 15379-2024")</f>
        <v/>
      </c>
    </row>
    <row r="88" ht="15" customHeight="1">
      <c r="A88" t="inlineStr">
        <is>
          <t>A 43106-2023</t>
        </is>
      </c>
      <c r="B88" s="1" t="n">
        <v>45182</v>
      </c>
      <c r="C88" s="1" t="n">
        <v>46052</v>
      </c>
      <c r="D88" t="inlineStr">
        <is>
          <t>JÄMTLANDS LÄN</t>
        </is>
      </c>
      <c r="E88" t="inlineStr">
        <is>
          <t>RAGUNDA</t>
        </is>
      </c>
      <c r="F88" t="inlineStr">
        <is>
          <t>SCA</t>
        </is>
      </c>
      <c r="G88" t="n">
        <v>7.6</v>
      </c>
      <c r="H88" t="n">
        <v>0</v>
      </c>
      <c r="I88" t="n">
        <v>0</v>
      </c>
      <c r="J88" t="n">
        <v>5</v>
      </c>
      <c r="K88" t="n">
        <v>0</v>
      </c>
      <c r="L88" t="n">
        <v>0</v>
      </c>
      <c r="M88" t="n">
        <v>0</v>
      </c>
      <c r="N88" t="n">
        <v>0</v>
      </c>
      <c r="O88" t="n">
        <v>5</v>
      </c>
      <c r="P88" t="n">
        <v>0</v>
      </c>
      <c r="Q88" t="n">
        <v>5</v>
      </c>
      <c r="R88" s="2" t="inlineStr">
        <is>
          <t>Blanksvart spiklav
Blågrå svartspik
Harticka
Rosenticka
Ullticka</t>
        </is>
      </c>
      <c r="S88">
        <f>HYPERLINK("https://klasma.github.io/Logging_2303/artfynd/A 43106-2023 artfynd.xlsx", "A 43106-2023")</f>
        <v/>
      </c>
      <c r="T88">
        <f>HYPERLINK("https://klasma.github.io/Logging_2303/kartor/A 43106-2023 karta.png", "A 43106-2023")</f>
        <v/>
      </c>
      <c r="V88">
        <f>HYPERLINK("https://klasma.github.io/Logging_2303/klagomål/A 43106-2023 FSC-klagomål.docx", "A 43106-2023")</f>
        <v/>
      </c>
      <c r="W88">
        <f>HYPERLINK("https://klasma.github.io/Logging_2303/klagomålsmail/A 43106-2023 FSC-klagomål mail.docx", "A 43106-2023")</f>
        <v/>
      </c>
      <c r="X88">
        <f>HYPERLINK("https://klasma.github.io/Logging_2303/tillsyn/A 43106-2023 tillsynsbegäran.docx", "A 43106-2023")</f>
        <v/>
      </c>
      <c r="Y88">
        <f>HYPERLINK("https://klasma.github.io/Logging_2303/tillsynsmail/A 43106-2023 tillsynsbegäran mail.docx", "A 43106-2023")</f>
        <v/>
      </c>
    </row>
    <row r="89" ht="15" customHeight="1">
      <c r="A89" t="inlineStr">
        <is>
          <t>A 39365-2024</t>
        </is>
      </c>
      <c r="B89" s="1" t="n">
        <v>45551.46912037037</v>
      </c>
      <c r="C89" s="1" t="n">
        <v>46052</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46052</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27313-2024</t>
        </is>
      </c>
      <c r="B91" s="1" t="n">
        <v>45471.94623842592</v>
      </c>
      <c r="C91" s="1" t="n">
        <v>46052</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46052</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46052</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46052</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39974-2025</t>
        </is>
      </c>
      <c r="B95" s="1" t="n">
        <v>45893.38599537037</v>
      </c>
      <c r="C95" s="1" t="n">
        <v>46052</v>
      </c>
      <c r="D95" t="inlineStr">
        <is>
          <t>JÄMTLANDS LÄN</t>
        </is>
      </c>
      <c r="E95" t="inlineStr">
        <is>
          <t>RAGUNDA</t>
        </is>
      </c>
      <c r="F95" t="inlineStr">
        <is>
          <t>SCA</t>
        </is>
      </c>
      <c r="G95" t="n">
        <v>2.5</v>
      </c>
      <c r="H95" t="n">
        <v>0</v>
      </c>
      <c r="I95" t="n">
        <v>2</v>
      </c>
      <c r="J95" t="n">
        <v>3</v>
      </c>
      <c r="K95" t="n">
        <v>0</v>
      </c>
      <c r="L95" t="n">
        <v>0</v>
      </c>
      <c r="M95" t="n">
        <v>0</v>
      </c>
      <c r="N95" t="n">
        <v>0</v>
      </c>
      <c r="O95" t="n">
        <v>3</v>
      </c>
      <c r="P95" t="n">
        <v>0</v>
      </c>
      <c r="Q95" t="n">
        <v>5</v>
      </c>
      <c r="R95" s="2" t="inlineStr">
        <is>
          <t>Garnlav
Lunglav
Skrovellav
Dropptaggsvamp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60683-2022</t>
        </is>
      </c>
      <c r="B96" s="1" t="n">
        <v>44911</v>
      </c>
      <c r="C96" s="1" t="n">
        <v>46052</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13266-2023</t>
        </is>
      </c>
      <c r="B97" s="1" t="n">
        <v>45002.94356481481</v>
      </c>
      <c r="C97" s="1" t="n">
        <v>46052</v>
      </c>
      <c r="D97" t="inlineStr">
        <is>
          <t>JÄMTLANDS LÄN</t>
        </is>
      </c>
      <c r="E97" t="inlineStr">
        <is>
          <t>RAGUNDA</t>
        </is>
      </c>
      <c r="F97" t="inlineStr">
        <is>
          <t>SCA</t>
        </is>
      </c>
      <c r="G97" t="n">
        <v>4.1</v>
      </c>
      <c r="H97" t="n">
        <v>1</v>
      </c>
      <c r="I97" t="n">
        <v>0</v>
      </c>
      <c r="J97" t="n">
        <v>4</v>
      </c>
      <c r="K97" t="n">
        <v>0</v>
      </c>
      <c r="L97" t="n">
        <v>0</v>
      </c>
      <c r="M97" t="n">
        <v>0</v>
      </c>
      <c r="N97" t="n">
        <v>0</v>
      </c>
      <c r="O97" t="n">
        <v>4</v>
      </c>
      <c r="P97" t="n">
        <v>0</v>
      </c>
      <c r="Q97" t="n">
        <v>5</v>
      </c>
      <c r="R97" s="2" t="inlineStr">
        <is>
          <t>Gammelgransskål
Garnlav
Granticka
Lunglav
Revlummer</t>
        </is>
      </c>
      <c r="S97">
        <f>HYPERLINK("https://klasma.github.io/Logging_2303/artfynd/A 13266-2023 artfynd.xlsx", "A 13266-2023")</f>
        <v/>
      </c>
      <c r="T97">
        <f>HYPERLINK("https://klasma.github.io/Logging_2303/kartor/A 13266-2023 karta.png", "A 13266-2023")</f>
        <v/>
      </c>
      <c r="V97">
        <f>HYPERLINK("https://klasma.github.io/Logging_2303/klagomål/A 13266-2023 FSC-klagomål.docx", "A 13266-2023")</f>
        <v/>
      </c>
      <c r="W97">
        <f>HYPERLINK("https://klasma.github.io/Logging_2303/klagomålsmail/A 13266-2023 FSC-klagomål mail.docx", "A 13266-2023")</f>
        <v/>
      </c>
      <c r="X97">
        <f>HYPERLINK("https://klasma.github.io/Logging_2303/tillsyn/A 13266-2023 tillsynsbegäran.docx", "A 13266-2023")</f>
        <v/>
      </c>
      <c r="Y97">
        <f>HYPERLINK("https://klasma.github.io/Logging_2303/tillsynsmail/A 13266-2023 tillsynsbegäran mail.docx", "A 13266-2023")</f>
        <v/>
      </c>
    </row>
    <row r="98" ht="15" customHeight="1">
      <c r="A98" t="inlineStr">
        <is>
          <t>A 18629-2024</t>
        </is>
      </c>
      <c r="B98" s="1" t="n">
        <v>45425.96472222222</v>
      </c>
      <c r="C98" s="1" t="n">
        <v>46052</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38169-2024</t>
        </is>
      </c>
      <c r="B99" s="1" t="n">
        <v>45545.45748842593</v>
      </c>
      <c r="C99" s="1" t="n">
        <v>46052</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12024-2022</t>
        </is>
      </c>
      <c r="B100" s="1" t="n">
        <v>44635</v>
      </c>
      <c r="C100" s="1" t="n">
        <v>46052</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22469-2024</t>
        </is>
      </c>
      <c r="B101" s="1" t="n">
        <v>45446.95087962963</v>
      </c>
      <c r="C101" s="1" t="n">
        <v>46052</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57073-2023</t>
        </is>
      </c>
      <c r="B102" s="1" t="n">
        <v>45244</v>
      </c>
      <c r="C102" s="1" t="n">
        <v>46052</v>
      </c>
      <c r="D102" t="inlineStr">
        <is>
          <t>JÄMTLANDS LÄN</t>
        </is>
      </c>
      <c r="E102" t="inlineStr">
        <is>
          <t>RAGUNDA</t>
        </is>
      </c>
      <c r="F102" t="inlineStr">
        <is>
          <t>SCA</t>
        </is>
      </c>
      <c r="G102" t="n">
        <v>4.1</v>
      </c>
      <c r="H102" t="n">
        <v>1</v>
      </c>
      <c r="I102" t="n">
        <v>0</v>
      </c>
      <c r="J102" t="n">
        <v>4</v>
      </c>
      <c r="K102" t="n">
        <v>1</v>
      </c>
      <c r="L102" t="n">
        <v>0</v>
      </c>
      <c r="M102" t="n">
        <v>0</v>
      </c>
      <c r="N102" t="n">
        <v>0</v>
      </c>
      <c r="O102" t="n">
        <v>5</v>
      </c>
      <c r="P102" t="n">
        <v>1</v>
      </c>
      <c r="Q102" t="n">
        <v>5</v>
      </c>
      <c r="R102" s="2" t="inlineStr">
        <is>
          <t>Aspgelélav
Granticka
Lunglav
Tretåig hackspett
Ullticka</t>
        </is>
      </c>
      <c r="S102">
        <f>HYPERLINK("https://klasma.github.io/Logging_2303/artfynd/A 57073-2023 artfynd.xlsx", "A 57073-2023")</f>
        <v/>
      </c>
      <c r="T102">
        <f>HYPERLINK("https://klasma.github.io/Logging_2303/kartor/A 57073-2023 karta.png", "A 57073-2023")</f>
        <v/>
      </c>
      <c r="V102">
        <f>HYPERLINK("https://klasma.github.io/Logging_2303/klagomål/A 57073-2023 FSC-klagomål.docx", "A 57073-2023")</f>
        <v/>
      </c>
      <c r="W102">
        <f>HYPERLINK("https://klasma.github.io/Logging_2303/klagomålsmail/A 57073-2023 FSC-klagomål mail.docx", "A 57073-2023")</f>
        <v/>
      </c>
      <c r="X102">
        <f>HYPERLINK("https://klasma.github.io/Logging_2303/tillsyn/A 57073-2023 tillsynsbegäran.docx", "A 57073-2023")</f>
        <v/>
      </c>
      <c r="Y102">
        <f>HYPERLINK("https://klasma.github.io/Logging_2303/tillsynsmail/A 57073-2023 tillsynsbegäran mail.docx", "A 57073-2023")</f>
        <v/>
      </c>
      <c r="Z102">
        <f>HYPERLINK("https://klasma.github.io/Logging_2303/fåglar/A 57073-2023 prioriterade fågelarter.docx", "A 57073-2023")</f>
        <v/>
      </c>
    </row>
    <row r="103" ht="15" customHeight="1">
      <c r="A103" t="inlineStr">
        <is>
          <t>A 8636-2021</t>
        </is>
      </c>
      <c r="B103" s="1" t="n">
        <v>44245</v>
      </c>
      <c r="C103" s="1" t="n">
        <v>46052</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46052</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46052</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46052</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21372-2025</t>
        </is>
      </c>
      <c r="B107" s="1" t="n">
        <v>45782.44871527778</v>
      </c>
      <c r="C107" s="1" t="n">
        <v>46052</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52644-2024</t>
        </is>
      </c>
      <c r="B108" s="1" t="n">
        <v>45610.34415509259</v>
      </c>
      <c r="C108" s="1" t="n">
        <v>46052</v>
      </c>
      <c r="D108" t="inlineStr">
        <is>
          <t>JÄMTLANDS LÄN</t>
        </is>
      </c>
      <c r="E108" t="inlineStr">
        <is>
          <t>RAGUNDA</t>
        </is>
      </c>
      <c r="F108" t="inlineStr">
        <is>
          <t>SCA</t>
        </is>
      </c>
      <c r="G108" t="n">
        <v>6.6</v>
      </c>
      <c r="H108" t="n">
        <v>2</v>
      </c>
      <c r="I108" t="n">
        <v>1</v>
      </c>
      <c r="J108" t="n">
        <v>2</v>
      </c>
      <c r="K108" t="n">
        <v>1</v>
      </c>
      <c r="L108" t="n">
        <v>0</v>
      </c>
      <c r="M108" t="n">
        <v>0</v>
      </c>
      <c r="N108" t="n">
        <v>0</v>
      </c>
      <c r="O108" t="n">
        <v>3</v>
      </c>
      <c r="P108" t="n">
        <v>1</v>
      </c>
      <c r="Q108" t="n">
        <v>4</v>
      </c>
      <c r="R108" s="2" t="inlineStr">
        <is>
          <t>Doftticka
Gammelgransskål
Lunglav
Guckusko</t>
        </is>
      </c>
      <c r="S108">
        <f>HYPERLINK("https://klasma.github.io/Logging_2303/artfynd/A 52644-2024 artfynd.xlsx", "A 52644-2024")</f>
        <v/>
      </c>
      <c r="T108">
        <f>HYPERLINK("https://klasma.github.io/Logging_2303/kartor/A 52644-2024 karta.png", "A 52644-2024")</f>
        <v/>
      </c>
      <c r="V108">
        <f>HYPERLINK("https://klasma.github.io/Logging_2303/klagomål/A 52644-2024 FSC-klagomål.docx", "A 52644-2024")</f>
        <v/>
      </c>
      <c r="W108">
        <f>HYPERLINK("https://klasma.github.io/Logging_2303/klagomålsmail/A 52644-2024 FSC-klagomål mail.docx", "A 52644-2024")</f>
        <v/>
      </c>
      <c r="X108">
        <f>HYPERLINK("https://klasma.github.io/Logging_2303/tillsyn/A 52644-2024 tillsynsbegäran.docx", "A 52644-2024")</f>
        <v/>
      </c>
      <c r="Y108">
        <f>HYPERLINK("https://klasma.github.io/Logging_2303/tillsynsmail/A 52644-2024 tillsynsbegäran mail.docx", "A 52644-2024")</f>
        <v/>
      </c>
    </row>
    <row r="109" ht="15" customHeight="1">
      <c r="A109" t="inlineStr">
        <is>
          <t>A 12640-2024</t>
        </is>
      </c>
      <c r="B109" s="1" t="n">
        <v>45384</v>
      </c>
      <c r="C109" s="1" t="n">
        <v>46052</v>
      </c>
      <c r="D109" t="inlineStr">
        <is>
          <t>JÄMTLANDS LÄN</t>
        </is>
      </c>
      <c r="E109" t="inlineStr">
        <is>
          <t>RAGUNDA</t>
        </is>
      </c>
      <c r="G109" t="n">
        <v>3.3</v>
      </c>
      <c r="H109" t="n">
        <v>0</v>
      </c>
      <c r="I109" t="n">
        <v>2</v>
      </c>
      <c r="J109" t="n">
        <v>1</v>
      </c>
      <c r="K109" t="n">
        <v>1</v>
      </c>
      <c r="L109" t="n">
        <v>0</v>
      </c>
      <c r="M109" t="n">
        <v>0</v>
      </c>
      <c r="N109" t="n">
        <v>0</v>
      </c>
      <c r="O109" t="n">
        <v>2</v>
      </c>
      <c r="P109" t="n">
        <v>1</v>
      </c>
      <c r="Q109" t="n">
        <v>4</v>
      </c>
      <c r="R109" s="2" t="inlineStr">
        <is>
          <t>Spadskinn
Vedskivlav
Dropptaggsvamp
Skarp dropptaggsvamp</t>
        </is>
      </c>
      <c r="S109">
        <f>HYPERLINK("https://klasma.github.io/Logging_2303/artfynd/A 12640-2024 artfynd.xlsx", "A 12640-2024")</f>
        <v/>
      </c>
      <c r="T109">
        <f>HYPERLINK("https://klasma.github.io/Logging_2303/kartor/A 12640-2024 karta.png", "A 12640-2024")</f>
        <v/>
      </c>
      <c r="V109">
        <f>HYPERLINK("https://klasma.github.io/Logging_2303/klagomål/A 12640-2024 FSC-klagomål.docx", "A 12640-2024")</f>
        <v/>
      </c>
      <c r="W109">
        <f>HYPERLINK("https://klasma.github.io/Logging_2303/klagomålsmail/A 12640-2024 FSC-klagomål mail.docx", "A 12640-2024")</f>
        <v/>
      </c>
      <c r="X109">
        <f>HYPERLINK("https://klasma.github.io/Logging_2303/tillsyn/A 12640-2024 tillsynsbegäran.docx", "A 12640-2024")</f>
        <v/>
      </c>
      <c r="Y109">
        <f>HYPERLINK("https://klasma.github.io/Logging_2303/tillsynsmail/A 12640-2024 tillsynsbegäran mail.docx", "A 12640-2024")</f>
        <v/>
      </c>
    </row>
    <row r="110" ht="15" customHeight="1">
      <c r="A110" t="inlineStr">
        <is>
          <t>A 32903-2024</t>
        </is>
      </c>
      <c r="B110" s="1" t="n">
        <v>45516.94723379629</v>
      </c>
      <c r="C110" s="1" t="n">
        <v>46052</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12268-2024</t>
        </is>
      </c>
      <c r="B111" s="1" t="n">
        <v>45378</v>
      </c>
      <c r="C111" s="1" t="n">
        <v>46052</v>
      </c>
      <c r="D111" t="inlineStr">
        <is>
          <t>JÄMTLANDS LÄN</t>
        </is>
      </c>
      <c r="E111" t="inlineStr">
        <is>
          <t>RAGUNDA</t>
        </is>
      </c>
      <c r="F111" t="inlineStr">
        <is>
          <t>Kommuner</t>
        </is>
      </c>
      <c r="G111" t="n">
        <v>15.7</v>
      </c>
      <c r="H111" t="n">
        <v>0</v>
      </c>
      <c r="I111" t="n">
        <v>0</v>
      </c>
      <c r="J111" t="n">
        <v>4</v>
      </c>
      <c r="K111" t="n">
        <v>0</v>
      </c>
      <c r="L111" t="n">
        <v>0</v>
      </c>
      <c r="M111" t="n">
        <v>0</v>
      </c>
      <c r="N111" t="n">
        <v>0</v>
      </c>
      <c r="O111" t="n">
        <v>4</v>
      </c>
      <c r="P111" t="n">
        <v>0</v>
      </c>
      <c r="Q111" t="n">
        <v>4</v>
      </c>
      <c r="R111" s="2" t="inlineStr">
        <is>
          <t>Granticka
Mörk kolflarnlav
Vedskivlav
Vitgrynig nållav</t>
        </is>
      </c>
      <c r="S111">
        <f>HYPERLINK("https://klasma.github.io/Logging_2303/artfynd/A 12268-2024 artfynd.xlsx", "A 12268-2024")</f>
        <v/>
      </c>
      <c r="T111">
        <f>HYPERLINK("https://klasma.github.io/Logging_2303/kartor/A 12268-2024 karta.png", "A 12268-2024")</f>
        <v/>
      </c>
      <c r="V111">
        <f>HYPERLINK("https://klasma.github.io/Logging_2303/klagomål/A 12268-2024 FSC-klagomål.docx", "A 12268-2024")</f>
        <v/>
      </c>
      <c r="W111">
        <f>HYPERLINK("https://klasma.github.io/Logging_2303/klagomålsmail/A 12268-2024 FSC-klagomål mail.docx", "A 12268-2024")</f>
        <v/>
      </c>
      <c r="X111">
        <f>HYPERLINK("https://klasma.github.io/Logging_2303/tillsyn/A 12268-2024 tillsynsbegäran.docx", "A 12268-2024")</f>
        <v/>
      </c>
      <c r="Y111">
        <f>HYPERLINK("https://klasma.github.io/Logging_2303/tillsynsmail/A 12268-2024 tillsynsbegäran mail.docx", "A 12268-2024")</f>
        <v/>
      </c>
    </row>
    <row r="112" ht="15" customHeight="1">
      <c r="A112" t="inlineStr">
        <is>
          <t>A 43960-2023</t>
        </is>
      </c>
      <c r="B112" s="1" t="n">
        <v>45187</v>
      </c>
      <c r="C112" s="1" t="n">
        <v>46052</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26082-2025</t>
        </is>
      </c>
      <c r="B113" s="1" t="n">
        <v>45805.34415509259</v>
      </c>
      <c r="C113" s="1" t="n">
        <v>46052</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30483-2024</t>
        </is>
      </c>
      <c r="B114" s="1" t="n">
        <v>45491</v>
      </c>
      <c r="C114" s="1" t="n">
        <v>46052</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23931-2024</t>
        </is>
      </c>
      <c r="B115" s="1" t="n">
        <v>45455.96195601852</v>
      </c>
      <c r="C115" s="1" t="n">
        <v>46052</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23682-2021</t>
        </is>
      </c>
      <c r="B116" s="1" t="n">
        <v>44334</v>
      </c>
      <c r="C116" s="1" t="n">
        <v>46052</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44334.62565972222</v>
      </c>
      <c r="C117" s="1" t="n">
        <v>46052</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32067-2024</t>
        </is>
      </c>
      <c r="B118" s="1" t="n">
        <v>45510</v>
      </c>
      <c r="C118" s="1" t="n">
        <v>46052</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30465-2024</t>
        </is>
      </c>
      <c r="B119" s="1" t="n">
        <v>45491</v>
      </c>
      <c r="C119" s="1" t="n">
        <v>46052</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40653-2025</t>
        </is>
      </c>
      <c r="B120" s="1" t="n">
        <v>45896.63618055556</v>
      </c>
      <c r="C120" s="1" t="n">
        <v>46052</v>
      </c>
      <c r="D120" t="inlineStr">
        <is>
          <t>JÄMTLANDS LÄN</t>
        </is>
      </c>
      <c r="E120" t="inlineStr">
        <is>
          <t>RAGUNDA</t>
        </is>
      </c>
      <c r="F120" t="inlineStr">
        <is>
          <t>SCA</t>
        </is>
      </c>
      <c r="G120" t="n">
        <v>3.9</v>
      </c>
      <c r="H120" t="n">
        <v>0</v>
      </c>
      <c r="I120" t="n">
        <v>1</v>
      </c>
      <c r="J120" t="n">
        <v>3</v>
      </c>
      <c r="K120" t="n">
        <v>0</v>
      </c>
      <c r="L120" t="n">
        <v>0</v>
      </c>
      <c r="M120" t="n">
        <v>0</v>
      </c>
      <c r="N120" t="n">
        <v>0</v>
      </c>
      <c r="O120" t="n">
        <v>3</v>
      </c>
      <c r="P120" t="n">
        <v>0</v>
      </c>
      <c r="Q120" t="n">
        <v>4</v>
      </c>
      <c r="R120" s="2" t="inlineStr">
        <is>
          <t>Blå taggsvamp
Garnlav
Mörk kolflarnlav
Dropptaggsvamp</t>
        </is>
      </c>
      <c r="S120">
        <f>HYPERLINK("https://klasma.github.io/Logging_2303/artfynd/A 40653-2025 artfynd.xlsx", "A 40653-2025")</f>
        <v/>
      </c>
      <c r="T120">
        <f>HYPERLINK("https://klasma.github.io/Logging_2303/kartor/A 40653-2025 karta.png", "A 40653-2025")</f>
        <v/>
      </c>
      <c r="V120">
        <f>HYPERLINK("https://klasma.github.io/Logging_2303/klagomål/A 40653-2025 FSC-klagomål.docx", "A 40653-2025")</f>
        <v/>
      </c>
      <c r="W120">
        <f>HYPERLINK("https://klasma.github.io/Logging_2303/klagomålsmail/A 40653-2025 FSC-klagomål mail.docx", "A 40653-2025")</f>
        <v/>
      </c>
      <c r="X120">
        <f>HYPERLINK("https://klasma.github.io/Logging_2303/tillsyn/A 40653-2025 tillsynsbegäran.docx", "A 40653-2025")</f>
        <v/>
      </c>
      <c r="Y120">
        <f>HYPERLINK("https://klasma.github.io/Logging_2303/tillsynsmail/A 40653-2025 tillsynsbegäran mail.docx", "A 40653-2025")</f>
        <v/>
      </c>
    </row>
    <row r="121" ht="15" customHeight="1">
      <c r="A121" t="inlineStr">
        <is>
          <t>A 15836-2024</t>
        </is>
      </c>
      <c r="B121" s="1" t="n">
        <v>45404</v>
      </c>
      <c r="C121" s="1" t="n">
        <v>46052</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19401-2025</t>
        </is>
      </c>
      <c r="B122" s="1" t="n">
        <v>45769.67767361111</v>
      </c>
      <c r="C122" s="1" t="n">
        <v>46052</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46052</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52168-2025</t>
        </is>
      </c>
      <c r="B124" s="1" t="n">
        <v>45953.365625</v>
      </c>
      <c r="C124" s="1" t="n">
        <v>46052</v>
      </c>
      <c r="D124" t="inlineStr">
        <is>
          <t>JÄMTLANDS LÄN</t>
        </is>
      </c>
      <c r="E124" t="inlineStr">
        <is>
          <t>RAGUNDA</t>
        </is>
      </c>
      <c r="F124" t="inlineStr">
        <is>
          <t>SCA</t>
        </is>
      </c>
      <c r="G124" t="n">
        <v>19.5</v>
      </c>
      <c r="H124" t="n">
        <v>0</v>
      </c>
      <c r="I124" t="n">
        <v>1</v>
      </c>
      <c r="J124" t="n">
        <v>3</v>
      </c>
      <c r="K124" t="n">
        <v>0</v>
      </c>
      <c r="L124" t="n">
        <v>0</v>
      </c>
      <c r="M124" t="n">
        <v>0</v>
      </c>
      <c r="N124" t="n">
        <v>0</v>
      </c>
      <c r="O124" t="n">
        <v>3</v>
      </c>
      <c r="P124" t="n">
        <v>0</v>
      </c>
      <c r="Q124" t="n">
        <v>4</v>
      </c>
      <c r="R124" s="2" t="inlineStr">
        <is>
          <t>Garnlav
Granticka
Vitgrynig nållav
Källmossa</t>
        </is>
      </c>
      <c r="S124">
        <f>HYPERLINK("https://klasma.github.io/Logging_2303/artfynd/A 52168-2025 artfynd.xlsx", "A 52168-2025")</f>
        <v/>
      </c>
      <c r="T124">
        <f>HYPERLINK("https://klasma.github.io/Logging_2303/kartor/A 52168-2025 karta.png", "A 52168-2025")</f>
        <v/>
      </c>
      <c r="V124">
        <f>HYPERLINK("https://klasma.github.io/Logging_2303/klagomål/A 52168-2025 FSC-klagomål.docx", "A 52168-2025")</f>
        <v/>
      </c>
      <c r="W124">
        <f>HYPERLINK("https://klasma.github.io/Logging_2303/klagomålsmail/A 52168-2025 FSC-klagomål mail.docx", "A 52168-2025")</f>
        <v/>
      </c>
      <c r="X124">
        <f>HYPERLINK("https://klasma.github.io/Logging_2303/tillsyn/A 52168-2025 tillsynsbegäran.docx", "A 52168-2025")</f>
        <v/>
      </c>
      <c r="Y124">
        <f>HYPERLINK("https://klasma.github.io/Logging_2303/tillsynsmail/A 52168-2025 tillsynsbegäran mail.docx", "A 52168-2025")</f>
        <v/>
      </c>
    </row>
    <row r="125" ht="15" customHeight="1">
      <c r="A125" t="inlineStr">
        <is>
          <t>A 50342-2025</t>
        </is>
      </c>
      <c r="B125" s="1" t="n">
        <v>45944.53186342592</v>
      </c>
      <c r="C125" s="1" t="n">
        <v>46052</v>
      </c>
      <c r="D125" t="inlineStr">
        <is>
          <t>JÄMTLANDS LÄN</t>
        </is>
      </c>
      <c r="E125" t="inlineStr">
        <is>
          <t>RAGUNDA</t>
        </is>
      </c>
      <c r="F125" t="inlineStr">
        <is>
          <t>SCA</t>
        </is>
      </c>
      <c r="G125" t="n">
        <v>20.7</v>
      </c>
      <c r="H125" t="n">
        <v>1</v>
      </c>
      <c r="I125" t="n">
        <v>1</v>
      </c>
      <c r="J125" t="n">
        <v>3</v>
      </c>
      <c r="K125" t="n">
        <v>0</v>
      </c>
      <c r="L125" t="n">
        <v>0</v>
      </c>
      <c r="M125" t="n">
        <v>0</v>
      </c>
      <c r="N125" t="n">
        <v>0</v>
      </c>
      <c r="O125" t="n">
        <v>3</v>
      </c>
      <c r="P125" t="n">
        <v>0</v>
      </c>
      <c r="Q125" t="n">
        <v>4</v>
      </c>
      <c r="R125" s="2" t="inlineStr">
        <is>
          <t>Garnlav
Granticka
Tretåig hackspett
Trådticka</t>
        </is>
      </c>
      <c r="S125">
        <f>HYPERLINK("https://klasma.github.io/Logging_2303/artfynd/A 50342-2025 artfynd.xlsx", "A 50342-2025")</f>
        <v/>
      </c>
      <c r="T125">
        <f>HYPERLINK("https://klasma.github.io/Logging_2303/kartor/A 50342-2025 karta.png", "A 50342-2025")</f>
        <v/>
      </c>
      <c r="V125">
        <f>HYPERLINK("https://klasma.github.io/Logging_2303/klagomål/A 50342-2025 FSC-klagomål.docx", "A 50342-2025")</f>
        <v/>
      </c>
      <c r="W125">
        <f>HYPERLINK("https://klasma.github.io/Logging_2303/klagomålsmail/A 50342-2025 FSC-klagomål mail.docx", "A 50342-2025")</f>
        <v/>
      </c>
      <c r="X125">
        <f>HYPERLINK("https://klasma.github.io/Logging_2303/tillsyn/A 50342-2025 tillsynsbegäran.docx", "A 50342-2025")</f>
        <v/>
      </c>
      <c r="Y125">
        <f>HYPERLINK("https://klasma.github.io/Logging_2303/tillsynsmail/A 50342-2025 tillsynsbegäran mail.docx", "A 50342-2025")</f>
        <v/>
      </c>
      <c r="Z125">
        <f>HYPERLINK("https://klasma.github.io/Logging_2303/fåglar/A 50342-2025 prioriterade fågelarter.docx", "A 50342-2025")</f>
        <v/>
      </c>
    </row>
    <row r="126" ht="15" customHeight="1">
      <c r="A126" t="inlineStr">
        <is>
          <t>A 3809-2026</t>
        </is>
      </c>
      <c r="B126" s="1" t="n">
        <v>46043.58364583334</v>
      </c>
      <c r="C126" s="1" t="n">
        <v>46052</v>
      </c>
      <c r="D126" t="inlineStr">
        <is>
          <t>JÄMTLANDS LÄN</t>
        </is>
      </c>
      <c r="E126" t="inlineStr">
        <is>
          <t>RAGUNDA</t>
        </is>
      </c>
      <c r="G126" t="n">
        <v>28.6</v>
      </c>
      <c r="H126" t="n">
        <v>1</v>
      </c>
      <c r="I126" t="n">
        <v>0</v>
      </c>
      <c r="J126" t="n">
        <v>3</v>
      </c>
      <c r="K126" t="n">
        <v>1</v>
      </c>
      <c r="L126" t="n">
        <v>0</v>
      </c>
      <c r="M126" t="n">
        <v>0</v>
      </c>
      <c r="N126" t="n">
        <v>0</v>
      </c>
      <c r="O126" t="n">
        <v>4</v>
      </c>
      <c r="P126" t="n">
        <v>1</v>
      </c>
      <c r="Q126" t="n">
        <v>4</v>
      </c>
      <c r="R126" s="2" t="inlineStr">
        <is>
          <t>Knärot
Garnlav
Lunglav
Vitgrynig nållav</t>
        </is>
      </c>
      <c r="S126">
        <f>HYPERLINK("https://klasma.github.io/Logging_2303/artfynd/A 3809-2026 artfynd.xlsx", "A 3809-2026")</f>
        <v/>
      </c>
      <c r="T126">
        <f>HYPERLINK("https://klasma.github.io/Logging_2303/kartor/A 3809-2026 karta.png", "A 3809-2026")</f>
        <v/>
      </c>
      <c r="U126">
        <f>HYPERLINK("https://klasma.github.io/Logging_2303/knärot/A 3809-2026 karta knärot.png", "A 3809-2026")</f>
        <v/>
      </c>
      <c r="V126">
        <f>HYPERLINK("https://klasma.github.io/Logging_2303/klagomål/A 3809-2026 FSC-klagomål.docx", "A 3809-2026")</f>
        <v/>
      </c>
      <c r="W126">
        <f>HYPERLINK("https://klasma.github.io/Logging_2303/klagomålsmail/A 3809-2026 FSC-klagomål mail.docx", "A 3809-2026")</f>
        <v/>
      </c>
      <c r="X126">
        <f>HYPERLINK("https://klasma.github.io/Logging_2303/tillsyn/A 3809-2026 tillsynsbegäran.docx", "A 3809-2026")</f>
        <v/>
      </c>
      <c r="Y126">
        <f>HYPERLINK("https://klasma.github.io/Logging_2303/tillsynsmail/A 3809-2026 tillsynsbegäran mail.docx", "A 3809-2026")</f>
        <v/>
      </c>
    </row>
    <row r="127" ht="15" customHeight="1">
      <c r="A127" t="inlineStr">
        <is>
          <t>A 48052-2022</t>
        </is>
      </c>
      <c r="B127" s="1" t="n">
        <v>44855</v>
      </c>
      <c r="C127" s="1" t="n">
        <v>46052</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46052</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61790-2023</t>
        </is>
      </c>
      <c r="B129" s="1" t="n">
        <v>45265</v>
      </c>
      <c r="C129" s="1" t="n">
        <v>46052</v>
      </c>
      <c r="D129" t="inlineStr">
        <is>
          <t>JÄMTLANDS LÄN</t>
        </is>
      </c>
      <c r="E129" t="inlineStr">
        <is>
          <t>RAGUNDA</t>
        </is>
      </c>
      <c r="F129" t="inlineStr">
        <is>
          <t>SCA</t>
        </is>
      </c>
      <c r="G129" t="n">
        <v>6.1</v>
      </c>
      <c r="H129" t="n">
        <v>0</v>
      </c>
      <c r="I129" t="n">
        <v>0</v>
      </c>
      <c r="J129" t="n">
        <v>3</v>
      </c>
      <c r="K129" t="n">
        <v>0</v>
      </c>
      <c r="L129" t="n">
        <v>0</v>
      </c>
      <c r="M129" t="n">
        <v>0</v>
      </c>
      <c r="N129" t="n">
        <v>0</v>
      </c>
      <c r="O129" t="n">
        <v>3</v>
      </c>
      <c r="P129" t="n">
        <v>0</v>
      </c>
      <c r="Q129" t="n">
        <v>3</v>
      </c>
      <c r="R129" s="2" t="inlineStr">
        <is>
          <t>Gammelgransskål
Lunglav
Skrovellav</t>
        </is>
      </c>
      <c r="S129">
        <f>HYPERLINK("https://klasma.github.io/Logging_2303/artfynd/A 61790-2023 artfynd.xlsx", "A 61790-2023")</f>
        <v/>
      </c>
      <c r="T129">
        <f>HYPERLINK("https://klasma.github.io/Logging_2303/kartor/A 61790-2023 karta.png", "A 61790-2023")</f>
        <v/>
      </c>
      <c r="V129">
        <f>HYPERLINK("https://klasma.github.io/Logging_2303/klagomål/A 61790-2023 FSC-klagomål.docx", "A 61790-2023")</f>
        <v/>
      </c>
      <c r="W129">
        <f>HYPERLINK("https://klasma.github.io/Logging_2303/klagomålsmail/A 61790-2023 FSC-klagomål mail.docx", "A 61790-2023")</f>
        <v/>
      </c>
      <c r="X129">
        <f>HYPERLINK("https://klasma.github.io/Logging_2303/tillsyn/A 61790-2023 tillsynsbegäran.docx", "A 61790-2023")</f>
        <v/>
      </c>
      <c r="Y129">
        <f>HYPERLINK("https://klasma.github.io/Logging_2303/tillsynsmail/A 61790-2023 tillsynsbegäran mail.docx", "A 61790-2023")</f>
        <v/>
      </c>
    </row>
    <row r="130" ht="15" customHeight="1">
      <c r="A130" t="inlineStr">
        <is>
          <t>A 18616-2024</t>
        </is>
      </c>
      <c r="B130" s="1" t="n">
        <v>45425.96285879629</v>
      </c>
      <c r="C130" s="1" t="n">
        <v>46052</v>
      </c>
      <c r="D130" t="inlineStr">
        <is>
          <t>JÄMTLANDS LÄN</t>
        </is>
      </c>
      <c r="E130" t="inlineStr">
        <is>
          <t>RAGUNDA</t>
        </is>
      </c>
      <c r="F130" t="inlineStr">
        <is>
          <t>SCA</t>
        </is>
      </c>
      <c r="G130" t="n">
        <v>3.4</v>
      </c>
      <c r="H130" t="n">
        <v>0</v>
      </c>
      <c r="I130" t="n">
        <v>0</v>
      </c>
      <c r="J130" t="n">
        <v>3</v>
      </c>
      <c r="K130" t="n">
        <v>0</v>
      </c>
      <c r="L130" t="n">
        <v>0</v>
      </c>
      <c r="M130" t="n">
        <v>0</v>
      </c>
      <c r="N130" t="n">
        <v>0</v>
      </c>
      <c r="O130" t="n">
        <v>3</v>
      </c>
      <c r="P130" t="n">
        <v>0</v>
      </c>
      <c r="Q130" t="n">
        <v>3</v>
      </c>
      <c r="R130" s="2" t="inlineStr">
        <is>
          <t>Granticka
Orange taggsvamp
Ullticka</t>
        </is>
      </c>
      <c r="S130">
        <f>HYPERLINK("https://klasma.github.io/Logging_2303/artfynd/A 18616-2024 artfynd.xlsx", "A 18616-2024")</f>
        <v/>
      </c>
      <c r="T130">
        <f>HYPERLINK("https://klasma.github.io/Logging_2303/kartor/A 18616-2024 karta.png", "A 18616-2024")</f>
        <v/>
      </c>
      <c r="V130">
        <f>HYPERLINK("https://klasma.github.io/Logging_2303/klagomål/A 18616-2024 FSC-klagomål.docx", "A 18616-2024")</f>
        <v/>
      </c>
      <c r="W130">
        <f>HYPERLINK("https://klasma.github.io/Logging_2303/klagomålsmail/A 18616-2024 FSC-klagomål mail.docx", "A 18616-2024")</f>
        <v/>
      </c>
      <c r="X130">
        <f>HYPERLINK("https://klasma.github.io/Logging_2303/tillsyn/A 18616-2024 tillsynsbegäran.docx", "A 18616-2024")</f>
        <v/>
      </c>
      <c r="Y130">
        <f>HYPERLINK("https://klasma.github.io/Logging_2303/tillsynsmail/A 18616-2024 tillsynsbegäran mail.docx", "A 18616-2024")</f>
        <v/>
      </c>
    </row>
    <row r="131" ht="15" customHeight="1">
      <c r="A131" t="inlineStr">
        <is>
          <t>A 21248-2025</t>
        </is>
      </c>
      <c r="B131" s="1" t="n">
        <v>45779.57392361111</v>
      </c>
      <c r="C131" s="1" t="n">
        <v>46052</v>
      </c>
      <c r="D131" t="inlineStr">
        <is>
          <t>JÄMTLANDS LÄN</t>
        </is>
      </c>
      <c r="E131" t="inlineStr">
        <is>
          <t>RAGUNDA</t>
        </is>
      </c>
      <c r="F131" t="inlineStr">
        <is>
          <t>SCA</t>
        </is>
      </c>
      <c r="G131" t="n">
        <v>2.9</v>
      </c>
      <c r="H131" t="n">
        <v>1</v>
      </c>
      <c r="I131" t="n">
        <v>1</v>
      </c>
      <c r="J131" t="n">
        <v>2</v>
      </c>
      <c r="K131" t="n">
        <v>0</v>
      </c>
      <c r="L131" t="n">
        <v>0</v>
      </c>
      <c r="M131" t="n">
        <v>0</v>
      </c>
      <c r="N131" t="n">
        <v>0</v>
      </c>
      <c r="O131" t="n">
        <v>2</v>
      </c>
      <c r="P131" t="n">
        <v>0</v>
      </c>
      <c r="Q131" t="n">
        <v>3</v>
      </c>
      <c r="R131" s="2" t="inlineStr">
        <is>
          <t>Garnlav
Tretåig hackspett
Vedticka</t>
        </is>
      </c>
      <c r="S131">
        <f>HYPERLINK("https://klasma.github.io/Logging_2303/artfynd/A 21248-2025 artfynd.xlsx", "A 21248-2025")</f>
        <v/>
      </c>
      <c r="T131">
        <f>HYPERLINK("https://klasma.github.io/Logging_2303/kartor/A 21248-2025 karta.png", "A 21248-2025")</f>
        <v/>
      </c>
      <c r="V131">
        <f>HYPERLINK("https://klasma.github.io/Logging_2303/klagomål/A 21248-2025 FSC-klagomål.docx", "A 21248-2025")</f>
        <v/>
      </c>
      <c r="W131">
        <f>HYPERLINK("https://klasma.github.io/Logging_2303/klagomålsmail/A 21248-2025 FSC-klagomål mail.docx", "A 21248-2025")</f>
        <v/>
      </c>
      <c r="X131">
        <f>HYPERLINK("https://klasma.github.io/Logging_2303/tillsyn/A 21248-2025 tillsynsbegäran.docx", "A 21248-2025")</f>
        <v/>
      </c>
      <c r="Y131">
        <f>HYPERLINK("https://klasma.github.io/Logging_2303/tillsynsmail/A 21248-2025 tillsynsbegäran mail.docx", "A 21248-2025")</f>
        <v/>
      </c>
      <c r="Z131">
        <f>HYPERLINK("https://klasma.github.io/Logging_2303/fåglar/A 21248-2025 prioriterade fågelarter.docx", "A 21248-2025")</f>
        <v/>
      </c>
    </row>
    <row r="132" ht="15" customHeight="1">
      <c r="A132" t="inlineStr">
        <is>
          <t>A 58368-2024</t>
        </is>
      </c>
      <c r="B132" s="1" t="n">
        <v>45632.69822916666</v>
      </c>
      <c r="C132" s="1" t="n">
        <v>46052</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52345-2024</t>
        </is>
      </c>
      <c r="B133" s="1" t="n">
        <v>45609.34412037037</v>
      </c>
      <c r="C133" s="1" t="n">
        <v>46052</v>
      </c>
      <c r="D133" t="inlineStr">
        <is>
          <t>JÄMTLANDS LÄN</t>
        </is>
      </c>
      <c r="E133" t="inlineStr">
        <is>
          <t>RAGUNDA</t>
        </is>
      </c>
      <c r="F133" t="inlineStr">
        <is>
          <t>SCA</t>
        </is>
      </c>
      <c r="G133" t="n">
        <v>10.3</v>
      </c>
      <c r="H133" t="n">
        <v>1</v>
      </c>
      <c r="I133" t="n">
        <v>0</v>
      </c>
      <c r="J133" t="n">
        <v>2</v>
      </c>
      <c r="K133" t="n">
        <v>0</v>
      </c>
      <c r="L133" t="n">
        <v>0</v>
      </c>
      <c r="M133" t="n">
        <v>0</v>
      </c>
      <c r="N133" t="n">
        <v>0</v>
      </c>
      <c r="O133" t="n">
        <v>2</v>
      </c>
      <c r="P133" t="n">
        <v>0</v>
      </c>
      <c r="Q133" t="n">
        <v>3</v>
      </c>
      <c r="R133" s="2" t="inlineStr">
        <is>
          <t>Doftskinn
Koralltaggsvamp
Blåsippa</t>
        </is>
      </c>
      <c r="S133">
        <f>HYPERLINK("https://klasma.github.io/Logging_2303/artfynd/A 52345-2024 artfynd.xlsx", "A 52345-2024")</f>
        <v/>
      </c>
      <c r="T133">
        <f>HYPERLINK("https://klasma.github.io/Logging_2303/kartor/A 52345-2024 karta.png", "A 52345-2024")</f>
        <v/>
      </c>
      <c r="V133">
        <f>HYPERLINK("https://klasma.github.io/Logging_2303/klagomål/A 52345-2024 FSC-klagomål.docx", "A 52345-2024")</f>
        <v/>
      </c>
      <c r="W133">
        <f>HYPERLINK("https://klasma.github.io/Logging_2303/klagomålsmail/A 52345-2024 FSC-klagomål mail.docx", "A 52345-2024")</f>
        <v/>
      </c>
      <c r="X133">
        <f>HYPERLINK("https://klasma.github.io/Logging_2303/tillsyn/A 52345-2024 tillsynsbegäran.docx", "A 52345-2024")</f>
        <v/>
      </c>
      <c r="Y133">
        <f>HYPERLINK("https://klasma.github.io/Logging_2303/tillsynsmail/A 52345-2024 tillsynsbegäran mail.docx", "A 52345-2024")</f>
        <v/>
      </c>
    </row>
    <row r="134" ht="15" customHeight="1">
      <c r="A134" t="inlineStr">
        <is>
          <t>A 53022-2022</t>
        </is>
      </c>
      <c r="B134" s="1" t="n">
        <v>44875</v>
      </c>
      <c r="C134" s="1" t="n">
        <v>46052</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48054-2022</t>
        </is>
      </c>
      <c r="B135" s="1" t="n">
        <v>44855</v>
      </c>
      <c r="C135" s="1" t="n">
        <v>46052</v>
      </c>
      <c r="D135" t="inlineStr">
        <is>
          <t>JÄMTLANDS LÄN</t>
        </is>
      </c>
      <c r="E135" t="inlineStr">
        <is>
          <t>RAGUNDA</t>
        </is>
      </c>
      <c r="F135" t="inlineStr">
        <is>
          <t>SCA</t>
        </is>
      </c>
      <c r="G135" t="n">
        <v>1.5</v>
      </c>
      <c r="H135" t="n">
        <v>2</v>
      </c>
      <c r="I135" t="n">
        <v>0</v>
      </c>
      <c r="J135" t="n">
        <v>1</v>
      </c>
      <c r="K135" t="n">
        <v>1</v>
      </c>
      <c r="L135" t="n">
        <v>0</v>
      </c>
      <c r="M135" t="n">
        <v>0</v>
      </c>
      <c r="N135" t="n">
        <v>0</v>
      </c>
      <c r="O135" t="n">
        <v>2</v>
      </c>
      <c r="P135" t="n">
        <v>1</v>
      </c>
      <c r="Q135" t="n">
        <v>3</v>
      </c>
      <c r="R135" s="2" t="inlineStr">
        <is>
          <t>Knärot
Lunglav
Blåsippa</t>
        </is>
      </c>
      <c r="S135">
        <f>HYPERLINK("https://klasma.github.io/Logging_2303/artfynd/A 48054-2022 artfynd.xlsx", "A 48054-2022")</f>
        <v/>
      </c>
      <c r="T135">
        <f>HYPERLINK("https://klasma.github.io/Logging_2303/kartor/A 48054-2022 karta.png", "A 48054-2022")</f>
        <v/>
      </c>
      <c r="U135">
        <f>HYPERLINK("https://klasma.github.io/Logging_2303/knärot/A 48054-2022 karta knärot.png", "A 48054-2022")</f>
        <v/>
      </c>
      <c r="V135">
        <f>HYPERLINK("https://klasma.github.io/Logging_2303/klagomål/A 48054-2022 FSC-klagomål.docx", "A 48054-2022")</f>
        <v/>
      </c>
      <c r="W135">
        <f>HYPERLINK("https://klasma.github.io/Logging_2303/klagomålsmail/A 48054-2022 FSC-klagomål mail.docx", "A 48054-2022")</f>
        <v/>
      </c>
      <c r="X135">
        <f>HYPERLINK("https://klasma.github.io/Logging_2303/tillsyn/A 48054-2022 tillsynsbegäran.docx", "A 48054-2022")</f>
        <v/>
      </c>
      <c r="Y135">
        <f>HYPERLINK("https://klasma.github.io/Logging_2303/tillsynsmail/A 48054-2022 tillsynsbegäran mail.docx", "A 48054-2022")</f>
        <v/>
      </c>
    </row>
    <row r="136" ht="15" customHeight="1">
      <c r="A136" t="inlineStr">
        <is>
          <t>A 25769-2025</t>
        </is>
      </c>
      <c r="B136" s="1" t="n">
        <v>45804.34474537037</v>
      </c>
      <c r="C136" s="1" t="n">
        <v>46052</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20776-2024</t>
        </is>
      </c>
      <c r="B137" s="1" t="n">
        <v>45436.94686342592</v>
      </c>
      <c r="C137" s="1" t="n">
        <v>46052</v>
      </c>
      <c r="D137" t="inlineStr">
        <is>
          <t>JÄMTLANDS LÄN</t>
        </is>
      </c>
      <c r="E137" t="inlineStr">
        <is>
          <t>RAGUNDA</t>
        </is>
      </c>
      <c r="F137" t="inlineStr">
        <is>
          <t>SCA</t>
        </is>
      </c>
      <c r="G137" t="n">
        <v>5.2</v>
      </c>
      <c r="H137" t="n">
        <v>0</v>
      </c>
      <c r="I137" t="n">
        <v>0</v>
      </c>
      <c r="J137" t="n">
        <v>2</v>
      </c>
      <c r="K137" t="n">
        <v>1</v>
      </c>
      <c r="L137" t="n">
        <v>0</v>
      </c>
      <c r="M137" t="n">
        <v>0</v>
      </c>
      <c r="N137" t="n">
        <v>0</v>
      </c>
      <c r="O137" t="n">
        <v>3</v>
      </c>
      <c r="P137" t="n">
        <v>1</v>
      </c>
      <c r="Q137" t="n">
        <v>3</v>
      </c>
      <c r="R137" s="2" t="inlineStr">
        <is>
          <t>Liten hornflikmossa
Garnlav
Vedtrappmossa</t>
        </is>
      </c>
      <c r="S137">
        <f>HYPERLINK("https://klasma.github.io/Logging_2303/artfynd/A 20776-2024 artfynd.xlsx", "A 20776-2024")</f>
        <v/>
      </c>
      <c r="T137">
        <f>HYPERLINK("https://klasma.github.io/Logging_2303/kartor/A 20776-2024 karta.png", "A 20776-2024")</f>
        <v/>
      </c>
      <c r="V137">
        <f>HYPERLINK("https://klasma.github.io/Logging_2303/klagomål/A 20776-2024 FSC-klagomål.docx", "A 20776-2024")</f>
        <v/>
      </c>
      <c r="W137">
        <f>HYPERLINK("https://klasma.github.io/Logging_2303/klagomålsmail/A 20776-2024 FSC-klagomål mail.docx", "A 20776-2024")</f>
        <v/>
      </c>
      <c r="X137">
        <f>HYPERLINK("https://klasma.github.io/Logging_2303/tillsyn/A 20776-2024 tillsynsbegäran.docx", "A 20776-2024")</f>
        <v/>
      </c>
      <c r="Y137">
        <f>HYPERLINK("https://klasma.github.io/Logging_2303/tillsynsmail/A 20776-2024 tillsynsbegäran mail.docx", "A 20776-2024")</f>
        <v/>
      </c>
    </row>
    <row r="138" ht="15" customHeight="1">
      <c r="A138" t="inlineStr">
        <is>
          <t>A 58737-2022</t>
        </is>
      </c>
      <c r="B138" s="1" t="n">
        <v>44902</v>
      </c>
      <c r="C138" s="1" t="n">
        <v>46052</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36504-2023</t>
        </is>
      </c>
      <c r="B139" s="1" t="n">
        <v>45152</v>
      </c>
      <c r="C139" s="1" t="n">
        <v>46052</v>
      </c>
      <c r="D139" t="inlineStr">
        <is>
          <t>JÄMTLANDS LÄN</t>
        </is>
      </c>
      <c r="E139" t="inlineStr">
        <is>
          <t>RAGUNDA</t>
        </is>
      </c>
      <c r="F139" t="inlineStr">
        <is>
          <t>SCA</t>
        </is>
      </c>
      <c r="G139" t="n">
        <v>2</v>
      </c>
      <c r="H139" t="n">
        <v>0</v>
      </c>
      <c r="I139" t="n">
        <v>0</v>
      </c>
      <c r="J139" t="n">
        <v>3</v>
      </c>
      <c r="K139" t="n">
        <v>0</v>
      </c>
      <c r="L139" t="n">
        <v>0</v>
      </c>
      <c r="M139" t="n">
        <v>0</v>
      </c>
      <c r="N139" t="n">
        <v>0</v>
      </c>
      <c r="O139" t="n">
        <v>3</v>
      </c>
      <c r="P139" t="n">
        <v>0</v>
      </c>
      <c r="Q139" t="n">
        <v>3</v>
      </c>
      <c r="R139" s="2" t="inlineStr">
        <is>
          <t>Gammelgransskål
Garnlav
Granticka</t>
        </is>
      </c>
      <c r="S139">
        <f>HYPERLINK("https://klasma.github.io/Logging_2303/artfynd/A 36504-2023 artfynd.xlsx", "A 36504-2023")</f>
        <v/>
      </c>
      <c r="T139">
        <f>HYPERLINK("https://klasma.github.io/Logging_2303/kartor/A 36504-2023 karta.png", "A 36504-2023")</f>
        <v/>
      </c>
      <c r="V139">
        <f>HYPERLINK("https://klasma.github.io/Logging_2303/klagomål/A 36504-2023 FSC-klagomål.docx", "A 36504-2023")</f>
        <v/>
      </c>
      <c r="W139">
        <f>HYPERLINK("https://klasma.github.io/Logging_2303/klagomålsmail/A 36504-2023 FSC-klagomål mail.docx", "A 36504-2023")</f>
        <v/>
      </c>
      <c r="X139">
        <f>HYPERLINK("https://klasma.github.io/Logging_2303/tillsyn/A 36504-2023 tillsynsbegäran.docx", "A 36504-2023")</f>
        <v/>
      </c>
      <c r="Y139">
        <f>HYPERLINK("https://klasma.github.io/Logging_2303/tillsynsmail/A 36504-2023 tillsynsbegäran mail.docx", "A 36504-2023")</f>
        <v/>
      </c>
    </row>
    <row r="140" ht="15" customHeight="1">
      <c r="A140" t="inlineStr">
        <is>
          <t>A 22571-2025</t>
        </is>
      </c>
      <c r="B140" s="1" t="n">
        <v>45789.36503472222</v>
      </c>
      <c r="C140" s="1" t="n">
        <v>46052</v>
      </c>
      <c r="D140" t="inlineStr">
        <is>
          <t>JÄMTLANDS LÄN</t>
        </is>
      </c>
      <c r="E140" t="inlineStr">
        <is>
          <t>RAGUNDA</t>
        </is>
      </c>
      <c r="F140" t="inlineStr">
        <is>
          <t>SCA</t>
        </is>
      </c>
      <c r="G140" t="n">
        <v>18.2</v>
      </c>
      <c r="H140" t="n">
        <v>2</v>
      </c>
      <c r="I140" t="n">
        <v>0</v>
      </c>
      <c r="J140" t="n">
        <v>2</v>
      </c>
      <c r="K140" t="n">
        <v>0</v>
      </c>
      <c r="L140" t="n">
        <v>0</v>
      </c>
      <c r="M140" t="n">
        <v>0</v>
      </c>
      <c r="N140" t="n">
        <v>0</v>
      </c>
      <c r="O140" t="n">
        <v>2</v>
      </c>
      <c r="P140" t="n">
        <v>0</v>
      </c>
      <c r="Q140" t="n">
        <v>3</v>
      </c>
      <c r="R140" s="2" t="inlineStr">
        <is>
          <t>Garnlav
Tretåig hackspett
Nattviol</t>
        </is>
      </c>
      <c r="S140">
        <f>HYPERLINK("https://klasma.github.io/Logging_2303/artfynd/A 22571-2025 artfynd.xlsx", "A 22571-2025")</f>
        <v/>
      </c>
      <c r="T140">
        <f>HYPERLINK("https://klasma.github.io/Logging_2303/kartor/A 22571-2025 karta.png", "A 22571-2025")</f>
        <v/>
      </c>
      <c r="V140">
        <f>HYPERLINK("https://klasma.github.io/Logging_2303/klagomål/A 22571-2025 FSC-klagomål.docx", "A 22571-2025")</f>
        <v/>
      </c>
      <c r="W140">
        <f>HYPERLINK("https://klasma.github.io/Logging_2303/klagomålsmail/A 22571-2025 FSC-klagomål mail.docx", "A 22571-2025")</f>
        <v/>
      </c>
      <c r="X140">
        <f>HYPERLINK("https://klasma.github.io/Logging_2303/tillsyn/A 22571-2025 tillsynsbegäran.docx", "A 22571-2025")</f>
        <v/>
      </c>
      <c r="Y140">
        <f>HYPERLINK("https://klasma.github.io/Logging_2303/tillsynsmail/A 22571-2025 tillsynsbegäran mail.docx", "A 22571-2025")</f>
        <v/>
      </c>
      <c r="Z140">
        <f>HYPERLINK("https://klasma.github.io/Logging_2303/fåglar/A 22571-2025 prioriterade fågelarter.docx", "A 22571-2025")</f>
        <v/>
      </c>
    </row>
    <row r="141" ht="15" customHeight="1">
      <c r="A141" t="inlineStr">
        <is>
          <t>A 28178-2023</t>
        </is>
      </c>
      <c r="B141" s="1" t="n">
        <v>45093</v>
      </c>
      <c r="C141" s="1" t="n">
        <v>46052</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34585-2025</t>
        </is>
      </c>
      <c r="B142" s="1" t="n">
        <v>45847.61498842593</v>
      </c>
      <c r="C142" s="1" t="n">
        <v>46052</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34585-2025 artfynd.xlsx", "A 34585-2025")</f>
        <v/>
      </c>
      <c r="T142">
        <f>HYPERLINK("https://klasma.github.io/Logging_2303/kartor/A 34585-2025 karta.png", "A 34585-2025")</f>
        <v/>
      </c>
      <c r="V142">
        <f>HYPERLINK("https://klasma.github.io/Logging_2303/klagomål/A 34585-2025 FSC-klagomål.docx", "A 34585-2025")</f>
        <v/>
      </c>
      <c r="W142">
        <f>HYPERLINK("https://klasma.github.io/Logging_2303/klagomålsmail/A 34585-2025 FSC-klagomål mail.docx", "A 34585-2025")</f>
        <v/>
      </c>
      <c r="X142">
        <f>HYPERLINK("https://klasma.github.io/Logging_2303/tillsyn/A 34585-2025 tillsynsbegäran.docx", "A 34585-2025")</f>
        <v/>
      </c>
      <c r="Y142">
        <f>HYPERLINK("https://klasma.github.io/Logging_2303/tillsynsmail/A 34585-2025 tillsynsbegäran mail.docx", "A 34585-2025")</f>
        <v/>
      </c>
    </row>
    <row r="143" ht="15" customHeight="1">
      <c r="A143" t="inlineStr">
        <is>
          <t>A 32416-2025</t>
        </is>
      </c>
      <c r="B143" s="1" t="n">
        <v>45838</v>
      </c>
      <c r="C143" s="1" t="n">
        <v>46052</v>
      </c>
      <c r="D143" t="inlineStr">
        <is>
          <t>JÄMTLANDS LÄN</t>
        </is>
      </c>
      <c r="E143" t="inlineStr">
        <is>
          <t>RAGUNDA</t>
        </is>
      </c>
      <c r="F143" t="inlineStr">
        <is>
          <t>SCA</t>
        </is>
      </c>
      <c r="G143" t="n">
        <v>1.1</v>
      </c>
      <c r="H143" t="n">
        <v>2</v>
      </c>
      <c r="I143" t="n">
        <v>1</v>
      </c>
      <c r="J143" t="n">
        <v>0</v>
      </c>
      <c r="K143" t="n">
        <v>0</v>
      </c>
      <c r="L143" t="n">
        <v>0</v>
      </c>
      <c r="M143" t="n">
        <v>0</v>
      </c>
      <c r="N143" t="n">
        <v>0</v>
      </c>
      <c r="O143" t="n">
        <v>0</v>
      </c>
      <c r="P143" t="n">
        <v>0</v>
      </c>
      <c r="Q143" t="n">
        <v>3</v>
      </c>
      <c r="R143" s="2" t="inlineStr">
        <is>
          <t>Underviol
Blåsippa
Revlummer</t>
        </is>
      </c>
      <c r="S143">
        <f>HYPERLINK("https://klasma.github.io/Logging_2303/artfynd/A 32416-2025 artfynd.xlsx", "A 32416-2025")</f>
        <v/>
      </c>
      <c r="T143">
        <f>HYPERLINK("https://klasma.github.io/Logging_2303/kartor/A 32416-2025 karta.png", "A 32416-2025")</f>
        <v/>
      </c>
      <c r="V143">
        <f>HYPERLINK("https://klasma.github.io/Logging_2303/klagomål/A 32416-2025 FSC-klagomål.docx", "A 32416-2025")</f>
        <v/>
      </c>
      <c r="W143">
        <f>HYPERLINK("https://klasma.github.io/Logging_2303/klagomålsmail/A 32416-2025 FSC-klagomål mail.docx", "A 32416-2025")</f>
        <v/>
      </c>
      <c r="X143">
        <f>HYPERLINK("https://klasma.github.io/Logging_2303/tillsyn/A 32416-2025 tillsynsbegäran.docx", "A 32416-2025")</f>
        <v/>
      </c>
      <c r="Y143">
        <f>HYPERLINK("https://klasma.github.io/Logging_2303/tillsynsmail/A 32416-2025 tillsynsbegäran mail.docx", "A 32416-2025")</f>
        <v/>
      </c>
    </row>
    <row r="144" ht="15" customHeight="1">
      <c r="A144" t="inlineStr">
        <is>
          <t>A 16305-2025</t>
        </is>
      </c>
      <c r="B144" s="1" t="n">
        <v>45751.34650462963</v>
      </c>
      <c r="C144" s="1" t="n">
        <v>46052</v>
      </c>
      <c r="D144" t="inlineStr">
        <is>
          <t>JÄMTLANDS LÄN</t>
        </is>
      </c>
      <c r="E144" t="inlineStr">
        <is>
          <t>RAGUNDA</t>
        </is>
      </c>
      <c r="F144" t="inlineStr">
        <is>
          <t>SCA</t>
        </is>
      </c>
      <c r="G144" t="n">
        <v>2.5</v>
      </c>
      <c r="H144" t="n">
        <v>0</v>
      </c>
      <c r="I144" t="n">
        <v>2</v>
      </c>
      <c r="J144" t="n">
        <v>1</v>
      </c>
      <c r="K144" t="n">
        <v>0</v>
      </c>
      <c r="L144" t="n">
        <v>0</v>
      </c>
      <c r="M144" t="n">
        <v>0</v>
      </c>
      <c r="N144" t="n">
        <v>0</v>
      </c>
      <c r="O144" t="n">
        <v>1</v>
      </c>
      <c r="P144" t="n">
        <v>0</v>
      </c>
      <c r="Q144" t="n">
        <v>3</v>
      </c>
      <c r="R144" s="2" t="inlineStr">
        <is>
          <t>Lunglav
Bollvitmossa
Källmossa</t>
        </is>
      </c>
      <c r="S144">
        <f>HYPERLINK("https://klasma.github.io/Logging_2303/artfynd/A 16305-2025 artfynd.xlsx", "A 16305-2025")</f>
        <v/>
      </c>
      <c r="T144">
        <f>HYPERLINK("https://klasma.github.io/Logging_2303/kartor/A 16305-2025 karta.png", "A 16305-2025")</f>
        <v/>
      </c>
      <c r="V144">
        <f>HYPERLINK("https://klasma.github.io/Logging_2303/klagomål/A 16305-2025 FSC-klagomål.docx", "A 16305-2025")</f>
        <v/>
      </c>
      <c r="W144">
        <f>HYPERLINK("https://klasma.github.io/Logging_2303/klagomålsmail/A 16305-2025 FSC-klagomål mail.docx", "A 16305-2025")</f>
        <v/>
      </c>
      <c r="X144">
        <f>HYPERLINK("https://klasma.github.io/Logging_2303/tillsyn/A 16305-2025 tillsynsbegäran.docx", "A 16305-2025")</f>
        <v/>
      </c>
      <c r="Y144">
        <f>HYPERLINK("https://klasma.github.io/Logging_2303/tillsynsmail/A 16305-2025 tillsynsbegäran mail.docx", "A 16305-2025")</f>
        <v/>
      </c>
    </row>
    <row r="145" ht="15" customHeight="1">
      <c r="A145" t="inlineStr">
        <is>
          <t>A 49047-2023</t>
        </is>
      </c>
      <c r="B145" s="1" t="n">
        <v>45209</v>
      </c>
      <c r="C145" s="1" t="n">
        <v>46052</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22730-2023</t>
        </is>
      </c>
      <c r="B146" s="1" t="n">
        <v>45071</v>
      </c>
      <c r="C146" s="1" t="n">
        <v>46052</v>
      </c>
      <c r="D146" t="inlineStr">
        <is>
          <t>JÄMTLANDS LÄN</t>
        </is>
      </c>
      <c r="E146" t="inlineStr">
        <is>
          <t>RAGUNDA</t>
        </is>
      </c>
      <c r="G146" t="n">
        <v>3.6</v>
      </c>
      <c r="H146" t="n">
        <v>0</v>
      </c>
      <c r="I146" t="n">
        <v>0</v>
      </c>
      <c r="J146" t="n">
        <v>3</v>
      </c>
      <c r="K146" t="n">
        <v>0</v>
      </c>
      <c r="L146" t="n">
        <v>0</v>
      </c>
      <c r="M146" t="n">
        <v>0</v>
      </c>
      <c r="N146" t="n">
        <v>0</v>
      </c>
      <c r="O146" t="n">
        <v>3</v>
      </c>
      <c r="P146" t="n">
        <v>0</v>
      </c>
      <c r="Q146" t="n">
        <v>3</v>
      </c>
      <c r="R146" s="2" t="inlineStr">
        <is>
          <t>Garnlav
Lunglav
Vitgrynig nållav</t>
        </is>
      </c>
      <c r="S146">
        <f>HYPERLINK("https://klasma.github.io/Logging_2303/artfynd/A 22730-2023 artfynd.xlsx", "A 22730-2023")</f>
        <v/>
      </c>
      <c r="T146">
        <f>HYPERLINK("https://klasma.github.io/Logging_2303/kartor/A 22730-2023 karta.png", "A 22730-2023")</f>
        <v/>
      </c>
      <c r="V146">
        <f>HYPERLINK("https://klasma.github.io/Logging_2303/klagomål/A 22730-2023 FSC-klagomål.docx", "A 22730-2023")</f>
        <v/>
      </c>
      <c r="W146">
        <f>HYPERLINK("https://klasma.github.io/Logging_2303/klagomålsmail/A 22730-2023 FSC-klagomål mail.docx", "A 22730-2023")</f>
        <v/>
      </c>
      <c r="X146">
        <f>HYPERLINK("https://klasma.github.io/Logging_2303/tillsyn/A 22730-2023 tillsynsbegäran.docx", "A 22730-2023")</f>
        <v/>
      </c>
      <c r="Y146">
        <f>HYPERLINK("https://klasma.github.io/Logging_2303/tillsynsmail/A 22730-2023 tillsynsbegäran mail.docx", "A 22730-2023")</f>
        <v/>
      </c>
    </row>
    <row r="147" ht="15" customHeight="1">
      <c r="A147" t="inlineStr">
        <is>
          <t>A 14814-2024</t>
        </is>
      </c>
      <c r="B147" s="1" t="n">
        <v>45397.95748842593</v>
      </c>
      <c r="C147" s="1" t="n">
        <v>46052</v>
      </c>
      <c r="D147" t="inlineStr">
        <is>
          <t>JÄMTLANDS LÄN</t>
        </is>
      </c>
      <c r="E147" t="inlineStr">
        <is>
          <t>RAGUNDA</t>
        </is>
      </c>
      <c r="F147" t="inlineStr">
        <is>
          <t>SCA</t>
        </is>
      </c>
      <c r="G147" t="n">
        <v>10.5</v>
      </c>
      <c r="H147" t="n">
        <v>0</v>
      </c>
      <c r="I147" t="n">
        <v>2</v>
      </c>
      <c r="J147" t="n">
        <v>1</v>
      </c>
      <c r="K147" t="n">
        <v>0</v>
      </c>
      <c r="L147" t="n">
        <v>0</v>
      </c>
      <c r="M147" t="n">
        <v>0</v>
      </c>
      <c r="N147" t="n">
        <v>0</v>
      </c>
      <c r="O147" t="n">
        <v>1</v>
      </c>
      <c r="P147" t="n">
        <v>0</v>
      </c>
      <c r="Q147" t="n">
        <v>3</v>
      </c>
      <c r="R147" s="2" t="inlineStr">
        <is>
          <t>Rosenticka
Svart trolldruva
Tibast</t>
        </is>
      </c>
      <c r="S147">
        <f>HYPERLINK("https://klasma.github.io/Logging_2303/artfynd/A 14814-2024 artfynd.xlsx", "A 14814-2024")</f>
        <v/>
      </c>
      <c r="T147">
        <f>HYPERLINK("https://klasma.github.io/Logging_2303/kartor/A 14814-2024 karta.png", "A 14814-2024")</f>
        <v/>
      </c>
      <c r="V147">
        <f>HYPERLINK("https://klasma.github.io/Logging_2303/klagomål/A 14814-2024 FSC-klagomål.docx", "A 14814-2024")</f>
        <v/>
      </c>
      <c r="W147">
        <f>HYPERLINK("https://klasma.github.io/Logging_2303/klagomålsmail/A 14814-2024 FSC-klagomål mail.docx", "A 14814-2024")</f>
        <v/>
      </c>
      <c r="X147">
        <f>HYPERLINK("https://klasma.github.io/Logging_2303/tillsyn/A 14814-2024 tillsynsbegäran.docx", "A 14814-2024")</f>
        <v/>
      </c>
      <c r="Y147">
        <f>HYPERLINK("https://klasma.github.io/Logging_2303/tillsynsmail/A 14814-2024 tillsynsbegäran mail.docx", "A 14814-2024")</f>
        <v/>
      </c>
    </row>
    <row r="148" ht="15" customHeight="1">
      <c r="A148" t="inlineStr">
        <is>
          <t>A 33278-2022</t>
        </is>
      </c>
      <c r="B148" s="1" t="n">
        <v>44788</v>
      </c>
      <c r="C148" s="1" t="n">
        <v>46052</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7519-2023</t>
        </is>
      </c>
      <c r="B149" s="1" t="n">
        <v>44971</v>
      </c>
      <c r="C149" s="1" t="n">
        <v>46052</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12737-2025</t>
        </is>
      </c>
      <c r="B150" s="1" t="n">
        <v>45733</v>
      </c>
      <c r="C150" s="1" t="n">
        <v>46052</v>
      </c>
      <c r="D150" t="inlineStr">
        <is>
          <t>JÄMTLANDS LÄN</t>
        </is>
      </c>
      <c r="E150" t="inlineStr">
        <is>
          <t>RAGUNDA</t>
        </is>
      </c>
      <c r="G150" t="n">
        <v>16.1</v>
      </c>
      <c r="H150" t="n">
        <v>2</v>
      </c>
      <c r="I150" t="n">
        <v>2</v>
      </c>
      <c r="J150" t="n">
        <v>0</v>
      </c>
      <c r="K150" t="n">
        <v>1</v>
      </c>
      <c r="L150" t="n">
        <v>0</v>
      </c>
      <c r="M150" t="n">
        <v>0</v>
      </c>
      <c r="N150" t="n">
        <v>0</v>
      </c>
      <c r="O150" t="n">
        <v>1</v>
      </c>
      <c r="P150" t="n">
        <v>1</v>
      </c>
      <c r="Q150" t="n">
        <v>3</v>
      </c>
      <c r="R150" s="2" t="inlineStr">
        <is>
          <t>Knärot
Plattlummer
Skarp dropptaggsvamp</t>
        </is>
      </c>
      <c r="S150">
        <f>HYPERLINK("https://klasma.github.io/Logging_2303/artfynd/A 12737-2025 artfynd.xlsx", "A 12737-2025")</f>
        <v/>
      </c>
      <c r="T150">
        <f>HYPERLINK("https://klasma.github.io/Logging_2303/kartor/A 12737-2025 karta.png", "A 12737-2025")</f>
        <v/>
      </c>
      <c r="U150">
        <f>HYPERLINK("https://klasma.github.io/Logging_2303/knärot/A 12737-2025 karta knärot.png", "A 12737-2025")</f>
        <v/>
      </c>
      <c r="V150">
        <f>HYPERLINK("https://klasma.github.io/Logging_2303/klagomål/A 12737-2025 FSC-klagomål.docx", "A 12737-2025")</f>
        <v/>
      </c>
      <c r="W150">
        <f>HYPERLINK("https://klasma.github.io/Logging_2303/klagomålsmail/A 12737-2025 FSC-klagomål mail.docx", "A 12737-2025")</f>
        <v/>
      </c>
      <c r="X150">
        <f>HYPERLINK("https://klasma.github.io/Logging_2303/tillsyn/A 12737-2025 tillsynsbegäran.docx", "A 12737-2025")</f>
        <v/>
      </c>
      <c r="Y150">
        <f>HYPERLINK("https://klasma.github.io/Logging_2303/tillsynsmail/A 12737-2025 tillsynsbegäran mail.docx", "A 12737-2025")</f>
        <v/>
      </c>
    </row>
    <row r="151" ht="15" customHeight="1">
      <c r="A151" t="inlineStr">
        <is>
          <t>A 5048-2025</t>
        </is>
      </c>
      <c r="B151" s="1" t="n">
        <v>45691.44769675926</v>
      </c>
      <c r="C151" s="1" t="n">
        <v>46052</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33432-2023</t>
        </is>
      </c>
      <c r="B152" s="1" t="n">
        <v>45128</v>
      </c>
      <c r="C152" s="1" t="n">
        <v>46052</v>
      </c>
      <c r="D152" t="inlineStr">
        <is>
          <t>JÄMTLANDS LÄN</t>
        </is>
      </c>
      <c r="E152" t="inlineStr">
        <is>
          <t>RAGUNDA</t>
        </is>
      </c>
      <c r="F152" t="inlineStr">
        <is>
          <t>SCA</t>
        </is>
      </c>
      <c r="G152" t="n">
        <v>10</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33432-2023 artfynd.xlsx", "A 33432-2023")</f>
        <v/>
      </c>
      <c r="T152">
        <f>HYPERLINK("https://klasma.github.io/Logging_2303/kartor/A 33432-2023 karta.png", "A 33432-2023")</f>
        <v/>
      </c>
      <c r="V152">
        <f>HYPERLINK("https://klasma.github.io/Logging_2303/klagomål/A 33432-2023 FSC-klagomål.docx", "A 33432-2023")</f>
        <v/>
      </c>
      <c r="W152">
        <f>HYPERLINK("https://klasma.github.io/Logging_2303/klagomålsmail/A 33432-2023 FSC-klagomål mail.docx", "A 33432-2023")</f>
        <v/>
      </c>
      <c r="X152">
        <f>HYPERLINK("https://klasma.github.io/Logging_2303/tillsyn/A 33432-2023 tillsynsbegäran.docx", "A 33432-2023")</f>
        <v/>
      </c>
      <c r="Y152">
        <f>HYPERLINK("https://klasma.github.io/Logging_2303/tillsynsmail/A 33432-2023 tillsynsbegäran mail.docx", "A 33432-2023")</f>
        <v/>
      </c>
      <c r="Z152">
        <f>HYPERLINK("https://klasma.github.io/Logging_2303/fåglar/A 33432-2023 prioriterade fågelarter.docx", "A 33432-2023")</f>
        <v/>
      </c>
    </row>
    <row r="153" ht="15" customHeight="1">
      <c r="A153" t="inlineStr">
        <is>
          <t>A 57941-2024</t>
        </is>
      </c>
      <c r="B153" s="1" t="n">
        <v>45631</v>
      </c>
      <c r="C153" s="1" t="n">
        <v>46052</v>
      </c>
      <c r="D153" t="inlineStr">
        <is>
          <t>JÄMTLANDS LÄN</t>
        </is>
      </c>
      <c r="E153" t="inlineStr">
        <is>
          <t>RAGUNDA</t>
        </is>
      </c>
      <c r="F153" t="inlineStr">
        <is>
          <t>SCA</t>
        </is>
      </c>
      <c r="G153" t="n">
        <v>4.2</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57941-2024 artfynd.xlsx", "A 57941-2024")</f>
        <v/>
      </c>
      <c r="T153">
        <f>HYPERLINK("https://klasma.github.io/Logging_2303/kartor/A 57941-2024 karta.png", "A 57941-2024")</f>
        <v/>
      </c>
      <c r="V153">
        <f>HYPERLINK("https://klasma.github.io/Logging_2303/klagomål/A 57941-2024 FSC-klagomål.docx", "A 57941-2024")</f>
        <v/>
      </c>
      <c r="W153">
        <f>HYPERLINK("https://klasma.github.io/Logging_2303/klagomålsmail/A 57941-2024 FSC-klagomål mail.docx", "A 57941-2024")</f>
        <v/>
      </c>
      <c r="X153">
        <f>HYPERLINK("https://klasma.github.io/Logging_2303/tillsyn/A 57941-2024 tillsynsbegäran.docx", "A 57941-2024")</f>
        <v/>
      </c>
      <c r="Y153">
        <f>HYPERLINK("https://klasma.github.io/Logging_2303/tillsynsmail/A 57941-2024 tillsynsbegäran mail.docx", "A 57941-2024")</f>
        <v/>
      </c>
      <c r="Z153">
        <f>HYPERLINK("https://klasma.github.io/Logging_2303/fåglar/A 57941-2024 prioriterade fågelarter.docx", "A 57941-2024")</f>
        <v/>
      </c>
    </row>
    <row r="154" ht="15" customHeight="1">
      <c r="A154" t="inlineStr">
        <is>
          <t>A 57667-2025</t>
        </is>
      </c>
      <c r="B154" s="1" t="n">
        <v>45981.42767361111</v>
      </c>
      <c r="C154" s="1" t="n">
        <v>46052</v>
      </c>
      <c r="D154" t="inlineStr">
        <is>
          <t>JÄMTLANDS LÄN</t>
        </is>
      </c>
      <c r="E154" t="inlineStr">
        <is>
          <t>RAGUNDA</t>
        </is>
      </c>
      <c r="F154" t="inlineStr">
        <is>
          <t>SCA</t>
        </is>
      </c>
      <c r="G154" t="n">
        <v>1.7</v>
      </c>
      <c r="H154" t="n">
        <v>0</v>
      </c>
      <c r="I154" t="n">
        <v>2</v>
      </c>
      <c r="J154" t="n">
        <v>1</v>
      </c>
      <c r="K154" t="n">
        <v>0</v>
      </c>
      <c r="L154" t="n">
        <v>0</v>
      </c>
      <c r="M154" t="n">
        <v>0</v>
      </c>
      <c r="N154" t="n">
        <v>0</v>
      </c>
      <c r="O154" t="n">
        <v>1</v>
      </c>
      <c r="P154" t="n">
        <v>0</v>
      </c>
      <c r="Q154" t="n">
        <v>3</v>
      </c>
      <c r="R154" s="2" t="inlineStr">
        <is>
          <t>Lunglav
Korallblylav
Luddlav</t>
        </is>
      </c>
      <c r="S154">
        <f>HYPERLINK("https://klasma.github.io/Logging_2303/artfynd/A 57667-2025 artfynd.xlsx", "A 57667-2025")</f>
        <v/>
      </c>
      <c r="T154">
        <f>HYPERLINK("https://klasma.github.io/Logging_2303/kartor/A 57667-2025 karta.png", "A 57667-2025")</f>
        <v/>
      </c>
      <c r="V154">
        <f>HYPERLINK("https://klasma.github.io/Logging_2303/klagomål/A 57667-2025 FSC-klagomål.docx", "A 57667-2025")</f>
        <v/>
      </c>
      <c r="W154">
        <f>HYPERLINK("https://klasma.github.io/Logging_2303/klagomålsmail/A 57667-2025 FSC-klagomål mail.docx", "A 57667-2025")</f>
        <v/>
      </c>
      <c r="X154">
        <f>HYPERLINK("https://klasma.github.io/Logging_2303/tillsyn/A 57667-2025 tillsynsbegäran.docx", "A 57667-2025")</f>
        <v/>
      </c>
      <c r="Y154">
        <f>HYPERLINK("https://klasma.github.io/Logging_2303/tillsynsmail/A 57667-2025 tillsynsbegäran mail.docx", "A 57667-2025")</f>
        <v/>
      </c>
    </row>
    <row r="155" ht="15" customHeight="1">
      <c r="A155" t="inlineStr">
        <is>
          <t>A 59179-2025</t>
        </is>
      </c>
      <c r="B155" s="1" t="n">
        <v>45988.57350694444</v>
      </c>
      <c r="C155" s="1" t="n">
        <v>46052</v>
      </c>
      <c r="D155" t="inlineStr">
        <is>
          <t>JÄMTLANDS LÄN</t>
        </is>
      </c>
      <c r="E155" t="inlineStr">
        <is>
          <t>RAGUNDA</t>
        </is>
      </c>
      <c r="F155" t="inlineStr">
        <is>
          <t>SCA</t>
        </is>
      </c>
      <c r="G155" t="n">
        <v>2.3</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HYPERLINK("https://klasma.github.io/Logging_2303/artfynd/A 59179-2025 artfynd.xlsx", "A 59179-2025")</f>
        <v/>
      </c>
      <c r="T155">
        <f>HYPERLINK("https://klasma.github.io/Logging_2303/kartor/A 59179-2025 karta.png", "A 59179-2025")</f>
        <v/>
      </c>
      <c r="V155">
        <f>HYPERLINK("https://klasma.github.io/Logging_2303/klagomål/A 59179-2025 FSC-klagomål.docx", "A 59179-2025")</f>
        <v/>
      </c>
      <c r="W155">
        <f>HYPERLINK("https://klasma.github.io/Logging_2303/klagomålsmail/A 59179-2025 FSC-klagomål mail.docx", "A 59179-2025")</f>
        <v/>
      </c>
      <c r="X155">
        <f>HYPERLINK("https://klasma.github.io/Logging_2303/tillsyn/A 59179-2025 tillsynsbegäran.docx", "A 59179-2025")</f>
        <v/>
      </c>
      <c r="Y155">
        <f>HYPERLINK("https://klasma.github.io/Logging_2303/tillsynsmail/A 59179-2025 tillsynsbegäran mail.docx", "A 59179-2025")</f>
        <v/>
      </c>
    </row>
    <row r="156" ht="15" customHeight="1">
      <c r="A156" t="inlineStr">
        <is>
          <t>A 61954-2025</t>
        </is>
      </c>
      <c r="B156" s="1" t="n">
        <v>46003.57381944444</v>
      </c>
      <c r="C156" s="1" t="n">
        <v>46052</v>
      </c>
      <c r="D156" t="inlineStr">
        <is>
          <t>JÄMTLANDS LÄN</t>
        </is>
      </c>
      <c r="E156" t="inlineStr">
        <is>
          <t>RAGUNDA</t>
        </is>
      </c>
      <c r="F156" t="inlineStr">
        <is>
          <t>SCA</t>
        </is>
      </c>
      <c r="G156" t="n">
        <v>6.5</v>
      </c>
      <c r="H156" t="n">
        <v>0</v>
      </c>
      <c r="I156" t="n">
        <v>1</v>
      </c>
      <c r="J156" t="n">
        <v>2</v>
      </c>
      <c r="K156" t="n">
        <v>0</v>
      </c>
      <c r="L156" t="n">
        <v>0</v>
      </c>
      <c r="M156" t="n">
        <v>0</v>
      </c>
      <c r="N156" t="n">
        <v>0</v>
      </c>
      <c r="O156" t="n">
        <v>2</v>
      </c>
      <c r="P156" t="n">
        <v>0</v>
      </c>
      <c r="Q156" t="n">
        <v>3</v>
      </c>
      <c r="R156" s="2" t="inlineStr">
        <is>
          <t>Garnlav
Lunglav
Trådticka</t>
        </is>
      </c>
      <c r="S156">
        <f>HYPERLINK("https://klasma.github.io/Logging_2303/artfynd/A 61954-2025 artfynd.xlsx", "A 61954-2025")</f>
        <v/>
      </c>
      <c r="T156">
        <f>HYPERLINK("https://klasma.github.io/Logging_2303/kartor/A 61954-2025 karta.png", "A 61954-2025")</f>
        <v/>
      </c>
      <c r="V156">
        <f>HYPERLINK("https://klasma.github.io/Logging_2303/klagomål/A 61954-2025 FSC-klagomål.docx", "A 61954-2025")</f>
        <v/>
      </c>
      <c r="W156">
        <f>HYPERLINK("https://klasma.github.io/Logging_2303/klagomålsmail/A 61954-2025 FSC-klagomål mail.docx", "A 61954-2025")</f>
        <v/>
      </c>
      <c r="X156">
        <f>HYPERLINK("https://klasma.github.io/Logging_2303/tillsyn/A 61954-2025 tillsynsbegäran.docx", "A 61954-2025")</f>
        <v/>
      </c>
      <c r="Y156">
        <f>HYPERLINK("https://klasma.github.io/Logging_2303/tillsynsmail/A 61954-2025 tillsynsbegäran mail.docx", "A 61954-2025")</f>
        <v/>
      </c>
    </row>
    <row r="157" ht="15" customHeight="1">
      <c r="A157" t="inlineStr">
        <is>
          <t>A 5731-2026</t>
        </is>
      </c>
      <c r="B157" s="1" t="n">
        <v>46051.57355324074</v>
      </c>
      <c r="C157" s="1" t="n">
        <v>46052</v>
      </c>
      <c r="D157" t="inlineStr">
        <is>
          <t>JÄMTLANDS LÄN</t>
        </is>
      </c>
      <c r="E157" t="inlineStr">
        <is>
          <t>RAGUNDA</t>
        </is>
      </c>
      <c r="F157" t="inlineStr">
        <is>
          <t>SCA</t>
        </is>
      </c>
      <c r="G157" t="n">
        <v>2</v>
      </c>
      <c r="H157" t="n">
        <v>1</v>
      </c>
      <c r="I157" t="n">
        <v>0</v>
      </c>
      <c r="J157" t="n">
        <v>2</v>
      </c>
      <c r="K157" t="n">
        <v>0</v>
      </c>
      <c r="L157" t="n">
        <v>0</v>
      </c>
      <c r="M157" t="n">
        <v>0</v>
      </c>
      <c r="N157" t="n">
        <v>0</v>
      </c>
      <c r="O157" t="n">
        <v>2</v>
      </c>
      <c r="P157" t="n">
        <v>0</v>
      </c>
      <c r="Q157" t="n">
        <v>3</v>
      </c>
      <c r="R157" s="2" t="inlineStr">
        <is>
          <t>Garnlav
Lunglav
Lavskrika</t>
        </is>
      </c>
      <c r="S157">
        <f>HYPERLINK("https://klasma.github.io/Logging_2303/artfynd/A 5731-2026 artfynd.xlsx", "A 5731-2026")</f>
        <v/>
      </c>
      <c r="T157">
        <f>HYPERLINK("https://klasma.github.io/Logging_2303/kartor/A 5731-2026 karta.png", "A 5731-2026")</f>
        <v/>
      </c>
      <c r="V157">
        <f>HYPERLINK("https://klasma.github.io/Logging_2303/klagomål/A 5731-2026 FSC-klagomål.docx", "A 5731-2026")</f>
        <v/>
      </c>
      <c r="W157">
        <f>HYPERLINK("https://klasma.github.io/Logging_2303/klagomålsmail/A 5731-2026 FSC-klagomål mail.docx", "A 5731-2026")</f>
        <v/>
      </c>
      <c r="X157">
        <f>HYPERLINK("https://klasma.github.io/Logging_2303/tillsyn/A 5731-2026 tillsynsbegäran.docx", "A 5731-2026")</f>
        <v/>
      </c>
      <c r="Y157">
        <f>HYPERLINK("https://klasma.github.io/Logging_2303/tillsynsmail/A 5731-2026 tillsynsbegäran mail.docx", "A 5731-2026")</f>
        <v/>
      </c>
      <c r="Z157">
        <f>HYPERLINK("https://klasma.github.io/Logging_2303/fåglar/A 5731-2026 prioriterade fågelarter.docx", "A 5731-2026")</f>
        <v/>
      </c>
    </row>
    <row r="158" ht="15" customHeight="1">
      <c r="A158" t="inlineStr">
        <is>
          <t>A 30470-2024</t>
        </is>
      </c>
      <c r="B158" s="1" t="n">
        <v>45491</v>
      </c>
      <c r="C158" s="1" t="n">
        <v>46052</v>
      </c>
      <c r="D158" t="inlineStr">
        <is>
          <t>JÄMTLANDS LÄN</t>
        </is>
      </c>
      <c r="E158" t="inlineStr">
        <is>
          <t>RAGUNDA</t>
        </is>
      </c>
      <c r="F158" t="inlineStr">
        <is>
          <t>SCA</t>
        </is>
      </c>
      <c r="G158" t="n">
        <v>1.4</v>
      </c>
      <c r="H158" t="n">
        <v>2</v>
      </c>
      <c r="I158" t="n">
        <v>0</v>
      </c>
      <c r="J158" t="n">
        <v>2</v>
      </c>
      <c r="K158" t="n">
        <v>1</v>
      </c>
      <c r="L158" t="n">
        <v>0</v>
      </c>
      <c r="M158" t="n">
        <v>0</v>
      </c>
      <c r="N158" t="n">
        <v>0</v>
      </c>
      <c r="O158" t="n">
        <v>3</v>
      </c>
      <c r="P158" t="n">
        <v>1</v>
      </c>
      <c r="Q158" t="n">
        <v>3</v>
      </c>
      <c r="R158" s="2" t="inlineStr">
        <is>
          <t>Knärot
Lunglav
Tretåig hackspett</t>
        </is>
      </c>
      <c r="S158">
        <f>HYPERLINK("https://klasma.github.io/Logging_2303/artfynd/A 30470-2024 artfynd.xlsx", "A 30470-2024")</f>
        <v/>
      </c>
      <c r="T158">
        <f>HYPERLINK("https://klasma.github.io/Logging_2303/kartor/A 30470-2024 karta.png", "A 30470-2024")</f>
        <v/>
      </c>
      <c r="U158">
        <f>HYPERLINK("https://klasma.github.io/Logging_2303/knärot/A 30470-2024 karta knärot.png", "A 30470-2024")</f>
        <v/>
      </c>
      <c r="V158">
        <f>HYPERLINK("https://klasma.github.io/Logging_2303/klagomål/A 30470-2024 FSC-klagomål.docx", "A 30470-2024")</f>
        <v/>
      </c>
      <c r="W158">
        <f>HYPERLINK("https://klasma.github.io/Logging_2303/klagomålsmail/A 30470-2024 FSC-klagomål mail.docx", "A 30470-2024")</f>
        <v/>
      </c>
      <c r="X158">
        <f>HYPERLINK("https://klasma.github.io/Logging_2303/tillsyn/A 30470-2024 tillsynsbegäran.docx", "A 30470-2024")</f>
        <v/>
      </c>
      <c r="Y158">
        <f>HYPERLINK("https://klasma.github.io/Logging_2303/tillsynsmail/A 30470-2024 tillsynsbegäran mail.docx", "A 30470-2024")</f>
        <v/>
      </c>
      <c r="Z158">
        <f>HYPERLINK("https://klasma.github.io/Logging_2303/fåglar/A 30470-2024 prioriterade fågelarter.docx", "A 30470-2024")</f>
        <v/>
      </c>
    </row>
    <row r="159" ht="15" customHeight="1">
      <c r="A159" t="inlineStr">
        <is>
          <t>A 17043-2022</t>
        </is>
      </c>
      <c r="B159" s="1" t="n">
        <v>44676</v>
      </c>
      <c r="C159" s="1" t="n">
        <v>46052</v>
      </c>
      <c r="D159" t="inlineStr">
        <is>
          <t>JÄMTLANDS LÄN</t>
        </is>
      </c>
      <c r="E159" t="inlineStr">
        <is>
          <t>RAGUNDA</t>
        </is>
      </c>
      <c r="F159" t="inlineStr">
        <is>
          <t>SCA</t>
        </is>
      </c>
      <c r="G159" t="n">
        <v>3</v>
      </c>
      <c r="H159" t="n">
        <v>0</v>
      </c>
      <c r="I159" t="n">
        <v>2</v>
      </c>
      <c r="J159" t="n">
        <v>0</v>
      </c>
      <c r="K159" t="n">
        <v>0</v>
      </c>
      <c r="L159" t="n">
        <v>0</v>
      </c>
      <c r="M159" t="n">
        <v>0</v>
      </c>
      <c r="N159" t="n">
        <v>0</v>
      </c>
      <c r="O159" t="n">
        <v>0</v>
      </c>
      <c r="P159" t="n">
        <v>0</v>
      </c>
      <c r="Q159" t="n">
        <v>2</v>
      </c>
      <c r="R159" s="2" t="inlineStr">
        <is>
          <t>Skinnlav
Vedticka</t>
        </is>
      </c>
      <c r="S159">
        <f>HYPERLINK("https://klasma.github.io/Logging_2303/artfynd/A 17043-2022 artfynd.xlsx", "A 17043-2022")</f>
        <v/>
      </c>
      <c r="T159">
        <f>HYPERLINK("https://klasma.github.io/Logging_2303/kartor/A 17043-2022 karta.png", "A 17043-2022")</f>
        <v/>
      </c>
      <c r="V159">
        <f>HYPERLINK("https://klasma.github.io/Logging_2303/klagomål/A 17043-2022 FSC-klagomål.docx", "A 17043-2022")</f>
        <v/>
      </c>
      <c r="W159">
        <f>HYPERLINK("https://klasma.github.io/Logging_2303/klagomålsmail/A 17043-2022 FSC-klagomål mail.docx", "A 17043-2022")</f>
        <v/>
      </c>
      <c r="X159">
        <f>HYPERLINK("https://klasma.github.io/Logging_2303/tillsyn/A 17043-2022 tillsynsbegäran.docx", "A 17043-2022")</f>
        <v/>
      </c>
      <c r="Y159">
        <f>HYPERLINK("https://klasma.github.io/Logging_2303/tillsynsmail/A 17043-2022 tillsynsbegäran mail.docx", "A 17043-2022")</f>
        <v/>
      </c>
    </row>
    <row r="160" ht="15" customHeight="1">
      <c r="A160" t="inlineStr">
        <is>
          <t>A 48059-2022</t>
        </is>
      </c>
      <c r="B160" s="1" t="n">
        <v>44855</v>
      </c>
      <c r="C160" s="1" t="n">
        <v>46052</v>
      </c>
      <c r="D160" t="inlineStr">
        <is>
          <t>JÄMTLANDS LÄN</t>
        </is>
      </c>
      <c r="E160" t="inlineStr">
        <is>
          <t>RAGUNDA</t>
        </is>
      </c>
      <c r="F160" t="inlineStr">
        <is>
          <t>SCA</t>
        </is>
      </c>
      <c r="G160" t="n">
        <v>3.2</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48059-2022 artfynd.xlsx", "A 48059-2022")</f>
        <v/>
      </c>
      <c r="T160">
        <f>HYPERLINK("https://klasma.github.io/Logging_2303/kartor/A 48059-2022 karta.png", "A 48059-2022")</f>
        <v/>
      </c>
      <c r="V160">
        <f>HYPERLINK("https://klasma.github.io/Logging_2303/klagomål/A 48059-2022 FSC-klagomål.docx", "A 48059-2022")</f>
        <v/>
      </c>
      <c r="W160">
        <f>HYPERLINK("https://klasma.github.io/Logging_2303/klagomålsmail/A 48059-2022 FSC-klagomål mail.docx", "A 48059-2022")</f>
        <v/>
      </c>
      <c r="X160">
        <f>HYPERLINK("https://klasma.github.io/Logging_2303/tillsyn/A 48059-2022 tillsynsbegäran.docx", "A 48059-2022")</f>
        <v/>
      </c>
      <c r="Y160">
        <f>HYPERLINK("https://klasma.github.io/Logging_2303/tillsynsmail/A 48059-2022 tillsynsbegäran mail.docx", "A 48059-2022")</f>
        <v/>
      </c>
    </row>
    <row r="161" ht="15" customHeight="1">
      <c r="A161" t="inlineStr">
        <is>
          <t>A 10866-2025</t>
        </is>
      </c>
      <c r="B161" s="1" t="n">
        <v>45722.61543981481</v>
      </c>
      <c r="C161" s="1" t="n">
        <v>46052</v>
      </c>
      <c r="D161" t="inlineStr">
        <is>
          <t>JÄMTLANDS LÄN</t>
        </is>
      </c>
      <c r="E161" t="inlineStr">
        <is>
          <t>RAGUNDA</t>
        </is>
      </c>
      <c r="F161" t="inlineStr">
        <is>
          <t>SCA</t>
        </is>
      </c>
      <c r="G161" t="n">
        <v>15.9</v>
      </c>
      <c r="H161" t="n">
        <v>0</v>
      </c>
      <c r="I161" t="n">
        <v>1</v>
      </c>
      <c r="J161" t="n">
        <v>1</v>
      </c>
      <c r="K161" t="n">
        <v>0</v>
      </c>
      <c r="L161" t="n">
        <v>0</v>
      </c>
      <c r="M161" t="n">
        <v>0</v>
      </c>
      <c r="N161" t="n">
        <v>0</v>
      </c>
      <c r="O161" t="n">
        <v>1</v>
      </c>
      <c r="P161" t="n">
        <v>0</v>
      </c>
      <c r="Q161" t="n">
        <v>2</v>
      </c>
      <c r="R161" s="2" t="inlineStr">
        <is>
          <t>Garnlav
Norrlandslav</t>
        </is>
      </c>
      <c r="S161">
        <f>HYPERLINK("https://klasma.github.io/Logging_2303/artfynd/A 10866-2025 artfynd.xlsx", "A 10866-2025")</f>
        <v/>
      </c>
      <c r="T161">
        <f>HYPERLINK("https://klasma.github.io/Logging_2303/kartor/A 10866-2025 karta.png", "A 10866-2025")</f>
        <v/>
      </c>
      <c r="V161">
        <f>HYPERLINK("https://klasma.github.io/Logging_2303/klagomål/A 10866-2025 FSC-klagomål.docx", "A 10866-2025")</f>
        <v/>
      </c>
      <c r="W161">
        <f>HYPERLINK("https://klasma.github.io/Logging_2303/klagomålsmail/A 10866-2025 FSC-klagomål mail.docx", "A 10866-2025")</f>
        <v/>
      </c>
      <c r="X161">
        <f>HYPERLINK("https://klasma.github.io/Logging_2303/tillsyn/A 10866-2025 tillsynsbegäran.docx", "A 10866-2025")</f>
        <v/>
      </c>
      <c r="Y161">
        <f>HYPERLINK("https://klasma.github.io/Logging_2303/tillsynsmail/A 10866-2025 tillsynsbegäran mail.docx", "A 10866-2025")</f>
        <v/>
      </c>
    </row>
    <row r="162" ht="15" customHeight="1">
      <c r="A162" t="inlineStr">
        <is>
          <t>A 10884-2025</t>
        </is>
      </c>
      <c r="B162" s="1" t="n">
        <v>45722.65670138889</v>
      </c>
      <c r="C162" s="1" t="n">
        <v>46052</v>
      </c>
      <c r="D162" t="inlineStr">
        <is>
          <t>JÄMTLANDS LÄN</t>
        </is>
      </c>
      <c r="E162" t="inlineStr">
        <is>
          <t>RAGUNDA</t>
        </is>
      </c>
      <c r="F162" t="inlineStr">
        <is>
          <t>SCA</t>
        </is>
      </c>
      <c r="G162" t="n">
        <v>5.4</v>
      </c>
      <c r="H162" t="n">
        <v>0</v>
      </c>
      <c r="I162" t="n">
        <v>1</v>
      </c>
      <c r="J162" t="n">
        <v>1</v>
      </c>
      <c r="K162" t="n">
        <v>0</v>
      </c>
      <c r="L162" t="n">
        <v>0</v>
      </c>
      <c r="M162" t="n">
        <v>0</v>
      </c>
      <c r="N162" t="n">
        <v>0</v>
      </c>
      <c r="O162" t="n">
        <v>1</v>
      </c>
      <c r="P162" t="n">
        <v>0</v>
      </c>
      <c r="Q162" t="n">
        <v>2</v>
      </c>
      <c r="R162" s="2" t="inlineStr">
        <is>
          <t>Vitgrynig nållav
Dropptaggsvamp</t>
        </is>
      </c>
      <c r="S162">
        <f>HYPERLINK("https://klasma.github.io/Logging_2303/artfynd/A 10884-2025 artfynd.xlsx", "A 10884-2025")</f>
        <v/>
      </c>
      <c r="T162">
        <f>HYPERLINK("https://klasma.github.io/Logging_2303/kartor/A 10884-2025 karta.png", "A 10884-2025")</f>
        <v/>
      </c>
      <c r="V162">
        <f>HYPERLINK("https://klasma.github.io/Logging_2303/klagomål/A 10884-2025 FSC-klagomål.docx", "A 10884-2025")</f>
        <v/>
      </c>
      <c r="W162">
        <f>HYPERLINK("https://klasma.github.io/Logging_2303/klagomålsmail/A 10884-2025 FSC-klagomål mail.docx", "A 10884-2025")</f>
        <v/>
      </c>
      <c r="X162">
        <f>HYPERLINK("https://klasma.github.io/Logging_2303/tillsyn/A 10884-2025 tillsynsbegäran.docx", "A 10884-2025")</f>
        <v/>
      </c>
      <c r="Y162">
        <f>HYPERLINK("https://klasma.github.io/Logging_2303/tillsynsmail/A 10884-2025 tillsynsbegäran mail.docx", "A 10884-2025")</f>
        <v/>
      </c>
    </row>
    <row r="163" ht="15" customHeight="1">
      <c r="A163" t="inlineStr">
        <is>
          <t>A 21245-2025</t>
        </is>
      </c>
      <c r="B163" s="1" t="n">
        <v>45779.57350694444</v>
      </c>
      <c r="C163" s="1" t="n">
        <v>46052</v>
      </c>
      <c r="D163" t="inlineStr">
        <is>
          <t>JÄMTLANDS LÄN</t>
        </is>
      </c>
      <c r="E163" t="inlineStr">
        <is>
          <t>RAGUNDA</t>
        </is>
      </c>
      <c r="F163" t="inlineStr">
        <is>
          <t>SCA</t>
        </is>
      </c>
      <c r="G163" t="n">
        <v>3.7</v>
      </c>
      <c r="H163" t="n">
        <v>1</v>
      </c>
      <c r="I163" t="n">
        <v>0</v>
      </c>
      <c r="J163" t="n">
        <v>1</v>
      </c>
      <c r="K163" t="n">
        <v>0</v>
      </c>
      <c r="L163" t="n">
        <v>0</v>
      </c>
      <c r="M163" t="n">
        <v>0</v>
      </c>
      <c r="N163" t="n">
        <v>0</v>
      </c>
      <c r="O163" t="n">
        <v>1</v>
      </c>
      <c r="P163" t="n">
        <v>0</v>
      </c>
      <c r="Q163" t="n">
        <v>2</v>
      </c>
      <c r="R163" s="2" t="inlineStr">
        <is>
          <t>Garnlav
Tjäder</t>
        </is>
      </c>
      <c r="S163">
        <f>HYPERLINK("https://klasma.github.io/Logging_2303/artfynd/A 21245-2025 artfynd.xlsx", "A 21245-2025")</f>
        <v/>
      </c>
      <c r="T163">
        <f>HYPERLINK("https://klasma.github.io/Logging_2303/kartor/A 21245-2025 karta.png", "A 21245-2025")</f>
        <v/>
      </c>
      <c r="V163">
        <f>HYPERLINK("https://klasma.github.io/Logging_2303/klagomål/A 21245-2025 FSC-klagomål.docx", "A 21245-2025")</f>
        <v/>
      </c>
      <c r="W163">
        <f>HYPERLINK("https://klasma.github.io/Logging_2303/klagomålsmail/A 21245-2025 FSC-klagomål mail.docx", "A 21245-2025")</f>
        <v/>
      </c>
      <c r="X163">
        <f>HYPERLINK("https://klasma.github.io/Logging_2303/tillsyn/A 21245-2025 tillsynsbegäran.docx", "A 21245-2025")</f>
        <v/>
      </c>
      <c r="Y163">
        <f>HYPERLINK("https://klasma.github.io/Logging_2303/tillsynsmail/A 21245-2025 tillsynsbegäran mail.docx", "A 21245-2025")</f>
        <v/>
      </c>
      <c r="Z163">
        <f>HYPERLINK("https://klasma.github.io/Logging_2303/fåglar/A 21245-2025 prioriterade fågelarter.docx", "A 21245-2025")</f>
        <v/>
      </c>
    </row>
    <row r="164" ht="15" customHeight="1">
      <c r="A164" t="inlineStr">
        <is>
          <t>A 19384-2025</t>
        </is>
      </c>
      <c r="B164" s="1" t="n">
        <v>45769.65692129629</v>
      </c>
      <c r="C164" s="1" t="n">
        <v>46052</v>
      </c>
      <c r="D164" t="inlineStr">
        <is>
          <t>JÄMTLANDS LÄN</t>
        </is>
      </c>
      <c r="E164" t="inlineStr">
        <is>
          <t>RAGUNDA</t>
        </is>
      </c>
      <c r="F164" t="inlineStr">
        <is>
          <t>SCA</t>
        </is>
      </c>
      <c r="G164" t="n">
        <v>2.8</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19384-2025 artfynd.xlsx", "A 19384-2025")</f>
        <v/>
      </c>
      <c r="T164">
        <f>HYPERLINK("https://klasma.github.io/Logging_2303/kartor/A 19384-2025 karta.png", "A 19384-2025")</f>
        <v/>
      </c>
      <c r="V164">
        <f>HYPERLINK("https://klasma.github.io/Logging_2303/klagomål/A 19384-2025 FSC-klagomål.docx", "A 19384-2025")</f>
        <v/>
      </c>
      <c r="W164">
        <f>HYPERLINK("https://klasma.github.io/Logging_2303/klagomålsmail/A 19384-2025 FSC-klagomål mail.docx", "A 19384-2025")</f>
        <v/>
      </c>
      <c r="X164">
        <f>HYPERLINK("https://klasma.github.io/Logging_2303/tillsyn/A 19384-2025 tillsynsbegäran.docx", "A 19384-2025")</f>
        <v/>
      </c>
      <c r="Y164">
        <f>HYPERLINK("https://klasma.github.io/Logging_2303/tillsynsmail/A 19384-2025 tillsynsbegäran mail.docx", "A 19384-2025")</f>
        <v/>
      </c>
      <c r="Z164">
        <f>HYPERLINK("https://klasma.github.io/Logging_2303/fåglar/A 19384-2025 prioriterade fågelarter.docx", "A 19384-2025")</f>
        <v/>
      </c>
    </row>
    <row r="165" ht="15" customHeight="1">
      <c r="A165" t="inlineStr">
        <is>
          <t>A 3838-2024</t>
        </is>
      </c>
      <c r="B165" s="1" t="n">
        <v>45321</v>
      </c>
      <c r="C165" s="1" t="n">
        <v>46052</v>
      </c>
      <c r="D165" t="inlineStr">
        <is>
          <t>JÄMTLANDS LÄN</t>
        </is>
      </c>
      <c r="E165" t="inlineStr">
        <is>
          <t>RAGUNDA</t>
        </is>
      </c>
      <c r="F165" t="inlineStr">
        <is>
          <t>SCA</t>
        </is>
      </c>
      <c r="G165" t="n">
        <v>2</v>
      </c>
      <c r="H165" t="n">
        <v>1</v>
      </c>
      <c r="I165" t="n">
        <v>1</v>
      </c>
      <c r="J165" t="n">
        <v>1</v>
      </c>
      <c r="K165" t="n">
        <v>0</v>
      </c>
      <c r="L165" t="n">
        <v>0</v>
      </c>
      <c r="M165" t="n">
        <v>0</v>
      </c>
      <c r="N165" t="n">
        <v>0</v>
      </c>
      <c r="O165" t="n">
        <v>1</v>
      </c>
      <c r="P165" t="n">
        <v>0</v>
      </c>
      <c r="Q165" t="n">
        <v>2</v>
      </c>
      <c r="R165" s="2" t="inlineStr">
        <is>
          <t>Garnlav
Guckusko</t>
        </is>
      </c>
      <c r="S165">
        <f>HYPERLINK("https://klasma.github.io/Logging_2303/artfynd/A 3838-2024 artfynd.xlsx", "A 3838-2024")</f>
        <v/>
      </c>
      <c r="T165">
        <f>HYPERLINK("https://klasma.github.io/Logging_2303/kartor/A 3838-2024 karta.png", "A 3838-2024")</f>
        <v/>
      </c>
      <c r="V165">
        <f>HYPERLINK("https://klasma.github.io/Logging_2303/klagomål/A 3838-2024 FSC-klagomål.docx", "A 3838-2024")</f>
        <v/>
      </c>
      <c r="W165">
        <f>HYPERLINK("https://klasma.github.io/Logging_2303/klagomålsmail/A 3838-2024 FSC-klagomål mail.docx", "A 3838-2024")</f>
        <v/>
      </c>
      <c r="X165">
        <f>HYPERLINK("https://klasma.github.io/Logging_2303/tillsyn/A 3838-2024 tillsynsbegäran.docx", "A 3838-2024")</f>
        <v/>
      </c>
      <c r="Y165">
        <f>HYPERLINK("https://klasma.github.io/Logging_2303/tillsynsmail/A 3838-2024 tillsynsbegäran mail.docx", "A 3838-2024")</f>
        <v/>
      </c>
    </row>
    <row r="166" ht="15" customHeight="1">
      <c r="A166" t="inlineStr">
        <is>
          <t>A 36756-2023</t>
        </is>
      </c>
      <c r="B166" s="1" t="n">
        <v>45153</v>
      </c>
      <c r="C166" s="1" t="n">
        <v>46052</v>
      </c>
      <c r="D166" t="inlineStr">
        <is>
          <t>JÄMTLANDS LÄN</t>
        </is>
      </c>
      <c r="E166" t="inlineStr">
        <is>
          <t>RAGUNDA</t>
        </is>
      </c>
      <c r="G166" t="n">
        <v>3.5</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HYPERLINK("https://klasma.github.io/Logging_2303/artfynd/A 36756-2023 artfynd.xlsx", "A 36756-2023")</f>
        <v/>
      </c>
      <c r="T166">
        <f>HYPERLINK("https://klasma.github.io/Logging_2303/kartor/A 36756-2023 karta.png", "A 36756-2023")</f>
        <v/>
      </c>
      <c r="V166">
        <f>HYPERLINK("https://klasma.github.io/Logging_2303/klagomål/A 36756-2023 FSC-klagomål.docx", "A 36756-2023")</f>
        <v/>
      </c>
      <c r="W166">
        <f>HYPERLINK("https://klasma.github.io/Logging_2303/klagomålsmail/A 36756-2023 FSC-klagomål mail.docx", "A 36756-2023")</f>
        <v/>
      </c>
      <c r="X166">
        <f>HYPERLINK("https://klasma.github.io/Logging_2303/tillsyn/A 36756-2023 tillsynsbegäran.docx", "A 36756-2023")</f>
        <v/>
      </c>
      <c r="Y166">
        <f>HYPERLINK("https://klasma.github.io/Logging_2303/tillsynsmail/A 36756-2023 tillsynsbegäran mail.docx", "A 36756-2023")</f>
        <v/>
      </c>
      <c r="Z166">
        <f>HYPERLINK("https://klasma.github.io/Logging_2303/fåglar/A 36756-2023 prioriterade fågelarter.docx", "A 36756-2023")</f>
        <v/>
      </c>
    </row>
    <row r="167" ht="15" customHeight="1">
      <c r="A167" t="inlineStr">
        <is>
          <t>A 56285-2023</t>
        </is>
      </c>
      <c r="B167" s="1" t="n">
        <v>45241</v>
      </c>
      <c r="C167" s="1" t="n">
        <v>46052</v>
      </c>
      <c r="D167" t="inlineStr">
        <is>
          <t>JÄMTLANDS LÄN</t>
        </is>
      </c>
      <c r="E167" t="inlineStr">
        <is>
          <t>RAGUNDA</t>
        </is>
      </c>
      <c r="F167" t="inlineStr">
        <is>
          <t>SCA</t>
        </is>
      </c>
      <c r="G167" t="n">
        <v>5.5</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56285-2023 artfynd.xlsx", "A 56285-2023")</f>
        <v/>
      </c>
      <c r="T167">
        <f>HYPERLINK("https://klasma.github.io/Logging_2303/kartor/A 56285-2023 karta.png", "A 56285-2023")</f>
        <v/>
      </c>
      <c r="V167">
        <f>HYPERLINK("https://klasma.github.io/Logging_2303/klagomål/A 56285-2023 FSC-klagomål.docx", "A 56285-2023")</f>
        <v/>
      </c>
      <c r="W167">
        <f>HYPERLINK("https://klasma.github.io/Logging_2303/klagomålsmail/A 56285-2023 FSC-klagomål mail.docx", "A 56285-2023")</f>
        <v/>
      </c>
      <c r="X167">
        <f>HYPERLINK("https://klasma.github.io/Logging_2303/tillsyn/A 56285-2023 tillsynsbegäran.docx", "A 56285-2023")</f>
        <v/>
      </c>
      <c r="Y167">
        <f>HYPERLINK("https://klasma.github.io/Logging_2303/tillsynsmail/A 56285-2023 tillsynsbegäran mail.docx", "A 56285-2023")</f>
        <v/>
      </c>
    </row>
    <row r="168" ht="15" customHeight="1">
      <c r="A168" t="inlineStr">
        <is>
          <t>A 25155-2025</t>
        </is>
      </c>
      <c r="B168" s="1" t="n">
        <v>45800.42782407408</v>
      </c>
      <c r="C168" s="1" t="n">
        <v>46052</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Leptoporus mollis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39495-2024</t>
        </is>
      </c>
      <c r="B169" s="1" t="n">
        <v>45551.65726851852</v>
      </c>
      <c r="C169" s="1" t="n">
        <v>46052</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32736-2023</t>
        </is>
      </c>
      <c r="B170" s="1" t="n">
        <v>45121</v>
      </c>
      <c r="C170" s="1" t="n">
        <v>46052</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19728-2025</t>
        </is>
      </c>
      <c r="B171" s="1" t="n">
        <v>45771.36548611111</v>
      </c>
      <c r="C171" s="1" t="n">
        <v>46052</v>
      </c>
      <c r="D171" t="inlineStr">
        <is>
          <t>JÄMTLANDS LÄN</t>
        </is>
      </c>
      <c r="E171" t="inlineStr">
        <is>
          <t>RAGUNDA</t>
        </is>
      </c>
      <c r="F171" t="inlineStr">
        <is>
          <t>SCA</t>
        </is>
      </c>
      <c r="G171" t="n">
        <v>6.2</v>
      </c>
      <c r="H171" t="n">
        <v>1</v>
      </c>
      <c r="I171" t="n">
        <v>0</v>
      </c>
      <c r="J171" t="n">
        <v>2</v>
      </c>
      <c r="K171" t="n">
        <v>0</v>
      </c>
      <c r="L171" t="n">
        <v>0</v>
      </c>
      <c r="M171" t="n">
        <v>0</v>
      </c>
      <c r="N171" t="n">
        <v>0</v>
      </c>
      <c r="O171" t="n">
        <v>2</v>
      </c>
      <c r="P171" t="n">
        <v>0</v>
      </c>
      <c r="Q171" t="n">
        <v>2</v>
      </c>
      <c r="R171" s="2" t="inlineStr">
        <is>
          <t>Stjärntagging
Tretåig hackspett</t>
        </is>
      </c>
      <c r="S171">
        <f>HYPERLINK("https://klasma.github.io/Logging_2303/artfynd/A 19728-2025 artfynd.xlsx", "A 19728-2025")</f>
        <v/>
      </c>
      <c r="T171">
        <f>HYPERLINK("https://klasma.github.io/Logging_2303/kartor/A 19728-2025 karta.png", "A 19728-2025")</f>
        <v/>
      </c>
      <c r="V171">
        <f>HYPERLINK("https://klasma.github.io/Logging_2303/klagomål/A 19728-2025 FSC-klagomål.docx", "A 19728-2025")</f>
        <v/>
      </c>
      <c r="W171">
        <f>HYPERLINK("https://klasma.github.io/Logging_2303/klagomålsmail/A 19728-2025 FSC-klagomål mail.docx", "A 19728-2025")</f>
        <v/>
      </c>
      <c r="X171">
        <f>HYPERLINK("https://klasma.github.io/Logging_2303/tillsyn/A 19728-2025 tillsynsbegäran.docx", "A 19728-2025")</f>
        <v/>
      </c>
      <c r="Y171">
        <f>HYPERLINK("https://klasma.github.io/Logging_2303/tillsynsmail/A 19728-2025 tillsynsbegäran mail.docx", "A 19728-2025")</f>
        <v/>
      </c>
      <c r="Z171">
        <f>HYPERLINK("https://klasma.github.io/Logging_2303/fåglar/A 19728-2025 prioriterade fågelarter.docx", "A 19728-2025")</f>
        <v/>
      </c>
    </row>
    <row r="172" ht="15" customHeight="1">
      <c r="A172" t="inlineStr">
        <is>
          <t>A 55647-2023</t>
        </is>
      </c>
      <c r="B172" s="1" t="n">
        <v>45238</v>
      </c>
      <c r="C172" s="1" t="n">
        <v>46052</v>
      </c>
      <c r="D172" t="inlineStr">
        <is>
          <t>JÄMTLANDS LÄN</t>
        </is>
      </c>
      <c r="E172" t="inlineStr">
        <is>
          <t>RAGUNDA</t>
        </is>
      </c>
      <c r="F172" t="inlineStr">
        <is>
          <t>SCA</t>
        </is>
      </c>
      <c r="G172" t="n">
        <v>3.7</v>
      </c>
      <c r="H172" t="n">
        <v>0</v>
      </c>
      <c r="I172" t="n">
        <v>1</v>
      </c>
      <c r="J172" t="n">
        <v>1</v>
      </c>
      <c r="K172" t="n">
        <v>0</v>
      </c>
      <c r="L172" t="n">
        <v>0</v>
      </c>
      <c r="M172" t="n">
        <v>0</v>
      </c>
      <c r="N172" t="n">
        <v>0</v>
      </c>
      <c r="O172" t="n">
        <v>1</v>
      </c>
      <c r="P172" t="n">
        <v>0</v>
      </c>
      <c r="Q172" t="n">
        <v>2</v>
      </c>
      <c r="R172" s="2" t="inlineStr">
        <is>
          <t>Granticka
Trådticka</t>
        </is>
      </c>
      <c r="S172">
        <f>HYPERLINK("https://klasma.github.io/Logging_2303/artfynd/A 55647-2023 artfynd.xlsx", "A 55647-2023")</f>
        <v/>
      </c>
      <c r="T172">
        <f>HYPERLINK("https://klasma.github.io/Logging_2303/kartor/A 55647-2023 karta.png", "A 55647-2023")</f>
        <v/>
      </c>
      <c r="V172">
        <f>HYPERLINK("https://klasma.github.io/Logging_2303/klagomål/A 55647-2023 FSC-klagomål.docx", "A 55647-2023")</f>
        <v/>
      </c>
      <c r="W172">
        <f>HYPERLINK("https://klasma.github.io/Logging_2303/klagomålsmail/A 55647-2023 FSC-klagomål mail.docx", "A 55647-2023")</f>
        <v/>
      </c>
      <c r="X172">
        <f>HYPERLINK("https://klasma.github.io/Logging_2303/tillsyn/A 55647-2023 tillsynsbegäran.docx", "A 55647-2023")</f>
        <v/>
      </c>
      <c r="Y172">
        <f>HYPERLINK("https://klasma.github.io/Logging_2303/tillsynsmail/A 55647-2023 tillsynsbegäran mail.docx", "A 55647-2023")</f>
        <v/>
      </c>
    </row>
    <row r="173" ht="15" customHeight="1">
      <c r="A173" t="inlineStr">
        <is>
          <t>A 47267-2022</t>
        </is>
      </c>
      <c r="B173" s="1" t="n">
        <v>44852</v>
      </c>
      <c r="C173" s="1" t="n">
        <v>46052</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45021-2023</t>
        </is>
      </c>
      <c r="B174" s="1" t="n">
        <v>45190</v>
      </c>
      <c r="C174" s="1" t="n">
        <v>46052</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45035-2023</t>
        </is>
      </c>
      <c r="B175" s="1" t="n">
        <v>45191</v>
      </c>
      <c r="C175" s="1" t="n">
        <v>46052</v>
      </c>
      <c r="D175" t="inlineStr">
        <is>
          <t>JÄMTLANDS LÄN</t>
        </is>
      </c>
      <c r="E175" t="inlineStr">
        <is>
          <t>RAGUNDA</t>
        </is>
      </c>
      <c r="G175" t="n">
        <v>2.9</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45035-2023 artfynd.xlsx", "A 45035-2023")</f>
        <v/>
      </c>
      <c r="T175">
        <f>HYPERLINK("https://klasma.github.io/Logging_2303/kartor/A 45035-2023 karta.png", "A 45035-2023")</f>
        <v/>
      </c>
      <c r="V175">
        <f>HYPERLINK("https://klasma.github.io/Logging_2303/klagomål/A 45035-2023 FSC-klagomål.docx", "A 45035-2023")</f>
        <v/>
      </c>
      <c r="W175">
        <f>HYPERLINK("https://klasma.github.io/Logging_2303/klagomålsmail/A 45035-2023 FSC-klagomål mail.docx", "A 45035-2023")</f>
        <v/>
      </c>
      <c r="X175">
        <f>HYPERLINK("https://klasma.github.io/Logging_2303/tillsyn/A 45035-2023 tillsynsbegäran.docx", "A 45035-2023")</f>
        <v/>
      </c>
      <c r="Y175">
        <f>HYPERLINK("https://klasma.github.io/Logging_2303/tillsynsmail/A 45035-2023 tillsynsbegäran mail.docx", "A 45035-2023")</f>
        <v/>
      </c>
    </row>
    <row r="176" ht="15" customHeight="1">
      <c r="A176" t="inlineStr">
        <is>
          <t>A 48427-2023</t>
        </is>
      </c>
      <c r="B176" s="1" t="n">
        <v>45205</v>
      </c>
      <c r="C176" s="1" t="n">
        <v>46052</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11544-2024</t>
        </is>
      </c>
      <c r="B177" s="1" t="n">
        <v>45372.95680555556</v>
      </c>
      <c r="C177" s="1" t="n">
        <v>46052</v>
      </c>
      <c r="D177" t="inlineStr">
        <is>
          <t>JÄMTLANDS LÄN</t>
        </is>
      </c>
      <c r="E177" t="inlineStr">
        <is>
          <t>RAGUNDA</t>
        </is>
      </c>
      <c r="F177" t="inlineStr">
        <is>
          <t>SCA</t>
        </is>
      </c>
      <c r="G177" t="n">
        <v>15.5</v>
      </c>
      <c r="H177" t="n">
        <v>0</v>
      </c>
      <c r="I177" t="n">
        <v>0</v>
      </c>
      <c r="J177" t="n">
        <v>2</v>
      </c>
      <c r="K177" t="n">
        <v>0</v>
      </c>
      <c r="L177" t="n">
        <v>0</v>
      </c>
      <c r="M177" t="n">
        <v>0</v>
      </c>
      <c r="N177" t="n">
        <v>0</v>
      </c>
      <c r="O177" t="n">
        <v>2</v>
      </c>
      <c r="P177" t="n">
        <v>0</v>
      </c>
      <c r="Q177" t="n">
        <v>2</v>
      </c>
      <c r="R177" s="2" t="inlineStr">
        <is>
          <t>Granticka
Mörk kolflarnlav</t>
        </is>
      </c>
      <c r="S177">
        <f>HYPERLINK("https://klasma.github.io/Logging_2303/artfynd/A 11544-2024 artfynd.xlsx", "A 11544-2024")</f>
        <v/>
      </c>
      <c r="T177">
        <f>HYPERLINK("https://klasma.github.io/Logging_2303/kartor/A 11544-2024 karta.png", "A 11544-2024")</f>
        <v/>
      </c>
      <c r="V177">
        <f>HYPERLINK("https://klasma.github.io/Logging_2303/klagomål/A 11544-2024 FSC-klagomål.docx", "A 11544-2024")</f>
        <v/>
      </c>
      <c r="W177">
        <f>HYPERLINK("https://klasma.github.io/Logging_2303/klagomålsmail/A 11544-2024 FSC-klagomål mail.docx", "A 11544-2024")</f>
        <v/>
      </c>
      <c r="X177">
        <f>HYPERLINK("https://klasma.github.io/Logging_2303/tillsyn/A 11544-2024 tillsynsbegäran.docx", "A 11544-2024")</f>
        <v/>
      </c>
      <c r="Y177">
        <f>HYPERLINK("https://klasma.github.io/Logging_2303/tillsynsmail/A 11544-2024 tillsynsbegäran mail.docx", "A 11544-2024")</f>
        <v/>
      </c>
    </row>
    <row r="178" ht="15" customHeight="1">
      <c r="A178" t="inlineStr">
        <is>
          <t>A 31960-2025</t>
        </is>
      </c>
      <c r="B178" s="1" t="n">
        <v>45835.344375</v>
      </c>
      <c r="C178" s="1" t="n">
        <v>46052</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35131-2025</t>
        </is>
      </c>
      <c r="B179" s="1" t="n">
        <v>45852.63597222222</v>
      </c>
      <c r="C179" s="1" t="n">
        <v>46052</v>
      </c>
      <c r="D179" t="inlineStr">
        <is>
          <t>JÄMTLANDS LÄN</t>
        </is>
      </c>
      <c r="E179" t="inlineStr">
        <is>
          <t>RAGUNDA</t>
        </is>
      </c>
      <c r="F179" t="inlineStr">
        <is>
          <t>SCA</t>
        </is>
      </c>
      <c r="G179" t="n">
        <v>6.9</v>
      </c>
      <c r="H179" t="n">
        <v>1</v>
      </c>
      <c r="I179" t="n">
        <v>1</v>
      </c>
      <c r="J179" t="n">
        <v>0</v>
      </c>
      <c r="K179" t="n">
        <v>0</v>
      </c>
      <c r="L179" t="n">
        <v>0</v>
      </c>
      <c r="M179" t="n">
        <v>0</v>
      </c>
      <c r="N179" t="n">
        <v>0</v>
      </c>
      <c r="O179" t="n">
        <v>0</v>
      </c>
      <c r="P179" t="n">
        <v>0</v>
      </c>
      <c r="Q179" t="n">
        <v>2</v>
      </c>
      <c r="R179" s="2" t="inlineStr">
        <is>
          <t>Ögonpyrola
Nattviol</t>
        </is>
      </c>
      <c r="S179">
        <f>HYPERLINK("https://klasma.github.io/Logging_2303/artfynd/A 35131-2025 artfynd.xlsx", "A 35131-2025")</f>
        <v/>
      </c>
      <c r="T179">
        <f>HYPERLINK("https://klasma.github.io/Logging_2303/kartor/A 35131-2025 karta.png", "A 35131-2025")</f>
        <v/>
      </c>
      <c r="V179">
        <f>HYPERLINK("https://klasma.github.io/Logging_2303/klagomål/A 35131-2025 FSC-klagomål.docx", "A 35131-2025")</f>
        <v/>
      </c>
      <c r="W179">
        <f>HYPERLINK("https://klasma.github.io/Logging_2303/klagomålsmail/A 35131-2025 FSC-klagomål mail.docx", "A 35131-2025")</f>
        <v/>
      </c>
      <c r="X179">
        <f>HYPERLINK("https://klasma.github.io/Logging_2303/tillsyn/A 35131-2025 tillsynsbegäran.docx", "A 35131-2025")</f>
        <v/>
      </c>
      <c r="Y179">
        <f>HYPERLINK("https://klasma.github.io/Logging_2303/tillsynsmail/A 35131-2025 tillsynsbegäran mail.docx", "A 35131-2025")</f>
        <v/>
      </c>
    </row>
    <row r="180" ht="15" customHeight="1">
      <c r="A180" t="inlineStr">
        <is>
          <t>A 30053-2024</t>
        </is>
      </c>
      <c r="B180" s="1" t="n">
        <v>45488.94747685185</v>
      </c>
      <c r="C180" s="1" t="n">
        <v>46052</v>
      </c>
      <c r="D180" t="inlineStr">
        <is>
          <t>JÄMTLANDS LÄN</t>
        </is>
      </c>
      <c r="E180" t="inlineStr">
        <is>
          <t>RAGUNDA</t>
        </is>
      </c>
      <c r="F180" t="inlineStr">
        <is>
          <t>SCA</t>
        </is>
      </c>
      <c r="G180" t="n">
        <v>9.6</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30053-2024 artfynd.xlsx", "A 30053-2024")</f>
        <v/>
      </c>
      <c r="T180">
        <f>HYPERLINK("https://klasma.github.io/Logging_2303/kartor/A 30053-2024 karta.png", "A 30053-2024")</f>
        <v/>
      </c>
      <c r="V180">
        <f>HYPERLINK("https://klasma.github.io/Logging_2303/klagomål/A 30053-2024 FSC-klagomål.docx", "A 30053-2024")</f>
        <v/>
      </c>
      <c r="W180">
        <f>HYPERLINK("https://klasma.github.io/Logging_2303/klagomålsmail/A 30053-2024 FSC-klagomål mail.docx", "A 30053-2024")</f>
        <v/>
      </c>
      <c r="X180">
        <f>HYPERLINK("https://klasma.github.io/Logging_2303/tillsyn/A 30053-2024 tillsynsbegäran.docx", "A 30053-2024")</f>
        <v/>
      </c>
      <c r="Y180">
        <f>HYPERLINK("https://klasma.github.io/Logging_2303/tillsynsmail/A 30053-2024 tillsynsbegäran mail.docx", "A 30053-2024")</f>
        <v/>
      </c>
    </row>
    <row r="181" ht="15" customHeight="1">
      <c r="A181" t="inlineStr">
        <is>
          <t>A 50089-2022</t>
        </is>
      </c>
      <c r="B181" s="1" t="n">
        <v>44865</v>
      </c>
      <c r="C181" s="1" t="n">
        <v>46052</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11843-2023</t>
        </is>
      </c>
      <c r="B182" s="1" t="n">
        <v>44993</v>
      </c>
      <c r="C182" s="1" t="n">
        <v>46052</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17733-2022</t>
        </is>
      </c>
      <c r="B183" s="1" t="n">
        <v>44680</v>
      </c>
      <c r="C183" s="1" t="n">
        <v>46052</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11086-2025</t>
        </is>
      </c>
      <c r="B184" s="1" t="n">
        <v>45723.57329861111</v>
      </c>
      <c r="C184" s="1" t="n">
        <v>46052</v>
      </c>
      <c r="D184" t="inlineStr">
        <is>
          <t>JÄMTLANDS LÄN</t>
        </is>
      </c>
      <c r="E184" t="inlineStr">
        <is>
          <t>RAGUNDA</t>
        </is>
      </c>
      <c r="F184" t="inlineStr">
        <is>
          <t>SCA</t>
        </is>
      </c>
      <c r="G184" t="n">
        <v>10.8</v>
      </c>
      <c r="H184" t="n">
        <v>0</v>
      </c>
      <c r="I184" t="n">
        <v>0</v>
      </c>
      <c r="J184" t="n">
        <v>1</v>
      </c>
      <c r="K184" t="n">
        <v>1</v>
      </c>
      <c r="L184" t="n">
        <v>0</v>
      </c>
      <c r="M184" t="n">
        <v>0</v>
      </c>
      <c r="N184" t="n">
        <v>0</v>
      </c>
      <c r="O184" t="n">
        <v>2</v>
      </c>
      <c r="P184" t="n">
        <v>1</v>
      </c>
      <c r="Q184" t="n">
        <v>2</v>
      </c>
      <c r="R184" s="2" t="inlineStr">
        <is>
          <t>Gräddporing
Dvärgbägarlav</t>
        </is>
      </c>
      <c r="S184">
        <f>HYPERLINK("https://klasma.github.io/Logging_2303/artfynd/A 11086-2025 artfynd.xlsx", "A 11086-2025")</f>
        <v/>
      </c>
      <c r="T184">
        <f>HYPERLINK("https://klasma.github.io/Logging_2303/kartor/A 11086-2025 karta.png", "A 11086-2025")</f>
        <v/>
      </c>
      <c r="V184">
        <f>HYPERLINK("https://klasma.github.io/Logging_2303/klagomål/A 11086-2025 FSC-klagomål.docx", "A 11086-2025")</f>
        <v/>
      </c>
      <c r="W184">
        <f>HYPERLINK("https://klasma.github.io/Logging_2303/klagomålsmail/A 11086-2025 FSC-klagomål mail.docx", "A 11086-2025")</f>
        <v/>
      </c>
      <c r="X184">
        <f>HYPERLINK("https://klasma.github.io/Logging_2303/tillsyn/A 11086-2025 tillsynsbegäran.docx", "A 11086-2025")</f>
        <v/>
      </c>
      <c r="Y184">
        <f>HYPERLINK("https://klasma.github.io/Logging_2303/tillsynsmail/A 11086-2025 tillsynsbegäran mail.docx", "A 11086-2025")</f>
        <v/>
      </c>
    </row>
    <row r="185" ht="15" customHeight="1">
      <c r="A185" t="inlineStr">
        <is>
          <t>A 40826-2023</t>
        </is>
      </c>
      <c r="B185" s="1" t="n">
        <v>45171</v>
      </c>
      <c r="C185" s="1" t="n">
        <v>46052</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26482-2023</t>
        </is>
      </c>
      <c r="B186" s="1" t="n">
        <v>45089</v>
      </c>
      <c r="C186" s="1" t="n">
        <v>46052</v>
      </c>
      <c r="D186" t="inlineStr">
        <is>
          <t>JÄMTLANDS LÄN</t>
        </is>
      </c>
      <c r="E186" t="inlineStr">
        <is>
          <t>RAGUNDA</t>
        </is>
      </c>
      <c r="G186" t="n">
        <v>2</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26482-2023 artfynd.xlsx", "A 26482-2023")</f>
        <v/>
      </c>
      <c r="T186">
        <f>HYPERLINK("https://klasma.github.io/Logging_2303/kartor/A 26482-2023 karta.png", "A 26482-2023")</f>
        <v/>
      </c>
      <c r="V186">
        <f>HYPERLINK("https://klasma.github.io/Logging_2303/klagomål/A 26482-2023 FSC-klagomål.docx", "A 26482-2023")</f>
        <v/>
      </c>
      <c r="W186">
        <f>HYPERLINK("https://klasma.github.io/Logging_2303/klagomålsmail/A 26482-2023 FSC-klagomål mail.docx", "A 26482-2023")</f>
        <v/>
      </c>
      <c r="X186">
        <f>HYPERLINK("https://klasma.github.io/Logging_2303/tillsyn/A 26482-2023 tillsynsbegäran.docx", "A 26482-2023")</f>
        <v/>
      </c>
      <c r="Y186">
        <f>HYPERLINK("https://klasma.github.io/Logging_2303/tillsynsmail/A 26482-2023 tillsynsbegäran mail.docx", "A 26482-2023")</f>
        <v/>
      </c>
      <c r="Z186">
        <f>HYPERLINK("https://klasma.github.io/Logging_2303/fåglar/A 26482-2023 prioriterade fågelarter.docx", "A 26482-2023")</f>
        <v/>
      </c>
    </row>
    <row r="187" ht="15" customHeight="1">
      <c r="A187" t="inlineStr">
        <is>
          <t>A 41490-2022</t>
        </is>
      </c>
      <c r="B187" s="1" t="n">
        <v>44826.94976851852</v>
      </c>
      <c r="C187" s="1" t="n">
        <v>46052</v>
      </c>
      <c r="D187" t="inlineStr">
        <is>
          <t>JÄMTLANDS LÄN</t>
        </is>
      </c>
      <c r="E187" t="inlineStr">
        <is>
          <t>RAGUNDA</t>
        </is>
      </c>
      <c r="F187" t="inlineStr">
        <is>
          <t>SCA</t>
        </is>
      </c>
      <c r="G187" t="n">
        <v>2.7</v>
      </c>
      <c r="H187" t="n">
        <v>0</v>
      </c>
      <c r="I187" t="n">
        <v>1</v>
      </c>
      <c r="J187" t="n">
        <v>1</v>
      </c>
      <c r="K187" t="n">
        <v>0</v>
      </c>
      <c r="L187" t="n">
        <v>0</v>
      </c>
      <c r="M187" t="n">
        <v>0</v>
      </c>
      <c r="N187" t="n">
        <v>0</v>
      </c>
      <c r="O187" t="n">
        <v>1</v>
      </c>
      <c r="P187" t="n">
        <v>0</v>
      </c>
      <c r="Q187" t="n">
        <v>2</v>
      </c>
      <c r="R187" s="2" t="inlineStr">
        <is>
          <t>Lunglav
Skinnlav</t>
        </is>
      </c>
      <c r="S187">
        <f>HYPERLINK("https://klasma.github.io/Logging_2303/artfynd/A 41490-2022 artfynd.xlsx", "A 41490-2022")</f>
        <v/>
      </c>
      <c r="T187">
        <f>HYPERLINK("https://klasma.github.io/Logging_2303/kartor/A 41490-2022 karta.png", "A 41490-2022")</f>
        <v/>
      </c>
      <c r="V187">
        <f>HYPERLINK("https://klasma.github.io/Logging_2303/klagomål/A 41490-2022 FSC-klagomål.docx", "A 41490-2022")</f>
        <v/>
      </c>
      <c r="W187">
        <f>HYPERLINK("https://klasma.github.io/Logging_2303/klagomålsmail/A 41490-2022 FSC-klagomål mail.docx", "A 41490-2022")</f>
        <v/>
      </c>
      <c r="X187">
        <f>HYPERLINK("https://klasma.github.io/Logging_2303/tillsyn/A 41490-2022 tillsynsbegäran.docx", "A 41490-2022")</f>
        <v/>
      </c>
      <c r="Y187">
        <f>HYPERLINK("https://klasma.github.io/Logging_2303/tillsynsmail/A 41490-2022 tillsynsbegäran mail.docx", "A 41490-2022")</f>
        <v/>
      </c>
    </row>
    <row r="188" ht="15" customHeight="1">
      <c r="A188" t="inlineStr">
        <is>
          <t>A 14502-2024</t>
        </is>
      </c>
      <c r="B188" s="1" t="n">
        <v>45394</v>
      </c>
      <c r="C188" s="1" t="n">
        <v>46052</v>
      </c>
      <c r="D188" t="inlineStr">
        <is>
          <t>JÄMTLANDS LÄN</t>
        </is>
      </c>
      <c r="E188" t="inlineStr">
        <is>
          <t>RAGUNDA</t>
        </is>
      </c>
      <c r="G188" t="n">
        <v>11.6</v>
      </c>
      <c r="H188" t="n">
        <v>0</v>
      </c>
      <c r="I188" t="n">
        <v>0</v>
      </c>
      <c r="J188" t="n">
        <v>2</v>
      </c>
      <c r="K188" t="n">
        <v>0</v>
      </c>
      <c r="L188" t="n">
        <v>0</v>
      </c>
      <c r="M188" t="n">
        <v>0</v>
      </c>
      <c r="N188" t="n">
        <v>0</v>
      </c>
      <c r="O188" t="n">
        <v>2</v>
      </c>
      <c r="P188" t="n">
        <v>0</v>
      </c>
      <c r="Q188" t="n">
        <v>2</v>
      </c>
      <c r="R188" s="2" t="inlineStr">
        <is>
          <t>Garnlav
Stjärntagging</t>
        </is>
      </c>
      <c r="S188">
        <f>HYPERLINK("https://klasma.github.io/Logging_2303/artfynd/A 14502-2024 artfynd.xlsx", "A 14502-2024")</f>
        <v/>
      </c>
      <c r="T188">
        <f>HYPERLINK("https://klasma.github.io/Logging_2303/kartor/A 14502-2024 karta.png", "A 14502-2024")</f>
        <v/>
      </c>
      <c r="V188">
        <f>HYPERLINK("https://klasma.github.io/Logging_2303/klagomål/A 14502-2024 FSC-klagomål.docx", "A 14502-2024")</f>
        <v/>
      </c>
      <c r="W188">
        <f>HYPERLINK("https://klasma.github.io/Logging_2303/klagomålsmail/A 14502-2024 FSC-klagomål mail.docx", "A 14502-2024")</f>
        <v/>
      </c>
      <c r="X188">
        <f>HYPERLINK("https://klasma.github.io/Logging_2303/tillsyn/A 14502-2024 tillsynsbegäran.docx", "A 14502-2024")</f>
        <v/>
      </c>
      <c r="Y188">
        <f>HYPERLINK("https://klasma.github.io/Logging_2303/tillsynsmail/A 14502-2024 tillsynsbegäran mail.docx", "A 14502-2024")</f>
        <v/>
      </c>
    </row>
    <row r="189" ht="15" customHeight="1">
      <c r="A189" t="inlineStr">
        <is>
          <t>A 46771-2024</t>
        </is>
      </c>
      <c r="B189" s="1" t="n">
        <v>45583.49642361111</v>
      </c>
      <c r="C189" s="1" t="n">
        <v>46052</v>
      </c>
      <c r="D189" t="inlineStr">
        <is>
          <t>JÄMTLANDS LÄN</t>
        </is>
      </c>
      <c r="E189" t="inlineStr">
        <is>
          <t>RAGUNDA</t>
        </is>
      </c>
      <c r="F189" t="inlineStr">
        <is>
          <t>SCA</t>
        </is>
      </c>
      <c r="G189" t="n">
        <v>3.1</v>
      </c>
      <c r="H189" t="n">
        <v>0</v>
      </c>
      <c r="I189" t="n">
        <v>0</v>
      </c>
      <c r="J189" t="n">
        <v>2</v>
      </c>
      <c r="K189" t="n">
        <v>0</v>
      </c>
      <c r="L189" t="n">
        <v>0</v>
      </c>
      <c r="M189" t="n">
        <v>0</v>
      </c>
      <c r="N189" t="n">
        <v>0</v>
      </c>
      <c r="O189" t="n">
        <v>2</v>
      </c>
      <c r="P189" t="n">
        <v>0</v>
      </c>
      <c r="Q189" t="n">
        <v>2</v>
      </c>
      <c r="R189" s="2" t="inlineStr">
        <is>
          <t>Doftskinn
Gammelgransskål</t>
        </is>
      </c>
      <c r="S189">
        <f>HYPERLINK("https://klasma.github.io/Logging_2303/artfynd/A 46771-2024 artfynd.xlsx", "A 46771-2024")</f>
        <v/>
      </c>
      <c r="T189">
        <f>HYPERLINK("https://klasma.github.io/Logging_2303/kartor/A 46771-2024 karta.png", "A 46771-2024")</f>
        <v/>
      </c>
      <c r="V189">
        <f>HYPERLINK("https://klasma.github.io/Logging_2303/klagomål/A 46771-2024 FSC-klagomål.docx", "A 46771-2024")</f>
        <v/>
      </c>
      <c r="W189">
        <f>HYPERLINK("https://klasma.github.io/Logging_2303/klagomålsmail/A 46771-2024 FSC-klagomål mail.docx", "A 46771-2024")</f>
        <v/>
      </c>
      <c r="X189">
        <f>HYPERLINK("https://klasma.github.io/Logging_2303/tillsyn/A 46771-2024 tillsynsbegäran.docx", "A 46771-2024")</f>
        <v/>
      </c>
      <c r="Y189">
        <f>HYPERLINK("https://klasma.github.io/Logging_2303/tillsynsmail/A 46771-2024 tillsynsbegäran mail.docx", "A 46771-2024")</f>
        <v/>
      </c>
    </row>
    <row r="190" ht="15" customHeight="1">
      <c r="A190" t="inlineStr">
        <is>
          <t>A 44409-2023</t>
        </is>
      </c>
      <c r="B190" s="1" t="n">
        <v>45188</v>
      </c>
      <c r="C190" s="1" t="n">
        <v>46052</v>
      </c>
      <c r="D190" t="inlineStr">
        <is>
          <t>JÄMTLANDS LÄN</t>
        </is>
      </c>
      <c r="E190" t="inlineStr">
        <is>
          <t>RAGUNDA</t>
        </is>
      </c>
      <c r="F190" t="inlineStr">
        <is>
          <t>SCA</t>
        </is>
      </c>
      <c r="G190" t="n">
        <v>2.5</v>
      </c>
      <c r="H190" t="n">
        <v>0</v>
      </c>
      <c r="I190" t="n">
        <v>1</v>
      </c>
      <c r="J190" t="n">
        <v>1</v>
      </c>
      <c r="K190" t="n">
        <v>0</v>
      </c>
      <c r="L190" t="n">
        <v>0</v>
      </c>
      <c r="M190" t="n">
        <v>0</v>
      </c>
      <c r="N190" t="n">
        <v>0</v>
      </c>
      <c r="O190" t="n">
        <v>1</v>
      </c>
      <c r="P190" t="n">
        <v>0</v>
      </c>
      <c r="Q190" t="n">
        <v>2</v>
      </c>
      <c r="R190" s="2" t="inlineStr">
        <is>
          <t>Garnlav
Norrlandslav</t>
        </is>
      </c>
      <c r="S190">
        <f>HYPERLINK("https://klasma.github.io/Logging_2303/artfynd/A 44409-2023 artfynd.xlsx", "A 44409-2023")</f>
        <v/>
      </c>
      <c r="T190">
        <f>HYPERLINK("https://klasma.github.io/Logging_2303/kartor/A 44409-2023 karta.png", "A 44409-2023")</f>
        <v/>
      </c>
      <c r="V190">
        <f>HYPERLINK("https://klasma.github.io/Logging_2303/klagomål/A 44409-2023 FSC-klagomål.docx", "A 44409-2023")</f>
        <v/>
      </c>
      <c r="W190">
        <f>HYPERLINK("https://klasma.github.io/Logging_2303/klagomålsmail/A 44409-2023 FSC-klagomål mail.docx", "A 44409-2023")</f>
        <v/>
      </c>
      <c r="X190">
        <f>HYPERLINK("https://klasma.github.io/Logging_2303/tillsyn/A 44409-2023 tillsynsbegäran.docx", "A 44409-2023")</f>
        <v/>
      </c>
      <c r="Y190">
        <f>HYPERLINK("https://klasma.github.io/Logging_2303/tillsynsmail/A 44409-2023 tillsynsbegäran mail.docx", "A 44409-2023")</f>
        <v/>
      </c>
    </row>
    <row r="191" ht="15" customHeight="1">
      <c r="A191" t="inlineStr">
        <is>
          <t>A 48084-2022</t>
        </is>
      </c>
      <c r="B191" s="1" t="n">
        <v>44855</v>
      </c>
      <c r="C191" s="1" t="n">
        <v>46052</v>
      </c>
      <c r="D191" t="inlineStr">
        <is>
          <t>JÄMTLANDS LÄN</t>
        </is>
      </c>
      <c r="E191" t="inlineStr">
        <is>
          <t>RAGUNDA</t>
        </is>
      </c>
      <c r="F191" t="inlineStr">
        <is>
          <t>SCA</t>
        </is>
      </c>
      <c r="G191" t="n">
        <v>4.7</v>
      </c>
      <c r="H191" t="n">
        <v>1</v>
      </c>
      <c r="I191" t="n">
        <v>0</v>
      </c>
      <c r="J191" t="n">
        <v>2</v>
      </c>
      <c r="K191" t="n">
        <v>0</v>
      </c>
      <c r="L191" t="n">
        <v>0</v>
      </c>
      <c r="M191" t="n">
        <v>0</v>
      </c>
      <c r="N191" t="n">
        <v>0</v>
      </c>
      <c r="O191" t="n">
        <v>2</v>
      </c>
      <c r="P191" t="n">
        <v>0</v>
      </c>
      <c r="Q191" t="n">
        <v>2</v>
      </c>
      <c r="R191" s="2" t="inlineStr">
        <is>
          <t>Rosenticka
Tretåig hackspett</t>
        </is>
      </c>
      <c r="S191">
        <f>HYPERLINK("https://klasma.github.io/Logging_2303/artfynd/A 48084-2022 artfynd.xlsx", "A 48084-2022")</f>
        <v/>
      </c>
      <c r="T191">
        <f>HYPERLINK("https://klasma.github.io/Logging_2303/kartor/A 48084-2022 karta.png", "A 48084-2022")</f>
        <v/>
      </c>
      <c r="V191">
        <f>HYPERLINK("https://klasma.github.io/Logging_2303/klagomål/A 48084-2022 FSC-klagomål.docx", "A 48084-2022")</f>
        <v/>
      </c>
      <c r="W191">
        <f>HYPERLINK("https://klasma.github.io/Logging_2303/klagomålsmail/A 48084-2022 FSC-klagomål mail.docx", "A 48084-2022")</f>
        <v/>
      </c>
      <c r="X191">
        <f>HYPERLINK("https://klasma.github.io/Logging_2303/tillsyn/A 48084-2022 tillsynsbegäran.docx", "A 48084-2022")</f>
        <v/>
      </c>
      <c r="Y191">
        <f>HYPERLINK("https://klasma.github.io/Logging_2303/tillsynsmail/A 48084-2022 tillsynsbegäran mail.docx", "A 48084-2022")</f>
        <v/>
      </c>
      <c r="Z191">
        <f>HYPERLINK("https://klasma.github.io/Logging_2303/fåglar/A 48084-2022 prioriterade fågelarter.docx", "A 48084-2022")</f>
        <v/>
      </c>
    </row>
    <row r="192" ht="15" customHeight="1">
      <c r="A192" t="inlineStr">
        <is>
          <t>A 12271-2024</t>
        </is>
      </c>
      <c r="B192" s="1" t="n">
        <v>45378</v>
      </c>
      <c r="C192" s="1" t="n">
        <v>46052</v>
      </c>
      <c r="D192" t="inlineStr">
        <is>
          <t>JÄMTLANDS LÄN</t>
        </is>
      </c>
      <c r="E192" t="inlineStr">
        <is>
          <t>RAGUNDA</t>
        </is>
      </c>
      <c r="F192" t="inlineStr">
        <is>
          <t>Kommuner</t>
        </is>
      </c>
      <c r="G192" t="n">
        <v>6.1</v>
      </c>
      <c r="H192" t="n">
        <v>0</v>
      </c>
      <c r="I192" t="n">
        <v>0</v>
      </c>
      <c r="J192" t="n">
        <v>2</v>
      </c>
      <c r="K192" t="n">
        <v>0</v>
      </c>
      <c r="L192" t="n">
        <v>0</v>
      </c>
      <c r="M192" t="n">
        <v>0</v>
      </c>
      <c r="N192" t="n">
        <v>0</v>
      </c>
      <c r="O192" t="n">
        <v>2</v>
      </c>
      <c r="P192" t="n">
        <v>0</v>
      </c>
      <c r="Q192" t="n">
        <v>2</v>
      </c>
      <c r="R192" s="2" t="inlineStr">
        <is>
          <t>Garnlav
Lunglav</t>
        </is>
      </c>
      <c r="S192">
        <f>HYPERLINK("https://klasma.github.io/Logging_2303/artfynd/A 12271-2024 artfynd.xlsx", "A 12271-2024")</f>
        <v/>
      </c>
      <c r="T192">
        <f>HYPERLINK("https://klasma.github.io/Logging_2303/kartor/A 12271-2024 karta.png", "A 12271-2024")</f>
        <v/>
      </c>
      <c r="V192">
        <f>HYPERLINK("https://klasma.github.io/Logging_2303/klagomål/A 12271-2024 FSC-klagomål.docx", "A 12271-2024")</f>
        <v/>
      </c>
      <c r="W192">
        <f>HYPERLINK("https://klasma.github.io/Logging_2303/klagomålsmail/A 12271-2024 FSC-klagomål mail.docx", "A 12271-2024")</f>
        <v/>
      </c>
      <c r="X192">
        <f>HYPERLINK("https://klasma.github.io/Logging_2303/tillsyn/A 12271-2024 tillsynsbegäran.docx", "A 12271-2024")</f>
        <v/>
      </c>
      <c r="Y192">
        <f>HYPERLINK("https://klasma.github.io/Logging_2303/tillsynsmail/A 12271-2024 tillsynsbegäran mail.docx", "A 12271-2024")</f>
        <v/>
      </c>
    </row>
    <row r="193" ht="15" customHeight="1">
      <c r="A193" t="inlineStr">
        <is>
          <t>A 34715-2024</t>
        </is>
      </c>
      <c r="B193" s="1" t="n">
        <v>45526.56393518519</v>
      </c>
      <c r="C193" s="1" t="n">
        <v>46052</v>
      </c>
      <c r="D193" t="inlineStr">
        <is>
          <t>JÄMTLANDS LÄN</t>
        </is>
      </c>
      <c r="E193" t="inlineStr">
        <is>
          <t>RAGUNDA</t>
        </is>
      </c>
      <c r="F193" t="inlineStr">
        <is>
          <t>SCA</t>
        </is>
      </c>
      <c r="G193" t="n">
        <v>3</v>
      </c>
      <c r="H193" t="n">
        <v>0</v>
      </c>
      <c r="I193" t="n">
        <v>1</v>
      </c>
      <c r="J193" t="n">
        <v>1</v>
      </c>
      <c r="K193" t="n">
        <v>0</v>
      </c>
      <c r="L193" t="n">
        <v>0</v>
      </c>
      <c r="M193" t="n">
        <v>0</v>
      </c>
      <c r="N193" t="n">
        <v>0</v>
      </c>
      <c r="O193" t="n">
        <v>1</v>
      </c>
      <c r="P193" t="n">
        <v>0</v>
      </c>
      <c r="Q193" t="n">
        <v>2</v>
      </c>
      <c r="R193" s="2" t="inlineStr">
        <is>
          <t>Garnlav
Vedticka</t>
        </is>
      </c>
      <c r="S193">
        <f>HYPERLINK("https://klasma.github.io/Logging_2303/artfynd/A 34715-2024 artfynd.xlsx", "A 34715-2024")</f>
        <v/>
      </c>
      <c r="T193">
        <f>HYPERLINK("https://klasma.github.io/Logging_2303/kartor/A 34715-2024 karta.png", "A 34715-2024")</f>
        <v/>
      </c>
      <c r="V193">
        <f>HYPERLINK("https://klasma.github.io/Logging_2303/klagomål/A 34715-2024 FSC-klagomål.docx", "A 34715-2024")</f>
        <v/>
      </c>
      <c r="W193">
        <f>HYPERLINK("https://klasma.github.io/Logging_2303/klagomålsmail/A 34715-2024 FSC-klagomål mail.docx", "A 34715-2024")</f>
        <v/>
      </c>
      <c r="X193">
        <f>HYPERLINK("https://klasma.github.io/Logging_2303/tillsyn/A 34715-2024 tillsynsbegäran.docx", "A 34715-2024")</f>
        <v/>
      </c>
      <c r="Y193">
        <f>HYPERLINK("https://klasma.github.io/Logging_2303/tillsynsmail/A 34715-2024 tillsynsbegäran mail.docx", "A 34715-2024")</f>
        <v/>
      </c>
    </row>
    <row r="194" ht="15" customHeight="1">
      <c r="A194" t="inlineStr">
        <is>
          <t>A 47850-2025</t>
        </is>
      </c>
      <c r="B194" s="1" t="n">
        <v>45932.38626157407</v>
      </c>
      <c r="C194" s="1" t="n">
        <v>46052</v>
      </c>
      <c r="D194" t="inlineStr">
        <is>
          <t>JÄMTLANDS LÄN</t>
        </is>
      </c>
      <c r="E194" t="inlineStr">
        <is>
          <t>RAGUNDA</t>
        </is>
      </c>
      <c r="F194" t="inlineStr">
        <is>
          <t>SCA</t>
        </is>
      </c>
      <c r="G194" t="n">
        <v>2.4</v>
      </c>
      <c r="H194" t="n">
        <v>1</v>
      </c>
      <c r="I194" t="n">
        <v>0</v>
      </c>
      <c r="J194" t="n">
        <v>1</v>
      </c>
      <c r="K194" t="n">
        <v>0</v>
      </c>
      <c r="L194" t="n">
        <v>0</v>
      </c>
      <c r="M194" t="n">
        <v>0</v>
      </c>
      <c r="N194" t="n">
        <v>0</v>
      </c>
      <c r="O194" t="n">
        <v>1</v>
      </c>
      <c r="P194" t="n">
        <v>0</v>
      </c>
      <c r="Q194" t="n">
        <v>2</v>
      </c>
      <c r="R194" s="2" t="inlineStr">
        <is>
          <t>Kolflarnlav
Blåsippa</t>
        </is>
      </c>
      <c r="S194">
        <f>HYPERLINK("https://klasma.github.io/Logging_2303/artfynd/A 47850-2025 artfynd.xlsx", "A 47850-2025")</f>
        <v/>
      </c>
      <c r="T194">
        <f>HYPERLINK("https://klasma.github.io/Logging_2303/kartor/A 47850-2025 karta.png", "A 47850-2025")</f>
        <v/>
      </c>
      <c r="V194">
        <f>HYPERLINK("https://klasma.github.io/Logging_2303/klagomål/A 47850-2025 FSC-klagomål.docx", "A 47850-2025")</f>
        <v/>
      </c>
      <c r="W194">
        <f>HYPERLINK("https://klasma.github.io/Logging_2303/klagomålsmail/A 47850-2025 FSC-klagomål mail.docx", "A 47850-2025")</f>
        <v/>
      </c>
      <c r="X194">
        <f>HYPERLINK("https://klasma.github.io/Logging_2303/tillsyn/A 47850-2025 tillsynsbegäran.docx", "A 47850-2025")</f>
        <v/>
      </c>
      <c r="Y194">
        <f>HYPERLINK("https://klasma.github.io/Logging_2303/tillsynsmail/A 47850-2025 tillsynsbegäran mail.docx", "A 47850-2025")</f>
        <v/>
      </c>
    </row>
    <row r="195" ht="15" customHeight="1">
      <c r="A195" t="inlineStr">
        <is>
          <t>A 26324-2024</t>
        </is>
      </c>
      <c r="B195" s="1" t="n">
        <v>45468.97495370371</v>
      </c>
      <c r="C195" s="1" t="n">
        <v>46052</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57940-2024</t>
        </is>
      </c>
      <c r="B196" s="1" t="n">
        <v>45631</v>
      </c>
      <c r="C196" s="1" t="n">
        <v>46052</v>
      </c>
      <c r="D196" t="inlineStr">
        <is>
          <t>JÄMTLANDS LÄN</t>
        </is>
      </c>
      <c r="E196" t="inlineStr">
        <is>
          <t>RAGUNDA</t>
        </is>
      </c>
      <c r="F196" t="inlineStr">
        <is>
          <t>SCA</t>
        </is>
      </c>
      <c r="G196" t="n">
        <v>1.9</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HYPERLINK("https://klasma.github.io/Logging_2303/artfynd/A 57940-2024 artfynd.xlsx", "A 57940-2024")</f>
        <v/>
      </c>
      <c r="T196">
        <f>HYPERLINK("https://klasma.github.io/Logging_2303/kartor/A 57940-2024 karta.png", "A 57940-2024")</f>
        <v/>
      </c>
      <c r="V196">
        <f>HYPERLINK("https://klasma.github.io/Logging_2303/klagomål/A 57940-2024 FSC-klagomål.docx", "A 57940-2024")</f>
        <v/>
      </c>
      <c r="W196">
        <f>HYPERLINK("https://klasma.github.io/Logging_2303/klagomålsmail/A 57940-2024 FSC-klagomål mail.docx", "A 57940-2024")</f>
        <v/>
      </c>
      <c r="X196">
        <f>HYPERLINK("https://klasma.github.io/Logging_2303/tillsyn/A 57940-2024 tillsynsbegäran.docx", "A 57940-2024")</f>
        <v/>
      </c>
      <c r="Y196">
        <f>HYPERLINK("https://klasma.github.io/Logging_2303/tillsynsmail/A 57940-2024 tillsynsbegäran mail.docx", "A 57940-2024")</f>
        <v/>
      </c>
      <c r="Z196">
        <f>HYPERLINK("https://klasma.github.io/Logging_2303/fåglar/A 57940-2024 prioriterade fågelarter.docx", "A 57940-2024")</f>
        <v/>
      </c>
    </row>
    <row r="197" ht="15" customHeight="1">
      <c r="A197" t="inlineStr">
        <is>
          <t>A 56634-2025</t>
        </is>
      </c>
      <c r="B197" s="1" t="n">
        <v>45975.61619212963</v>
      </c>
      <c r="C197" s="1" t="n">
        <v>46052</v>
      </c>
      <c r="D197" t="inlineStr">
        <is>
          <t>JÄMTLANDS LÄN</t>
        </is>
      </c>
      <c r="E197" t="inlineStr">
        <is>
          <t>RAGUNDA</t>
        </is>
      </c>
      <c r="F197" t="inlineStr">
        <is>
          <t>SCA</t>
        </is>
      </c>
      <c r="G197" t="n">
        <v>86.59999999999999</v>
      </c>
      <c r="H197" t="n">
        <v>0</v>
      </c>
      <c r="I197" t="n">
        <v>1</v>
      </c>
      <c r="J197" t="n">
        <v>1</v>
      </c>
      <c r="K197" t="n">
        <v>0</v>
      </c>
      <c r="L197" t="n">
        <v>0</v>
      </c>
      <c r="M197" t="n">
        <v>0</v>
      </c>
      <c r="N197" t="n">
        <v>0</v>
      </c>
      <c r="O197" t="n">
        <v>1</v>
      </c>
      <c r="P197" t="n">
        <v>0</v>
      </c>
      <c r="Q197" t="n">
        <v>2</v>
      </c>
      <c r="R197" s="2" t="inlineStr">
        <is>
          <t>Garnlav
Skuggblåslav</t>
        </is>
      </c>
      <c r="S197">
        <f>HYPERLINK("https://klasma.github.io/Logging_2303/artfynd/A 56634-2025 artfynd.xlsx", "A 56634-2025")</f>
        <v/>
      </c>
      <c r="T197">
        <f>HYPERLINK("https://klasma.github.io/Logging_2303/kartor/A 56634-2025 karta.png", "A 56634-2025")</f>
        <v/>
      </c>
      <c r="V197">
        <f>HYPERLINK("https://klasma.github.io/Logging_2303/klagomål/A 56634-2025 FSC-klagomål.docx", "A 56634-2025")</f>
        <v/>
      </c>
      <c r="W197">
        <f>HYPERLINK("https://klasma.github.io/Logging_2303/klagomålsmail/A 56634-2025 FSC-klagomål mail.docx", "A 56634-2025")</f>
        <v/>
      </c>
      <c r="X197">
        <f>HYPERLINK("https://klasma.github.io/Logging_2303/tillsyn/A 56634-2025 tillsynsbegäran.docx", "A 56634-2025")</f>
        <v/>
      </c>
      <c r="Y197">
        <f>HYPERLINK("https://klasma.github.io/Logging_2303/tillsynsmail/A 56634-2025 tillsynsbegäran mail.docx", "A 56634-2025")</f>
        <v/>
      </c>
    </row>
    <row r="198" ht="15" customHeight="1">
      <c r="A198" t="inlineStr">
        <is>
          <t>A 62636-2025</t>
        </is>
      </c>
      <c r="B198" s="1" t="n">
        <v>46008.3653587963</v>
      </c>
      <c r="C198" s="1" t="n">
        <v>46052</v>
      </c>
      <c r="D198" t="inlineStr">
        <is>
          <t>JÄMTLANDS LÄN</t>
        </is>
      </c>
      <c r="E198" t="inlineStr">
        <is>
          <t>RAGUNDA</t>
        </is>
      </c>
      <c r="G198" t="n">
        <v>3.1</v>
      </c>
      <c r="H198" t="n">
        <v>1</v>
      </c>
      <c r="I198" t="n">
        <v>0</v>
      </c>
      <c r="J198" t="n">
        <v>2</v>
      </c>
      <c r="K198" t="n">
        <v>0</v>
      </c>
      <c r="L198" t="n">
        <v>0</v>
      </c>
      <c r="M198" t="n">
        <v>0</v>
      </c>
      <c r="N198" t="n">
        <v>0</v>
      </c>
      <c r="O198" t="n">
        <v>2</v>
      </c>
      <c r="P198" t="n">
        <v>0</v>
      </c>
      <c r="Q198" t="n">
        <v>2</v>
      </c>
      <c r="R198" s="2" t="inlineStr">
        <is>
          <t>Garnlav
Talltita</t>
        </is>
      </c>
      <c r="S198">
        <f>HYPERLINK("https://klasma.github.io/Logging_2303/artfynd/A 62636-2025 artfynd.xlsx", "A 62636-2025")</f>
        <v/>
      </c>
      <c r="T198">
        <f>HYPERLINK("https://klasma.github.io/Logging_2303/kartor/A 62636-2025 karta.png", "A 62636-2025")</f>
        <v/>
      </c>
      <c r="V198">
        <f>HYPERLINK("https://klasma.github.io/Logging_2303/klagomål/A 62636-2025 FSC-klagomål.docx", "A 62636-2025")</f>
        <v/>
      </c>
      <c r="W198">
        <f>HYPERLINK("https://klasma.github.io/Logging_2303/klagomålsmail/A 62636-2025 FSC-klagomål mail.docx", "A 62636-2025")</f>
        <v/>
      </c>
      <c r="X198">
        <f>HYPERLINK("https://klasma.github.io/Logging_2303/tillsyn/A 62636-2025 tillsynsbegäran.docx", "A 62636-2025")</f>
        <v/>
      </c>
      <c r="Y198">
        <f>HYPERLINK("https://klasma.github.io/Logging_2303/tillsynsmail/A 62636-2025 tillsynsbegäran mail.docx", "A 62636-2025")</f>
        <v/>
      </c>
      <c r="Z198">
        <f>HYPERLINK("https://klasma.github.io/Logging_2303/fåglar/A 62636-2025 prioriterade fågelarter.docx", "A 62636-2025")</f>
        <v/>
      </c>
    </row>
    <row r="199" ht="15" customHeight="1">
      <c r="A199" t="inlineStr">
        <is>
          <t>A 51916-2021</t>
        </is>
      </c>
      <c r="B199" s="1" t="n">
        <v>44462</v>
      </c>
      <c r="C199" s="1" t="n">
        <v>46052</v>
      </c>
      <c r="D199" t="inlineStr">
        <is>
          <t>JÄMTLANDS LÄN</t>
        </is>
      </c>
      <c r="E199" t="inlineStr">
        <is>
          <t>RAGUNDA</t>
        </is>
      </c>
      <c r="F199" t="inlineStr">
        <is>
          <t>SCA</t>
        </is>
      </c>
      <c r="G199" t="n">
        <v>3</v>
      </c>
      <c r="H199" t="n">
        <v>1</v>
      </c>
      <c r="I199" t="n">
        <v>0</v>
      </c>
      <c r="J199" t="n">
        <v>1</v>
      </c>
      <c r="K199" t="n">
        <v>0</v>
      </c>
      <c r="L199" t="n">
        <v>0</v>
      </c>
      <c r="M199" t="n">
        <v>0</v>
      </c>
      <c r="N199" t="n">
        <v>0</v>
      </c>
      <c r="O199" t="n">
        <v>1</v>
      </c>
      <c r="P199" t="n">
        <v>0</v>
      </c>
      <c r="Q199" t="n">
        <v>1</v>
      </c>
      <c r="R199" s="2" t="inlineStr">
        <is>
          <t>Varglav</t>
        </is>
      </c>
      <c r="S199">
        <f>HYPERLINK("https://klasma.github.io/Logging_2303/artfynd/A 51916-2021 artfynd.xlsx", "A 51916-2021")</f>
        <v/>
      </c>
      <c r="T199">
        <f>HYPERLINK("https://klasma.github.io/Logging_2303/kartor/A 51916-2021 karta.png", "A 51916-2021")</f>
        <v/>
      </c>
      <c r="V199">
        <f>HYPERLINK("https://klasma.github.io/Logging_2303/klagomål/A 51916-2021 FSC-klagomål.docx", "A 51916-2021")</f>
        <v/>
      </c>
      <c r="W199">
        <f>HYPERLINK("https://klasma.github.io/Logging_2303/klagomålsmail/A 51916-2021 FSC-klagomål mail.docx", "A 51916-2021")</f>
        <v/>
      </c>
      <c r="X199">
        <f>HYPERLINK("https://klasma.github.io/Logging_2303/tillsyn/A 51916-2021 tillsynsbegäran.docx", "A 51916-2021")</f>
        <v/>
      </c>
      <c r="Y199">
        <f>HYPERLINK("https://klasma.github.io/Logging_2303/tillsynsmail/A 51916-2021 tillsynsbegäran mail.docx", "A 51916-2021")</f>
        <v/>
      </c>
    </row>
    <row r="200" ht="15" customHeight="1">
      <c r="A200" t="inlineStr">
        <is>
          <t>A 21275-2022</t>
        </is>
      </c>
      <c r="B200" s="1" t="n">
        <v>44705</v>
      </c>
      <c r="C200" s="1" t="n">
        <v>46052</v>
      </c>
      <c r="D200" t="inlineStr">
        <is>
          <t>JÄMTLANDS LÄN</t>
        </is>
      </c>
      <c r="E200" t="inlineStr">
        <is>
          <t>RAGUNDA</t>
        </is>
      </c>
      <c r="G200" t="n">
        <v>2.2</v>
      </c>
      <c r="H200" t="n">
        <v>0</v>
      </c>
      <c r="I200" t="n">
        <v>1</v>
      </c>
      <c r="J200" t="n">
        <v>0</v>
      </c>
      <c r="K200" t="n">
        <v>0</v>
      </c>
      <c r="L200" t="n">
        <v>0</v>
      </c>
      <c r="M200" t="n">
        <v>0</v>
      </c>
      <c r="N200" t="n">
        <v>0</v>
      </c>
      <c r="O200" t="n">
        <v>0</v>
      </c>
      <c r="P200" t="n">
        <v>0</v>
      </c>
      <c r="Q200" t="n">
        <v>1</v>
      </c>
      <c r="R200" s="2" t="inlineStr">
        <is>
          <t>Kransrams</t>
        </is>
      </c>
      <c r="S200">
        <f>HYPERLINK("https://klasma.github.io/Logging_2303/artfynd/A 21275-2022 artfynd.xlsx", "A 21275-2022")</f>
        <v/>
      </c>
      <c r="T200">
        <f>HYPERLINK("https://klasma.github.io/Logging_2303/kartor/A 21275-2022 karta.png", "A 21275-2022")</f>
        <v/>
      </c>
      <c r="V200">
        <f>HYPERLINK("https://klasma.github.io/Logging_2303/klagomål/A 21275-2022 FSC-klagomål.docx", "A 21275-2022")</f>
        <v/>
      </c>
      <c r="W200">
        <f>HYPERLINK("https://klasma.github.io/Logging_2303/klagomålsmail/A 21275-2022 FSC-klagomål mail.docx", "A 21275-2022")</f>
        <v/>
      </c>
      <c r="X200">
        <f>HYPERLINK("https://klasma.github.io/Logging_2303/tillsyn/A 21275-2022 tillsynsbegäran.docx", "A 21275-2022")</f>
        <v/>
      </c>
      <c r="Y200">
        <f>HYPERLINK("https://klasma.github.io/Logging_2303/tillsynsmail/A 21275-2022 tillsynsbegäran mail.docx", "A 21275-2022")</f>
        <v/>
      </c>
    </row>
    <row r="201" ht="15" customHeight="1">
      <c r="A201" t="inlineStr">
        <is>
          <t>A 27273-2022</t>
        </is>
      </c>
      <c r="B201" s="1" t="n">
        <v>44741</v>
      </c>
      <c r="C201" s="1" t="n">
        <v>46052</v>
      </c>
      <c r="D201" t="inlineStr">
        <is>
          <t>JÄMTLANDS LÄN</t>
        </is>
      </c>
      <c r="E201" t="inlineStr">
        <is>
          <t>RAGUNDA</t>
        </is>
      </c>
      <c r="G201" t="n">
        <v>1.2</v>
      </c>
      <c r="H201" t="n">
        <v>0</v>
      </c>
      <c r="I201" t="n">
        <v>1</v>
      </c>
      <c r="J201" t="n">
        <v>0</v>
      </c>
      <c r="K201" t="n">
        <v>0</v>
      </c>
      <c r="L201" t="n">
        <v>0</v>
      </c>
      <c r="M201" t="n">
        <v>0</v>
      </c>
      <c r="N201" t="n">
        <v>0</v>
      </c>
      <c r="O201" t="n">
        <v>0</v>
      </c>
      <c r="P201" t="n">
        <v>0</v>
      </c>
      <c r="Q201" t="n">
        <v>1</v>
      </c>
      <c r="R201" s="2" t="inlineStr">
        <is>
          <t>Svart trolldruva</t>
        </is>
      </c>
      <c r="S201">
        <f>HYPERLINK("https://klasma.github.io/Logging_2303/artfynd/A 27273-2022 artfynd.xlsx", "A 27273-2022")</f>
        <v/>
      </c>
      <c r="T201">
        <f>HYPERLINK("https://klasma.github.io/Logging_2303/kartor/A 27273-2022 karta.png", "A 27273-2022")</f>
        <v/>
      </c>
      <c r="V201">
        <f>HYPERLINK("https://klasma.github.io/Logging_2303/klagomål/A 27273-2022 FSC-klagomål.docx", "A 27273-2022")</f>
        <v/>
      </c>
      <c r="W201">
        <f>HYPERLINK("https://klasma.github.io/Logging_2303/klagomålsmail/A 27273-2022 FSC-klagomål mail.docx", "A 27273-2022")</f>
        <v/>
      </c>
      <c r="X201">
        <f>HYPERLINK("https://klasma.github.io/Logging_2303/tillsyn/A 27273-2022 tillsynsbegäran.docx", "A 27273-2022")</f>
        <v/>
      </c>
      <c r="Y201">
        <f>HYPERLINK("https://klasma.github.io/Logging_2303/tillsynsmail/A 27273-2022 tillsynsbegäran mail.docx", "A 27273-2022")</f>
        <v/>
      </c>
    </row>
    <row r="202" ht="15" customHeight="1">
      <c r="A202" t="inlineStr">
        <is>
          <t>A 31477-2022</t>
        </is>
      </c>
      <c r="B202" s="1" t="n">
        <v>44774.94347222222</v>
      </c>
      <c r="C202" s="1" t="n">
        <v>46052</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27286-2022</t>
        </is>
      </c>
      <c r="B203" s="1" t="n">
        <v>44741</v>
      </c>
      <c r="C203" s="1" t="n">
        <v>46052</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42899-2022</t>
        </is>
      </c>
      <c r="B204" s="1" t="n">
        <v>44832</v>
      </c>
      <c r="C204" s="1" t="n">
        <v>46052</v>
      </c>
      <c r="D204" t="inlineStr">
        <is>
          <t>JÄMTLANDS LÄN</t>
        </is>
      </c>
      <c r="E204" t="inlineStr">
        <is>
          <t>RAGUNDA</t>
        </is>
      </c>
      <c r="F204" t="inlineStr">
        <is>
          <t>SCA</t>
        </is>
      </c>
      <c r="G204" t="n">
        <v>2.3</v>
      </c>
      <c r="H204" t="n">
        <v>0</v>
      </c>
      <c r="I204" t="n">
        <v>0</v>
      </c>
      <c r="J204" t="n">
        <v>1</v>
      </c>
      <c r="K204" t="n">
        <v>0</v>
      </c>
      <c r="L204" t="n">
        <v>0</v>
      </c>
      <c r="M204" t="n">
        <v>0</v>
      </c>
      <c r="N204" t="n">
        <v>0</v>
      </c>
      <c r="O204" t="n">
        <v>1</v>
      </c>
      <c r="P204" t="n">
        <v>0</v>
      </c>
      <c r="Q204" t="n">
        <v>1</v>
      </c>
      <c r="R204" s="2" t="inlineStr">
        <is>
          <t>Ullticka</t>
        </is>
      </c>
      <c r="S204">
        <f>HYPERLINK("https://klasma.github.io/Logging_2303/artfynd/A 42899-2022 artfynd.xlsx", "A 42899-2022")</f>
        <v/>
      </c>
      <c r="T204">
        <f>HYPERLINK("https://klasma.github.io/Logging_2303/kartor/A 42899-2022 karta.png", "A 42899-2022")</f>
        <v/>
      </c>
      <c r="V204">
        <f>HYPERLINK("https://klasma.github.io/Logging_2303/klagomål/A 42899-2022 FSC-klagomål.docx", "A 42899-2022")</f>
        <v/>
      </c>
      <c r="W204">
        <f>HYPERLINK("https://klasma.github.io/Logging_2303/klagomålsmail/A 42899-2022 FSC-klagomål mail.docx", "A 42899-2022")</f>
        <v/>
      </c>
      <c r="X204">
        <f>HYPERLINK("https://klasma.github.io/Logging_2303/tillsyn/A 42899-2022 tillsynsbegäran.docx", "A 42899-2022")</f>
        <v/>
      </c>
      <c r="Y204">
        <f>HYPERLINK("https://klasma.github.io/Logging_2303/tillsynsmail/A 42899-2022 tillsynsbegäran mail.docx", "A 42899-2022")</f>
        <v/>
      </c>
    </row>
    <row r="205" ht="15" customHeight="1">
      <c r="A205" t="inlineStr">
        <is>
          <t>A 25694-2023</t>
        </is>
      </c>
      <c r="B205" s="1" t="n">
        <v>45089</v>
      </c>
      <c r="C205" s="1" t="n">
        <v>46052</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36757-2023</t>
        </is>
      </c>
      <c r="B206" s="1" t="n">
        <v>45153</v>
      </c>
      <c r="C206" s="1" t="n">
        <v>46052</v>
      </c>
      <c r="D206" t="inlineStr">
        <is>
          <t>JÄMTLANDS LÄN</t>
        </is>
      </c>
      <c r="E206" t="inlineStr">
        <is>
          <t>RAGUNDA</t>
        </is>
      </c>
      <c r="G206" t="n">
        <v>0.7</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36757-2023 artfynd.xlsx", "A 36757-2023")</f>
        <v/>
      </c>
      <c r="T206">
        <f>HYPERLINK("https://klasma.github.io/Logging_2303/kartor/A 36757-2023 karta.png", "A 36757-2023")</f>
        <v/>
      </c>
      <c r="V206">
        <f>HYPERLINK("https://klasma.github.io/Logging_2303/klagomål/A 36757-2023 FSC-klagomål.docx", "A 36757-2023")</f>
        <v/>
      </c>
      <c r="W206">
        <f>HYPERLINK("https://klasma.github.io/Logging_2303/klagomålsmail/A 36757-2023 FSC-klagomål mail.docx", "A 36757-2023")</f>
        <v/>
      </c>
      <c r="X206">
        <f>HYPERLINK("https://klasma.github.io/Logging_2303/tillsyn/A 36757-2023 tillsynsbegäran.docx", "A 36757-2023")</f>
        <v/>
      </c>
      <c r="Y206">
        <f>HYPERLINK("https://klasma.github.io/Logging_2303/tillsynsmail/A 36757-2023 tillsynsbegäran mail.docx", "A 36757-2023")</f>
        <v/>
      </c>
      <c r="Z206">
        <f>HYPERLINK("https://klasma.github.io/Logging_2303/fåglar/A 36757-2023 prioriterade fågelarter.docx", "A 36757-2023")</f>
        <v/>
      </c>
    </row>
    <row r="207" ht="15" customHeight="1">
      <c r="A207" t="inlineStr">
        <is>
          <t>A 61324-2024</t>
        </is>
      </c>
      <c r="B207" s="1" t="n">
        <v>45646.34438657408</v>
      </c>
      <c r="C207" s="1" t="n">
        <v>46052</v>
      </c>
      <c r="D207" t="inlineStr">
        <is>
          <t>JÄMTLANDS LÄN</t>
        </is>
      </c>
      <c r="E207" t="inlineStr">
        <is>
          <t>RAGUNDA</t>
        </is>
      </c>
      <c r="F207" t="inlineStr">
        <is>
          <t>SCA</t>
        </is>
      </c>
      <c r="G207" t="n">
        <v>11.2</v>
      </c>
      <c r="H207" t="n">
        <v>1</v>
      </c>
      <c r="I207" t="n">
        <v>0</v>
      </c>
      <c r="J207" t="n">
        <v>0</v>
      </c>
      <c r="K207" t="n">
        <v>0</v>
      </c>
      <c r="L207" t="n">
        <v>0</v>
      </c>
      <c r="M207" t="n">
        <v>0</v>
      </c>
      <c r="N207" t="n">
        <v>0</v>
      </c>
      <c r="O207" t="n">
        <v>0</v>
      </c>
      <c r="P207" t="n">
        <v>0</v>
      </c>
      <c r="Q207" t="n">
        <v>1</v>
      </c>
      <c r="R207" s="2" t="inlineStr">
        <is>
          <t>Trana</t>
        </is>
      </c>
      <c r="S207">
        <f>HYPERLINK("https://klasma.github.io/Logging_2303/artfynd/A 61324-2024 artfynd.xlsx", "A 61324-2024")</f>
        <v/>
      </c>
      <c r="T207">
        <f>HYPERLINK("https://klasma.github.io/Logging_2303/kartor/A 61324-2024 karta.png", "A 61324-2024")</f>
        <v/>
      </c>
      <c r="V207">
        <f>HYPERLINK("https://klasma.github.io/Logging_2303/klagomål/A 61324-2024 FSC-klagomål.docx", "A 61324-2024")</f>
        <v/>
      </c>
      <c r="W207">
        <f>HYPERLINK("https://klasma.github.io/Logging_2303/klagomålsmail/A 61324-2024 FSC-klagomål mail.docx", "A 61324-2024")</f>
        <v/>
      </c>
      <c r="X207">
        <f>HYPERLINK("https://klasma.github.io/Logging_2303/tillsyn/A 61324-2024 tillsynsbegäran.docx", "A 61324-2024")</f>
        <v/>
      </c>
      <c r="Y207">
        <f>HYPERLINK("https://klasma.github.io/Logging_2303/tillsynsmail/A 61324-2024 tillsynsbegäran mail.docx", "A 61324-2024")</f>
        <v/>
      </c>
      <c r="Z207">
        <f>HYPERLINK("https://klasma.github.io/Logging_2303/fåglar/A 61324-2024 prioriterade fågelarter.docx", "A 61324-2024")</f>
        <v/>
      </c>
    </row>
    <row r="208" ht="15" customHeight="1">
      <c r="A208" t="inlineStr">
        <is>
          <t>A 6703-2024</t>
        </is>
      </c>
      <c r="B208" s="1" t="n">
        <v>45341</v>
      </c>
      <c r="C208" s="1" t="n">
        <v>46052</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21212-2025</t>
        </is>
      </c>
      <c r="B209" s="1" t="n">
        <v>45779.48993055556</v>
      </c>
      <c r="C209" s="1" t="n">
        <v>46052</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11040-2023</t>
        </is>
      </c>
      <c r="B210" s="1" t="n">
        <v>44991</v>
      </c>
      <c r="C210" s="1" t="n">
        <v>46052</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36975-2023</t>
        </is>
      </c>
      <c r="B211" s="1" t="n">
        <v>45154</v>
      </c>
      <c r="C211" s="1" t="n">
        <v>46052</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16316-2025</t>
        </is>
      </c>
      <c r="B212" s="1" t="n">
        <v>45751.34795138889</v>
      </c>
      <c r="C212" s="1" t="n">
        <v>46052</v>
      </c>
      <c r="D212" t="inlineStr">
        <is>
          <t>JÄMTLANDS LÄN</t>
        </is>
      </c>
      <c r="E212" t="inlineStr">
        <is>
          <t>RAGUNDA</t>
        </is>
      </c>
      <c r="F212" t="inlineStr">
        <is>
          <t>SCA</t>
        </is>
      </c>
      <c r="G212" t="n">
        <v>1.7</v>
      </c>
      <c r="H212" t="n">
        <v>1</v>
      </c>
      <c r="I212" t="n">
        <v>0</v>
      </c>
      <c r="J212" t="n">
        <v>0</v>
      </c>
      <c r="K212" t="n">
        <v>0</v>
      </c>
      <c r="L212" t="n">
        <v>0</v>
      </c>
      <c r="M212" t="n">
        <v>0</v>
      </c>
      <c r="N212" t="n">
        <v>0</v>
      </c>
      <c r="O212" t="n">
        <v>0</v>
      </c>
      <c r="P212" t="n">
        <v>0</v>
      </c>
      <c r="Q212" t="n">
        <v>1</v>
      </c>
      <c r="R212" s="2" t="inlineStr">
        <is>
          <t>Dactylorhiza incarnata subsp. incarnata</t>
        </is>
      </c>
      <c r="S212">
        <f>HYPERLINK("https://klasma.github.io/Logging_2303/artfynd/A 16316-2025 artfynd.xlsx", "A 16316-2025")</f>
        <v/>
      </c>
      <c r="T212">
        <f>HYPERLINK("https://klasma.github.io/Logging_2303/kartor/A 16316-2025 karta.png", "A 16316-2025")</f>
        <v/>
      </c>
      <c r="V212">
        <f>HYPERLINK("https://klasma.github.io/Logging_2303/klagomål/A 16316-2025 FSC-klagomål.docx", "A 16316-2025")</f>
        <v/>
      </c>
      <c r="W212">
        <f>HYPERLINK("https://klasma.github.io/Logging_2303/klagomålsmail/A 16316-2025 FSC-klagomål mail.docx", "A 16316-2025")</f>
        <v/>
      </c>
      <c r="X212">
        <f>HYPERLINK("https://klasma.github.io/Logging_2303/tillsyn/A 16316-2025 tillsynsbegäran.docx", "A 16316-2025")</f>
        <v/>
      </c>
      <c r="Y212">
        <f>HYPERLINK("https://klasma.github.io/Logging_2303/tillsynsmail/A 16316-2025 tillsynsbegäran mail.docx", "A 16316-2025")</f>
        <v/>
      </c>
    </row>
    <row r="213" ht="15" customHeight="1">
      <c r="A213" t="inlineStr">
        <is>
          <t>A 50233-2024</t>
        </is>
      </c>
      <c r="B213" s="1" t="n">
        <v>45600.55265046296</v>
      </c>
      <c r="C213" s="1" t="n">
        <v>46052</v>
      </c>
      <c r="D213" t="inlineStr">
        <is>
          <t>JÄMTLANDS LÄN</t>
        </is>
      </c>
      <c r="E213" t="inlineStr">
        <is>
          <t>RAGUNDA</t>
        </is>
      </c>
      <c r="F213" t="inlineStr">
        <is>
          <t>SCA</t>
        </is>
      </c>
      <c r="G213" t="n">
        <v>5.6</v>
      </c>
      <c r="H213" t="n">
        <v>0</v>
      </c>
      <c r="I213" t="n">
        <v>0</v>
      </c>
      <c r="J213" t="n">
        <v>1</v>
      </c>
      <c r="K213" t="n">
        <v>0</v>
      </c>
      <c r="L213" t="n">
        <v>0</v>
      </c>
      <c r="M213" t="n">
        <v>0</v>
      </c>
      <c r="N213" t="n">
        <v>0</v>
      </c>
      <c r="O213" t="n">
        <v>1</v>
      </c>
      <c r="P213" t="n">
        <v>0</v>
      </c>
      <c r="Q213" t="n">
        <v>1</v>
      </c>
      <c r="R213" s="2" t="inlineStr">
        <is>
          <t>Granticka</t>
        </is>
      </c>
      <c r="S213">
        <f>HYPERLINK("https://klasma.github.io/Logging_2303/artfynd/A 50233-2024 artfynd.xlsx", "A 50233-2024")</f>
        <v/>
      </c>
      <c r="T213">
        <f>HYPERLINK("https://klasma.github.io/Logging_2303/kartor/A 50233-2024 karta.png", "A 50233-2024")</f>
        <v/>
      </c>
      <c r="V213">
        <f>HYPERLINK("https://klasma.github.io/Logging_2303/klagomål/A 50233-2024 FSC-klagomål.docx", "A 50233-2024")</f>
        <v/>
      </c>
      <c r="W213">
        <f>HYPERLINK("https://klasma.github.io/Logging_2303/klagomålsmail/A 50233-2024 FSC-klagomål mail.docx", "A 50233-2024")</f>
        <v/>
      </c>
      <c r="X213">
        <f>HYPERLINK("https://klasma.github.io/Logging_2303/tillsyn/A 50233-2024 tillsynsbegäran.docx", "A 50233-2024")</f>
        <v/>
      </c>
      <c r="Y213">
        <f>HYPERLINK("https://klasma.github.io/Logging_2303/tillsynsmail/A 50233-2024 tillsynsbegäran mail.docx", "A 50233-2024")</f>
        <v/>
      </c>
    </row>
    <row r="214" ht="15" customHeight="1">
      <c r="A214" t="inlineStr">
        <is>
          <t>A 32069-2024</t>
        </is>
      </c>
      <c r="B214" s="1" t="n">
        <v>45510</v>
      </c>
      <c r="C214" s="1" t="n">
        <v>46052</v>
      </c>
      <c r="D214" t="inlineStr">
        <is>
          <t>JÄMTLANDS LÄN</t>
        </is>
      </c>
      <c r="E214" t="inlineStr">
        <is>
          <t>RAGUNDA</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HYPERLINK("https://klasma.github.io/Logging_2303/artfynd/A 32069-2024 artfynd.xlsx", "A 32069-2024")</f>
        <v/>
      </c>
      <c r="T214">
        <f>HYPERLINK("https://klasma.github.io/Logging_2303/kartor/A 32069-2024 karta.png", "A 32069-2024")</f>
        <v/>
      </c>
      <c r="V214">
        <f>HYPERLINK("https://klasma.github.io/Logging_2303/klagomål/A 32069-2024 FSC-klagomål.docx", "A 32069-2024")</f>
        <v/>
      </c>
      <c r="W214">
        <f>HYPERLINK("https://klasma.github.io/Logging_2303/klagomålsmail/A 32069-2024 FSC-klagomål mail.docx", "A 32069-2024")</f>
        <v/>
      </c>
      <c r="X214">
        <f>HYPERLINK("https://klasma.github.io/Logging_2303/tillsyn/A 32069-2024 tillsynsbegäran.docx", "A 32069-2024")</f>
        <v/>
      </c>
      <c r="Y214">
        <f>HYPERLINK("https://klasma.github.io/Logging_2303/tillsynsmail/A 32069-2024 tillsynsbegäran mail.docx", "A 32069-2024")</f>
        <v/>
      </c>
    </row>
    <row r="215" ht="15" customHeight="1">
      <c r="A215" t="inlineStr">
        <is>
          <t>A 20575-2025</t>
        </is>
      </c>
      <c r="B215" s="1" t="n">
        <v>45775.67769675926</v>
      </c>
      <c r="C215" s="1" t="n">
        <v>46052</v>
      </c>
      <c r="D215" t="inlineStr">
        <is>
          <t>JÄMTLANDS LÄN</t>
        </is>
      </c>
      <c r="E215" t="inlineStr">
        <is>
          <t>RAGUNDA</t>
        </is>
      </c>
      <c r="F215" t="inlineStr">
        <is>
          <t>SCA</t>
        </is>
      </c>
      <c r="G215" t="n">
        <v>8.1</v>
      </c>
      <c r="H215" t="n">
        <v>1</v>
      </c>
      <c r="I215" t="n">
        <v>0</v>
      </c>
      <c r="J215" t="n">
        <v>1</v>
      </c>
      <c r="K215" t="n">
        <v>0</v>
      </c>
      <c r="L215" t="n">
        <v>0</v>
      </c>
      <c r="M215" t="n">
        <v>0</v>
      </c>
      <c r="N215" t="n">
        <v>0</v>
      </c>
      <c r="O215" t="n">
        <v>1</v>
      </c>
      <c r="P215" t="n">
        <v>0</v>
      </c>
      <c r="Q215" t="n">
        <v>1</v>
      </c>
      <c r="R215" s="2" t="inlineStr">
        <is>
          <t>Skogsfru</t>
        </is>
      </c>
      <c r="S215">
        <f>HYPERLINK("https://klasma.github.io/Logging_2303/artfynd/A 20575-2025 artfynd.xlsx", "A 20575-2025")</f>
        <v/>
      </c>
      <c r="T215">
        <f>HYPERLINK("https://klasma.github.io/Logging_2303/kartor/A 20575-2025 karta.png", "A 20575-2025")</f>
        <v/>
      </c>
      <c r="V215">
        <f>HYPERLINK("https://klasma.github.io/Logging_2303/klagomål/A 20575-2025 FSC-klagomål.docx", "A 20575-2025")</f>
        <v/>
      </c>
      <c r="W215">
        <f>HYPERLINK("https://klasma.github.io/Logging_2303/klagomålsmail/A 20575-2025 FSC-klagomål mail.docx", "A 20575-2025")</f>
        <v/>
      </c>
      <c r="X215">
        <f>HYPERLINK("https://klasma.github.io/Logging_2303/tillsyn/A 20575-2025 tillsynsbegäran.docx", "A 20575-2025")</f>
        <v/>
      </c>
      <c r="Y215">
        <f>HYPERLINK("https://klasma.github.io/Logging_2303/tillsynsmail/A 20575-2025 tillsynsbegäran mail.docx", "A 20575-2025")</f>
        <v/>
      </c>
    </row>
    <row r="216" ht="15" customHeight="1">
      <c r="A216" t="inlineStr">
        <is>
          <t>A 44066-2024</t>
        </is>
      </c>
      <c r="B216" s="1" t="n">
        <v>45572.60363425926</v>
      </c>
      <c r="C216" s="1" t="n">
        <v>46052</v>
      </c>
      <c r="D216" t="inlineStr">
        <is>
          <t>JÄMTLANDS LÄN</t>
        </is>
      </c>
      <c r="E216" t="inlineStr">
        <is>
          <t>RAGUNDA</t>
        </is>
      </c>
      <c r="G216" t="n">
        <v>6.4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44066-2024 artfynd.xlsx", "A 44066-2024")</f>
        <v/>
      </c>
      <c r="T216">
        <f>HYPERLINK("https://klasma.github.io/Logging_2303/kartor/A 44066-2024 karta.png", "A 44066-2024")</f>
        <v/>
      </c>
      <c r="V216">
        <f>HYPERLINK("https://klasma.github.io/Logging_2303/klagomål/A 44066-2024 FSC-klagomål.docx", "A 44066-2024")</f>
        <v/>
      </c>
      <c r="W216">
        <f>HYPERLINK("https://klasma.github.io/Logging_2303/klagomålsmail/A 44066-2024 FSC-klagomål mail.docx", "A 44066-2024")</f>
        <v/>
      </c>
      <c r="X216">
        <f>HYPERLINK("https://klasma.github.io/Logging_2303/tillsyn/A 44066-2024 tillsynsbegäran.docx", "A 44066-2024")</f>
        <v/>
      </c>
      <c r="Y216">
        <f>HYPERLINK("https://klasma.github.io/Logging_2303/tillsynsmail/A 44066-2024 tillsynsbegäran mail.docx", "A 44066-2024")</f>
        <v/>
      </c>
      <c r="Z216">
        <f>HYPERLINK("https://klasma.github.io/Logging_2303/fåglar/A 44066-2024 prioriterade fågelarter.docx", "A 44066-2024")</f>
        <v/>
      </c>
    </row>
    <row r="217" ht="15" customHeight="1">
      <c r="A217" t="inlineStr">
        <is>
          <t>A 19751-2025</t>
        </is>
      </c>
      <c r="B217" s="1" t="n">
        <v>45771.3859837963</v>
      </c>
      <c r="C217" s="1" t="n">
        <v>46052</v>
      </c>
      <c r="D217" t="inlineStr">
        <is>
          <t>JÄMTLANDS LÄN</t>
        </is>
      </c>
      <c r="E217" t="inlineStr">
        <is>
          <t>RAGUNDA</t>
        </is>
      </c>
      <c r="F217" t="inlineStr">
        <is>
          <t>SCA</t>
        </is>
      </c>
      <c r="G217" t="n">
        <v>1.1</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19751-2025 artfynd.xlsx", "A 19751-2025")</f>
        <v/>
      </c>
      <c r="T217">
        <f>HYPERLINK("https://klasma.github.io/Logging_2303/kartor/A 19751-2025 karta.png", "A 19751-2025")</f>
        <v/>
      </c>
      <c r="V217">
        <f>HYPERLINK("https://klasma.github.io/Logging_2303/klagomål/A 19751-2025 FSC-klagomål.docx", "A 19751-2025")</f>
        <v/>
      </c>
      <c r="W217">
        <f>HYPERLINK("https://klasma.github.io/Logging_2303/klagomålsmail/A 19751-2025 FSC-klagomål mail.docx", "A 19751-2025")</f>
        <v/>
      </c>
      <c r="X217">
        <f>HYPERLINK("https://klasma.github.io/Logging_2303/tillsyn/A 19751-2025 tillsynsbegäran.docx", "A 19751-2025")</f>
        <v/>
      </c>
      <c r="Y217">
        <f>HYPERLINK("https://klasma.github.io/Logging_2303/tillsynsmail/A 19751-2025 tillsynsbegäran mail.docx", "A 19751-2025")</f>
        <v/>
      </c>
      <c r="Z217">
        <f>HYPERLINK("https://klasma.github.io/Logging_2303/fåglar/A 19751-2025 prioriterade fågelarter.docx", "A 19751-2025")</f>
        <v/>
      </c>
    </row>
    <row r="218" ht="15" customHeight="1">
      <c r="A218" t="inlineStr">
        <is>
          <t>A 36224-2023</t>
        </is>
      </c>
      <c r="B218" s="1" t="n">
        <v>45149</v>
      </c>
      <c r="C218" s="1" t="n">
        <v>46052</v>
      </c>
      <c r="D218" t="inlineStr">
        <is>
          <t>JÄMTLANDS LÄN</t>
        </is>
      </c>
      <c r="E218" t="inlineStr">
        <is>
          <t>RAGUNDA</t>
        </is>
      </c>
      <c r="F218" t="inlineStr">
        <is>
          <t>SCA</t>
        </is>
      </c>
      <c r="G218" t="n">
        <v>8.1</v>
      </c>
      <c r="H218" t="n">
        <v>0</v>
      </c>
      <c r="I218" t="n">
        <v>0</v>
      </c>
      <c r="J218" t="n">
        <v>1</v>
      </c>
      <c r="K218" t="n">
        <v>0</v>
      </c>
      <c r="L218" t="n">
        <v>0</v>
      </c>
      <c r="M218" t="n">
        <v>0</v>
      </c>
      <c r="N218" t="n">
        <v>0</v>
      </c>
      <c r="O218" t="n">
        <v>1</v>
      </c>
      <c r="P218" t="n">
        <v>0</v>
      </c>
      <c r="Q218" t="n">
        <v>1</v>
      </c>
      <c r="R218" s="2" t="inlineStr">
        <is>
          <t>Garnlav</t>
        </is>
      </c>
      <c r="S218">
        <f>HYPERLINK("https://klasma.github.io/Logging_2303/artfynd/A 36224-2023 artfynd.xlsx", "A 36224-2023")</f>
        <v/>
      </c>
      <c r="T218">
        <f>HYPERLINK("https://klasma.github.io/Logging_2303/kartor/A 36224-2023 karta.png", "A 36224-2023")</f>
        <v/>
      </c>
      <c r="V218">
        <f>HYPERLINK("https://klasma.github.io/Logging_2303/klagomål/A 36224-2023 FSC-klagomål.docx", "A 36224-2023")</f>
        <v/>
      </c>
      <c r="W218">
        <f>HYPERLINK("https://klasma.github.io/Logging_2303/klagomålsmail/A 36224-2023 FSC-klagomål mail.docx", "A 36224-2023")</f>
        <v/>
      </c>
      <c r="X218">
        <f>HYPERLINK("https://klasma.github.io/Logging_2303/tillsyn/A 36224-2023 tillsynsbegäran.docx", "A 36224-2023")</f>
        <v/>
      </c>
      <c r="Y218">
        <f>HYPERLINK("https://klasma.github.io/Logging_2303/tillsynsmail/A 36224-2023 tillsynsbegäran mail.docx", "A 36224-2023")</f>
        <v/>
      </c>
    </row>
    <row r="219" ht="15" customHeight="1">
      <c r="A219" t="inlineStr">
        <is>
          <t>A 59104-2023</t>
        </is>
      </c>
      <c r="B219" s="1" t="n">
        <v>45252</v>
      </c>
      <c r="C219" s="1" t="n">
        <v>46052</v>
      </c>
      <c r="D219" t="inlineStr">
        <is>
          <t>JÄMTLANDS LÄN</t>
        </is>
      </c>
      <c r="E219" t="inlineStr">
        <is>
          <t>RAGUNDA</t>
        </is>
      </c>
      <c r="F219" t="inlineStr">
        <is>
          <t>SCA</t>
        </is>
      </c>
      <c r="G219" t="n">
        <v>4.2</v>
      </c>
      <c r="H219" t="n">
        <v>0</v>
      </c>
      <c r="I219" t="n">
        <v>0</v>
      </c>
      <c r="J219" t="n">
        <v>1</v>
      </c>
      <c r="K219" t="n">
        <v>0</v>
      </c>
      <c r="L219" t="n">
        <v>0</v>
      </c>
      <c r="M219" t="n">
        <v>0</v>
      </c>
      <c r="N219" t="n">
        <v>0</v>
      </c>
      <c r="O219" t="n">
        <v>1</v>
      </c>
      <c r="P219" t="n">
        <v>0</v>
      </c>
      <c r="Q219" t="n">
        <v>1</v>
      </c>
      <c r="R219" s="2" t="inlineStr">
        <is>
          <t>Ullticka</t>
        </is>
      </c>
      <c r="S219">
        <f>HYPERLINK("https://klasma.github.io/Logging_2303/artfynd/A 59104-2023 artfynd.xlsx", "A 59104-2023")</f>
        <v/>
      </c>
      <c r="T219">
        <f>HYPERLINK("https://klasma.github.io/Logging_2303/kartor/A 59104-2023 karta.png", "A 59104-2023")</f>
        <v/>
      </c>
      <c r="V219">
        <f>HYPERLINK("https://klasma.github.io/Logging_2303/klagomål/A 59104-2023 FSC-klagomål.docx", "A 59104-2023")</f>
        <v/>
      </c>
      <c r="W219">
        <f>HYPERLINK("https://klasma.github.io/Logging_2303/klagomålsmail/A 59104-2023 FSC-klagomål mail.docx", "A 59104-2023")</f>
        <v/>
      </c>
      <c r="X219">
        <f>HYPERLINK("https://klasma.github.io/Logging_2303/tillsyn/A 59104-2023 tillsynsbegäran.docx", "A 59104-2023")</f>
        <v/>
      </c>
      <c r="Y219">
        <f>HYPERLINK("https://klasma.github.io/Logging_2303/tillsynsmail/A 59104-2023 tillsynsbegäran mail.docx", "A 59104-2023")</f>
        <v/>
      </c>
    </row>
    <row r="220" ht="15" customHeight="1">
      <c r="A220" t="inlineStr">
        <is>
          <t>A 19387-2025</t>
        </is>
      </c>
      <c r="B220" s="1" t="n">
        <v>45769.65736111111</v>
      </c>
      <c r="C220" s="1" t="n">
        <v>46052</v>
      </c>
      <c r="D220" t="inlineStr">
        <is>
          <t>JÄMTLANDS LÄN</t>
        </is>
      </c>
      <c r="E220" t="inlineStr">
        <is>
          <t>RAGUNDA</t>
        </is>
      </c>
      <c r="F220" t="inlineStr">
        <is>
          <t>SCA</t>
        </is>
      </c>
      <c r="G220" t="n">
        <v>16.4</v>
      </c>
      <c r="H220" t="n">
        <v>1</v>
      </c>
      <c r="I220" t="n">
        <v>0</v>
      </c>
      <c r="J220" t="n">
        <v>0</v>
      </c>
      <c r="K220" t="n">
        <v>1</v>
      </c>
      <c r="L220" t="n">
        <v>0</v>
      </c>
      <c r="M220" t="n">
        <v>0</v>
      </c>
      <c r="N220" t="n">
        <v>0</v>
      </c>
      <c r="O220" t="n">
        <v>1</v>
      </c>
      <c r="P220" t="n">
        <v>1</v>
      </c>
      <c r="Q220" t="n">
        <v>1</v>
      </c>
      <c r="R220" s="2" t="inlineStr">
        <is>
          <t>Norna</t>
        </is>
      </c>
      <c r="S220">
        <f>HYPERLINK("https://klasma.github.io/Logging_2303/artfynd/A 19387-2025 artfynd.xlsx", "A 19387-2025")</f>
        <v/>
      </c>
      <c r="T220">
        <f>HYPERLINK("https://klasma.github.io/Logging_2303/kartor/A 19387-2025 karta.png", "A 19387-2025")</f>
        <v/>
      </c>
      <c r="V220">
        <f>HYPERLINK("https://klasma.github.io/Logging_2303/klagomål/A 19387-2025 FSC-klagomål.docx", "A 19387-2025")</f>
        <v/>
      </c>
      <c r="W220">
        <f>HYPERLINK("https://klasma.github.io/Logging_2303/klagomålsmail/A 19387-2025 FSC-klagomål mail.docx", "A 19387-2025")</f>
        <v/>
      </c>
      <c r="X220">
        <f>HYPERLINK("https://klasma.github.io/Logging_2303/tillsyn/A 19387-2025 tillsynsbegäran.docx", "A 19387-2025")</f>
        <v/>
      </c>
      <c r="Y220">
        <f>HYPERLINK("https://klasma.github.io/Logging_2303/tillsynsmail/A 19387-2025 tillsynsbegäran mail.docx", "A 19387-2025")</f>
        <v/>
      </c>
    </row>
    <row r="221" ht="15" customHeight="1">
      <c r="A221" t="inlineStr">
        <is>
          <t>A 43404-2023</t>
        </is>
      </c>
      <c r="B221" s="1" t="n">
        <v>45183</v>
      </c>
      <c r="C221" s="1" t="n">
        <v>46052</v>
      </c>
      <c r="D221" t="inlineStr">
        <is>
          <t>JÄMTLANDS LÄN</t>
        </is>
      </c>
      <c r="E221" t="inlineStr">
        <is>
          <t>RAGUNDA</t>
        </is>
      </c>
      <c r="F221" t="inlineStr">
        <is>
          <t>SCA</t>
        </is>
      </c>
      <c r="G221" t="n">
        <v>0.9</v>
      </c>
      <c r="H221" t="n">
        <v>0</v>
      </c>
      <c r="I221" t="n">
        <v>1</v>
      </c>
      <c r="J221" t="n">
        <v>0</v>
      </c>
      <c r="K221" t="n">
        <v>0</v>
      </c>
      <c r="L221" t="n">
        <v>0</v>
      </c>
      <c r="M221" t="n">
        <v>0</v>
      </c>
      <c r="N221" t="n">
        <v>0</v>
      </c>
      <c r="O221" t="n">
        <v>0</v>
      </c>
      <c r="P221" t="n">
        <v>0</v>
      </c>
      <c r="Q221" t="n">
        <v>1</v>
      </c>
      <c r="R221" s="2" t="inlineStr">
        <is>
          <t>Kryddspindling</t>
        </is>
      </c>
      <c r="S221">
        <f>HYPERLINK("https://klasma.github.io/Logging_2303/artfynd/A 43404-2023 artfynd.xlsx", "A 43404-2023")</f>
        <v/>
      </c>
      <c r="T221">
        <f>HYPERLINK("https://klasma.github.io/Logging_2303/kartor/A 43404-2023 karta.png", "A 43404-2023")</f>
        <v/>
      </c>
      <c r="V221">
        <f>HYPERLINK("https://klasma.github.io/Logging_2303/klagomål/A 43404-2023 FSC-klagomål.docx", "A 43404-2023")</f>
        <v/>
      </c>
      <c r="W221">
        <f>HYPERLINK("https://klasma.github.io/Logging_2303/klagomålsmail/A 43404-2023 FSC-klagomål mail.docx", "A 43404-2023")</f>
        <v/>
      </c>
      <c r="X221">
        <f>HYPERLINK("https://klasma.github.io/Logging_2303/tillsyn/A 43404-2023 tillsynsbegäran.docx", "A 43404-2023")</f>
        <v/>
      </c>
      <c r="Y221">
        <f>HYPERLINK("https://klasma.github.io/Logging_2303/tillsynsmail/A 43404-2023 tillsynsbegäran mail.docx", "A 43404-2023")</f>
        <v/>
      </c>
    </row>
    <row r="222" ht="15" customHeight="1">
      <c r="A222" t="inlineStr">
        <is>
          <t>A 2929-2024</t>
        </is>
      </c>
      <c r="B222" s="1" t="n">
        <v>45315</v>
      </c>
      <c r="C222" s="1" t="n">
        <v>46052</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24443-2024</t>
        </is>
      </c>
      <c r="B223" s="1" t="n">
        <v>45457.9640625</v>
      </c>
      <c r="C223" s="1" t="n">
        <v>46052</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23930-2024</t>
        </is>
      </c>
      <c r="B224" s="1" t="n">
        <v>45455.96184027778</v>
      </c>
      <c r="C224" s="1" t="n">
        <v>46052</v>
      </c>
      <c r="D224" t="inlineStr">
        <is>
          <t>JÄMTLANDS LÄN</t>
        </is>
      </c>
      <c r="E224" t="inlineStr">
        <is>
          <t>RAGUNDA</t>
        </is>
      </c>
      <c r="F224" t="inlineStr">
        <is>
          <t>SCA</t>
        </is>
      </c>
      <c r="G224" t="n">
        <v>4.2</v>
      </c>
      <c r="H224" t="n">
        <v>1</v>
      </c>
      <c r="I224" t="n">
        <v>1</v>
      </c>
      <c r="J224" t="n">
        <v>0</v>
      </c>
      <c r="K224" t="n">
        <v>0</v>
      </c>
      <c r="L224" t="n">
        <v>0</v>
      </c>
      <c r="M224" t="n">
        <v>0</v>
      </c>
      <c r="N224" t="n">
        <v>0</v>
      </c>
      <c r="O224" t="n">
        <v>0</v>
      </c>
      <c r="P224" t="n">
        <v>0</v>
      </c>
      <c r="Q224" t="n">
        <v>1</v>
      </c>
      <c r="R224" s="2" t="inlineStr">
        <is>
          <t>Guckusko</t>
        </is>
      </c>
      <c r="S224">
        <f>HYPERLINK("https://klasma.github.io/Logging_2303/artfynd/A 23930-2024 artfynd.xlsx", "A 23930-2024")</f>
        <v/>
      </c>
      <c r="T224">
        <f>HYPERLINK("https://klasma.github.io/Logging_2303/kartor/A 23930-2024 karta.png", "A 23930-2024")</f>
        <v/>
      </c>
      <c r="V224">
        <f>HYPERLINK("https://klasma.github.io/Logging_2303/klagomål/A 23930-2024 FSC-klagomål.docx", "A 23930-2024")</f>
        <v/>
      </c>
      <c r="W224">
        <f>HYPERLINK("https://klasma.github.io/Logging_2303/klagomålsmail/A 23930-2024 FSC-klagomål mail.docx", "A 23930-2024")</f>
        <v/>
      </c>
      <c r="X224">
        <f>HYPERLINK("https://klasma.github.io/Logging_2303/tillsyn/A 23930-2024 tillsynsbegäran.docx", "A 23930-2024")</f>
        <v/>
      </c>
      <c r="Y224">
        <f>HYPERLINK("https://klasma.github.io/Logging_2303/tillsynsmail/A 23930-2024 tillsynsbegäran mail.docx", "A 23930-2024")</f>
        <v/>
      </c>
    </row>
    <row r="225" ht="15" customHeight="1">
      <c r="A225" t="inlineStr">
        <is>
          <t>A 27573-2025</t>
        </is>
      </c>
      <c r="B225" s="1" t="n">
        <v>45813.49061342593</v>
      </c>
      <c r="C225" s="1" t="n">
        <v>46052</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58846-2024</t>
        </is>
      </c>
      <c r="B226" s="1" t="n">
        <v>45636.3863425926</v>
      </c>
      <c r="C226" s="1" t="n">
        <v>46052</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36854-2023</t>
        </is>
      </c>
      <c r="B227" s="1" t="n">
        <v>45153</v>
      </c>
      <c r="C227" s="1" t="n">
        <v>46052</v>
      </c>
      <c r="D227" t="inlineStr">
        <is>
          <t>JÄMTLANDS LÄN</t>
        </is>
      </c>
      <c r="E227" t="inlineStr">
        <is>
          <t>RAGUNDA</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HYPERLINK("https://klasma.github.io/Logging_2303/artfynd/A 36854-2023 artfynd.xlsx", "A 36854-2023")</f>
        <v/>
      </c>
      <c r="T227">
        <f>HYPERLINK("https://klasma.github.io/Logging_2303/kartor/A 36854-2023 karta.png", "A 36854-2023")</f>
        <v/>
      </c>
      <c r="V227">
        <f>HYPERLINK("https://klasma.github.io/Logging_2303/klagomål/A 36854-2023 FSC-klagomål.docx", "A 36854-2023")</f>
        <v/>
      </c>
      <c r="W227">
        <f>HYPERLINK("https://klasma.github.io/Logging_2303/klagomålsmail/A 36854-2023 FSC-klagomål mail.docx", "A 36854-2023")</f>
        <v/>
      </c>
      <c r="X227">
        <f>HYPERLINK("https://klasma.github.io/Logging_2303/tillsyn/A 36854-2023 tillsynsbegäran.docx", "A 36854-2023")</f>
        <v/>
      </c>
      <c r="Y227">
        <f>HYPERLINK("https://klasma.github.io/Logging_2303/tillsynsmail/A 36854-2023 tillsynsbegäran mail.docx", "A 36854-2023")</f>
        <v/>
      </c>
      <c r="Z227">
        <f>HYPERLINK("https://klasma.github.io/Logging_2303/fåglar/A 36854-2023 prioriterade fågelarter.docx", "A 36854-2023")</f>
        <v/>
      </c>
    </row>
    <row r="228" ht="15" customHeight="1">
      <c r="A228" t="inlineStr">
        <is>
          <t>A 30390-2025</t>
        </is>
      </c>
      <c r="B228" s="1" t="n">
        <v>45827.57371527778</v>
      </c>
      <c r="C228" s="1" t="n">
        <v>46052</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18985-2023</t>
        </is>
      </c>
      <c r="B229" s="1" t="n">
        <v>45044</v>
      </c>
      <c r="C229" s="1" t="n">
        <v>46052</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Doftskinn</t>
        </is>
      </c>
      <c r="S229">
        <f>HYPERLINK("https://klasma.github.io/Logging_2303/artfynd/A 18985-2023 artfynd.xlsx", "A 18985-2023")</f>
        <v/>
      </c>
      <c r="T229">
        <f>HYPERLINK("https://klasma.github.io/Logging_2303/kartor/A 18985-2023 karta.png", "A 18985-2023")</f>
        <v/>
      </c>
      <c r="V229">
        <f>HYPERLINK("https://klasma.github.io/Logging_2303/klagomål/A 18985-2023 FSC-klagomål.docx", "A 18985-2023")</f>
        <v/>
      </c>
      <c r="W229">
        <f>HYPERLINK("https://klasma.github.io/Logging_2303/klagomålsmail/A 18985-2023 FSC-klagomål mail.docx", "A 18985-2023")</f>
        <v/>
      </c>
      <c r="X229">
        <f>HYPERLINK("https://klasma.github.io/Logging_2303/tillsyn/A 18985-2023 tillsynsbegäran.docx", "A 18985-2023")</f>
        <v/>
      </c>
      <c r="Y229">
        <f>HYPERLINK("https://klasma.github.io/Logging_2303/tillsynsmail/A 18985-2023 tillsynsbegäran mail.docx", "A 18985-2023")</f>
        <v/>
      </c>
    </row>
    <row r="230" ht="15" customHeight="1">
      <c r="A230" t="inlineStr">
        <is>
          <t>A 22054-2025</t>
        </is>
      </c>
      <c r="B230" s="1" t="n">
        <v>45785.36525462963</v>
      </c>
      <c r="C230" s="1" t="n">
        <v>46052</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978-2024</t>
        </is>
      </c>
      <c r="B231" s="1" t="n">
        <v>45301</v>
      </c>
      <c r="C231" s="1" t="n">
        <v>46052</v>
      </c>
      <c r="D231" t="inlineStr">
        <is>
          <t>JÄMTLANDS LÄN</t>
        </is>
      </c>
      <c r="E231" t="inlineStr">
        <is>
          <t>RAGUNDA</t>
        </is>
      </c>
      <c r="G231" t="n">
        <v>3.1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978-2024 artfynd.xlsx", "A 978-2024")</f>
        <v/>
      </c>
      <c r="T231">
        <f>HYPERLINK("https://klasma.github.io/Logging_2303/kartor/A 978-2024 karta.png", "A 978-2024")</f>
        <v/>
      </c>
      <c r="V231">
        <f>HYPERLINK("https://klasma.github.io/Logging_2303/klagomål/A 978-2024 FSC-klagomål.docx", "A 978-2024")</f>
        <v/>
      </c>
      <c r="W231">
        <f>HYPERLINK("https://klasma.github.io/Logging_2303/klagomålsmail/A 978-2024 FSC-klagomål mail.docx", "A 978-2024")</f>
        <v/>
      </c>
      <c r="X231">
        <f>HYPERLINK("https://klasma.github.io/Logging_2303/tillsyn/A 978-2024 tillsynsbegäran.docx", "A 978-2024")</f>
        <v/>
      </c>
      <c r="Y231">
        <f>HYPERLINK("https://klasma.github.io/Logging_2303/tillsynsmail/A 978-2024 tillsynsbegäran mail.docx", "A 978-2024")</f>
        <v/>
      </c>
      <c r="Z231">
        <f>HYPERLINK("https://klasma.github.io/Logging_2303/fåglar/A 978-2024 prioriterade fågelarter.docx", "A 978-2024")</f>
        <v/>
      </c>
    </row>
    <row r="232" ht="15" customHeight="1">
      <c r="A232" t="inlineStr">
        <is>
          <t>A 1057-2024</t>
        </is>
      </c>
      <c r="B232" s="1" t="n">
        <v>45301</v>
      </c>
      <c r="C232" s="1" t="n">
        <v>46052</v>
      </c>
      <c r="D232" t="inlineStr">
        <is>
          <t>JÄMTLANDS LÄN</t>
        </is>
      </c>
      <c r="E232" t="inlineStr">
        <is>
          <t>RAGUNDA</t>
        </is>
      </c>
      <c r="F232" t="inlineStr">
        <is>
          <t>SCA</t>
        </is>
      </c>
      <c r="G232" t="n">
        <v>6.8</v>
      </c>
      <c r="H232" t="n">
        <v>0</v>
      </c>
      <c r="I232" t="n">
        <v>1</v>
      </c>
      <c r="J232" t="n">
        <v>0</v>
      </c>
      <c r="K232" t="n">
        <v>0</v>
      </c>
      <c r="L232" t="n">
        <v>0</v>
      </c>
      <c r="M232" t="n">
        <v>0</v>
      </c>
      <c r="N232" t="n">
        <v>0</v>
      </c>
      <c r="O232" t="n">
        <v>0</v>
      </c>
      <c r="P232" t="n">
        <v>0</v>
      </c>
      <c r="Q232" t="n">
        <v>1</v>
      </c>
      <c r="R232" s="2" t="inlineStr">
        <is>
          <t>Stor aspticka</t>
        </is>
      </c>
      <c r="S232">
        <f>HYPERLINK("https://klasma.github.io/Logging_2303/artfynd/A 1057-2024 artfynd.xlsx", "A 1057-2024")</f>
        <v/>
      </c>
      <c r="T232">
        <f>HYPERLINK("https://klasma.github.io/Logging_2303/kartor/A 1057-2024 karta.png", "A 1057-2024")</f>
        <v/>
      </c>
      <c r="V232">
        <f>HYPERLINK("https://klasma.github.io/Logging_2303/klagomål/A 1057-2024 FSC-klagomål.docx", "A 1057-2024")</f>
        <v/>
      </c>
      <c r="W232">
        <f>HYPERLINK("https://klasma.github.io/Logging_2303/klagomålsmail/A 1057-2024 FSC-klagomål mail.docx", "A 1057-2024")</f>
        <v/>
      </c>
      <c r="X232">
        <f>HYPERLINK("https://klasma.github.io/Logging_2303/tillsyn/A 1057-2024 tillsynsbegäran.docx", "A 1057-2024")</f>
        <v/>
      </c>
      <c r="Y232">
        <f>HYPERLINK("https://klasma.github.io/Logging_2303/tillsynsmail/A 1057-2024 tillsynsbegäran mail.docx", "A 1057-2024")</f>
        <v/>
      </c>
    </row>
    <row r="233" ht="15" customHeight="1">
      <c r="A233" t="inlineStr">
        <is>
          <t>A 35750-2023</t>
        </is>
      </c>
      <c r="B233" s="1" t="n">
        <v>45147</v>
      </c>
      <c r="C233" s="1" t="n">
        <v>46052</v>
      </c>
      <c r="D233" t="inlineStr">
        <is>
          <t>JÄMTLANDS LÄN</t>
        </is>
      </c>
      <c r="E233" t="inlineStr">
        <is>
          <t>RAGUNDA</t>
        </is>
      </c>
      <c r="F233" t="inlineStr">
        <is>
          <t>SCA</t>
        </is>
      </c>
      <c r="G233" t="n">
        <v>4.8</v>
      </c>
      <c r="H233" t="n">
        <v>0</v>
      </c>
      <c r="I233" t="n">
        <v>0</v>
      </c>
      <c r="J233" t="n">
        <v>1</v>
      </c>
      <c r="K233" t="n">
        <v>0</v>
      </c>
      <c r="L233" t="n">
        <v>0</v>
      </c>
      <c r="M233" t="n">
        <v>0</v>
      </c>
      <c r="N233" t="n">
        <v>0</v>
      </c>
      <c r="O233" t="n">
        <v>1</v>
      </c>
      <c r="P233" t="n">
        <v>0</v>
      </c>
      <c r="Q233" t="n">
        <v>1</v>
      </c>
      <c r="R233" s="2" t="inlineStr">
        <is>
          <t>Grantaggsvamp</t>
        </is>
      </c>
      <c r="S233">
        <f>HYPERLINK("https://klasma.github.io/Logging_2303/artfynd/A 35750-2023 artfynd.xlsx", "A 35750-2023")</f>
        <v/>
      </c>
      <c r="T233">
        <f>HYPERLINK("https://klasma.github.io/Logging_2303/kartor/A 35750-2023 karta.png", "A 35750-2023")</f>
        <v/>
      </c>
      <c r="V233">
        <f>HYPERLINK("https://klasma.github.io/Logging_2303/klagomål/A 35750-2023 FSC-klagomål.docx", "A 35750-2023")</f>
        <v/>
      </c>
      <c r="W233">
        <f>HYPERLINK("https://klasma.github.io/Logging_2303/klagomålsmail/A 35750-2023 FSC-klagomål mail.docx", "A 35750-2023")</f>
        <v/>
      </c>
      <c r="X233">
        <f>HYPERLINK("https://klasma.github.io/Logging_2303/tillsyn/A 35750-2023 tillsynsbegäran.docx", "A 35750-2023")</f>
        <v/>
      </c>
      <c r="Y233">
        <f>HYPERLINK("https://klasma.github.io/Logging_2303/tillsynsmail/A 35750-2023 tillsynsbegäran mail.docx", "A 35750-2023")</f>
        <v/>
      </c>
    </row>
    <row r="234" ht="15" customHeight="1">
      <c r="A234" t="inlineStr">
        <is>
          <t>A 32445-2025</t>
        </is>
      </c>
      <c r="B234" s="1" t="n">
        <v>45838.38627314815</v>
      </c>
      <c r="C234" s="1" t="n">
        <v>46052</v>
      </c>
      <c r="D234" t="inlineStr">
        <is>
          <t>JÄMTLANDS LÄN</t>
        </is>
      </c>
      <c r="E234" t="inlineStr">
        <is>
          <t>RAGUNDA</t>
        </is>
      </c>
      <c r="F234" t="inlineStr">
        <is>
          <t>SCA</t>
        </is>
      </c>
      <c r="G234" t="n">
        <v>1.6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32445-2025 artfynd.xlsx", "A 32445-2025")</f>
        <v/>
      </c>
      <c r="T234">
        <f>HYPERLINK("https://klasma.github.io/Logging_2303/kartor/A 32445-2025 karta.png", "A 32445-2025")</f>
        <v/>
      </c>
      <c r="V234">
        <f>HYPERLINK("https://klasma.github.io/Logging_2303/klagomål/A 32445-2025 FSC-klagomål.docx", "A 32445-2025")</f>
        <v/>
      </c>
      <c r="W234">
        <f>HYPERLINK("https://klasma.github.io/Logging_2303/klagomålsmail/A 32445-2025 FSC-klagomål mail.docx", "A 32445-2025")</f>
        <v/>
      </c>
      <c r="X234">
        <f>HYPERLINK("https://klasma.github.io/Logging_2303/tillsyn/A 32445-2025 tillsynsbegäran.docx", "A 32445-2025")</f>
        <v/>
      </c>
      <c r="Y234">
        <f>HYPERLINK("https://klasma.github.io/Logging_2303/tillsynsmail/A 32445-2025 tillsynsbegäran mail.docx", "A 32445-2025")</f>
        <v/>
      </c>
      <c r="Z234">
        <f>HYPERLINK("https://klasma.github.io/Logging_2303/fåglar/A 32445-2025 prioriterade fågelarter.docx", "A 32445-2025")</f>
        <v/>
      </c>
    </row>
    <row r="235" ht="15" customHeight="1">
      <c r="A235" t="inlineStr">
        <is>
          <t>A 31773-2021</t>
        </is>
      </c>
      <c r="B235" s="1" t="n">
        <v>44369</v>
      </c>
      <c r="C235" s="1" t="n">
        <v>46052</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34474-2025</t>
        </is>
      </c>
      <c r="B236" s="1" t="n">
        <v>45847.36528935185</v>
      </c>
      <c r="C236" s="1" t="n">
        <v>46052</v>
      </c>
      <c r="D236" t="inlineStr">
        <is>
          <t>JÄMTLANDS LÄN</t>
        </is>
      </c>
      <c r="E236" t="inlineStr">
        <is>
          <t>RAGUNDA</t>
        </is>
      </c>
      <c r="F236" t="inlineStr">
        <is>
          <t>SCA</t>
        </is>
      </c>
      <c r="G236" t="n">
        <v>9.699999999999999</v>
      </c>
      <c r="H236" t="n">
        <v>1</v>
      </c>
      <c r="I236" t="n">
        <v>0</v>
      </c>
      <c r="J236" t="n">
        <v>1</v>
      </c>
      <c r="K236" t="n">
        <v>0</v>
      </c>
      <c r="L236" t="n">
        <v>0</v>
      </c>
      <c r="M236" t="n">
        <v>0</v>
      </c>
      <c r="N236" t="n">
        <v>0</v>
      </c>
      <c r="O236" t="n">
        <v>1</v>
      </c>
      <c r="P236" t="n">
        <v>0</v>
      </c>
      <c r="Q236" t="n">
        <v>1</v>
      </c>
      <c r="R236" s="2" t="inlineStr">
        <is>
          <t>Fjällvråk</t>
        </is>
      </c>
      <c r="S236">
        <f>HYPERLINK("https://klasma.github.io/Logging_2303/artfynd/A 34474-2025 artfynd.xlsx", "A 34474-2025")</f>
        <v/>
      </c>
      <c r="T236">
        <f>HYPERLINK("https://klasma.github.io/Logging_2303/kartor/A 34474-2025 karta.png", "A 34474-2025")</f>
        <v/>
      </c>
      <c r="V236">
        <f>HYPERLINK("https://klasma.github.io/Logging_2303/klagomål/A 34474-2025 FSC-klagomål.docx", "A 34474-2025")</f>
        <v/>
      </c>
      <c r="W236">
        <f>HYPERLINK("https://klasma.github.io/Logging_2303/klagomålsmail/A 34474-2025 FSC-klagomål mail.docx", "A 34474-2025")</f>
        <v/>
      </c>
      <c r="X236">
        <f>HYPERLINK("https://klasma.github.io/Logging_2303/tillsyn/A 34474-2025 tillsynsbegäran.docx", "A 34474-2025")</f>
        <v/>
      </c>
      <c r="Y236">
        <f>HYPERLINK("https://klasma.github.io/Logging_2303/tillsynsmail/A 34474-2025 tillsynsbegäran mail.docx", "A 34474-2025")</f>
        <v/>
      </c>
      <c r="Z236">
        <f>HYPERLINK("https://klasma.github.io/Logging_2303/fåglar/A 34474-2025 prioriterade fågelarter.docx", "A 34474-2025")</f>
        <v/>
      </c>
    </row>
    <row r="237" ht="15" customHeight="1">
      <c r="A237" t="inlineStr">
        <is>
          <t>A 26317-2024</t>
        </is>
      </c>
      <c r="B237" s="1" t="n">
        <v>45468</v>
      </c>
      <c r="C237" s="1" t="n">
        <v>46052</v>
      </c>
      <c r="D237" t="inlineStr">
        <is>
          <t>JÄMTLANDS LÄN</t>
        </is>
      </c>
      <c r="E237" t="inlineStr">
        <is>
          <t>RAGUNDA</t>
        </is>
      </c>
      <c r="F237" t="inlineStr">
        <is>
          <t>SCA</t>
        </is>
      </c>
      <c r="G237" t="n">
        <v>3.8</v>
      </c>
      <c r="H237" t="n">
        <v>0</v>
      </c>
      <c r="I237" t="n">
        <v>0</v>
      </c>
      <c r="J237" t="n">
        <v>1</v>
      </c>
      <c r="K237" t="n">
        <v>0</v>
      </c>
      <c r="L237" t="n">
        <v>0</v>
      </c>
      <c r="M237" t="n">
        <v>0</v>
      </c>
      <c r="N237" t="n">
        <v>0</v>
      </c>
      <c r="O237" t="n">
        <v>1</v>
      </c>
      <c r="P237" t="n">
        <v>0</v>
      </c>
      <c r="Q237" t="n">
        <v>1</v>
      </c>
      <c r="R237" s="2" t="inlineStr">
        <is>
          <t>Kortskaftad ärgspik</t>
        </is>
      </c>
      <c r="S237">
        <f>HYPERLINK("https://klasma.github.io/Logging_2303/artfynd/A 26317-2024 artfynd.xlsx", "A 26317-2024")</f>
        <v/>
      </c>
      <c r="T237">
        <f>HYPERLINK("https://klasma.github.io/Logging_2303/kartor/A 26317-2024 karta.png", "A 26317-2024")</f>
        <v/>
      </c>
      <c r="V237">
        <f>HYPERLINK("https://klasma.github.io/Logging_2303/klagomål/A 26317-2024 FSC-klagomål.docx", "A 26317-2024")</f>
        <v/>
      </c>
      <c r="W237">
        <f>HYPERLINK("https://klasma.github.io/Logging_2303/klagomålsmail/A 26317-2024 FSC-klagomål mail.docx", "A 26317-2024")</f>
        <v/>
      </c>
      <c r="X237">
        <f>HYPERLINK("https://klasma.github.io/Logging_2303/tillsyn/A 26317-2024 tillsynsbegäran.docx", "A 26317-2024")</f>
        <v/>
      </c>
      <c r="Y237">
        <f>HYPERLINK("https://klasma.github.io/Logging_2303/tillsynsmail/A 26317-2024 tillsynsbegäran mail.docx", "A 26317-2024")</f>
        <v/>
      </c>
    </row>
    <row r="238" ht="15" customHeight="1">
      <c r="A238" t="inlineStr">
        <is>
          <t>A 40841-2025</t>
        </is>
      </c>
      <c r="B238" s="1" t="n">
        <v>45897.531875</v>
      </c>
      <c r="C238" s="1" t="n">
        <v>46052</v>
      </c>
      <c r="D238" t="inlineStr">
        <is>
          <t>JÄMTLANDS LÄN</t>
        </is>
      </c>
      <c r="E238" t="inlineStr">
        <is>
          <t>RAGUNDA</t>
        </is>
      </c>
      <c r="F238" t="inlineStr">
        <is>
          <t>SCA</t>
        </is>
      </c>
      <c r="G238" t="n">
        <v>1.1</v>
      </c>
      <c r="H238" t="n">
        <v>0</v>
      </c>
      <c r="I238" t="n">
        <v>0</v>
      </c>
      <c r="J238" t="n">
        <v>1</v>
      </c>
      <c r="K238" t="n">
        <v>0</v>
      </c>
      <c r="L238" t="n">
        <v>0</v>
      </c>
      <c r="M238" t="n">
        <v>0</v>
      </c>
      <c r="N238" t="n">
        <v>0</v>
      </c>
      <c r="O238" t="n">
        <v>1</v>
      </c>
      <c r="P238" t="n">
        <v>0</v>
      </c>
      <c r="Q238" t="n">
        <v>1</v>
      </c>
      <c r="R238" s="2" t="inlineStr">
        <is>
          <t>Garnlav</t>
        </is>
      </c>
      <c r="S238">
        <f>HYPERLINK("https://klasma.github.io/Logging_2303/artfynd/A 40841-2025 artfynd.xlsx", "A 40841-2025")</f>
        <v/>
      </c>
      <c r="T238">
        <f>HYPERLINK("https://klasma.github.io/Logging_2303/kartor/A 40841-2025 karta.png", "A 40841-2025")</f>
        <v/>
      </c>
      <c r="V238">
        <f>HYPERLINK("https://klasma.github.io/Logging_2303/klagomål/A 40841-2025 FSC-klagomål.docx", "A 40841-2025")</f>
        <v/>
      </c>
      <c r="W238">
        <f>HYPERLINK("https://klasma.github.io/Logging_2303/klagomålsmail/A 40841-2025 FSC-klagomål mail.docx", "A 40841-2025")</f>
        <v/>
      </c>
      <c r="X238">
        <f>HYPERLINK("https://klasma.github.io/Logging_2303/tillsyn/A 40841-2025 tillsynsbegäran.docx", "A 40841-2025")</f>
        <v/>
      </c>
      <c r="Y238">
        <f>HYPERLINK("https://klasma.github.io/Logging_2303/tillsynsmail/A 40841-2025 tillsynsbegäran mail.docx", "A 40841-2025")</f>
        <v/>
      </c>
    </row>
    <row r="239" ht="15" customHeight="1">
      <c r="A239" t="inlineStr">
        <is>
          <t>A 49091-2022</t>
        </is>
      </c>
      <c r="B239" s="1" t="n">
        <v>44860</v>
      </c>
      <c r="C239" s="1" t="n">
        <v>46052</v>
      </c>
      <c r="D239" t="inlineStr">
        <is>
          <t>JÄMTLANDS LÄN</t>
        </is>
      </c>
      <c r="E239" t="inlineStr">
        <is>
          <t>RAGUNDA</t>
        </is>
      </c>
      <c r="G239" t="n">
        <v>3.5</v>
      </c>
      <c r="H239" t="n">
        <v>1</v>
      </c>
      <c r="I239" t="n">
        <v>0</v>
      </c>
      <c r="J239" t="n">
        <v>0</v>
      </c>
      <c r="K239" t="n">
        <v>1</v>
      </c>
      <c r="L239" t="n">
        <v>0</v>
      </c>
      <c r="M239" t="n">
        <v>0</v>
      </c>
      <c r="N239" t="n">
        <v>0</v>
      </c>
      <c r="O239" t="n">
        <v>1</v>
      </c>
      <c r="P239" t="n">
        <v>1</v>
      </c>
      <c r="Q239" t="n">
        <v>1</v>
      </c>
      <c r="R239" s="2" t="inlineStr">
        <is>
          <t>Doftticka</t>
        </is>
      </c>
      <c r="S239">
        <f>HYPERLINK("https://klasma.github.io/Logging_2303/artfynd/A 49091-2022 artfynd.xlsx", "A 49091-2022")</f>
        <v/>
      </c>
      <c r="T239">
        <f>HYPERLINK("https://klasma.github.io/Logging_2303/kartor/A 49091-2022 karta.png", "A 49091-2022")</f>
        <v/>
      </c>
      <c r="V239">
        <f>HYPERLINK("https://klasma.github.io/Logging_2303/klagomål/A 49091-2022 FSC-klagomål.docx", "A 49091-2022")</f>
        <v/>
      </c>
      <c r="W239">
        <f>HYPERLINK("https://klasma.github.io/Logging_2303/klagomålsmail/A 49091-2022 FSC-klagomål mail.docx", "A 49091-2022")</f>
        <v/>
      </c>
      <c r="X239">
        <f>HYPERLINK("https://klasma.github.io/Logging_2303/tillsyn/A 49091-2022 tillsynsbegäran.docx", "A 49091-2022")</f>
        <v/>
      </c>
      <c r="Y239">
        <f>HYPERLINK("https://klasma.github.io/Logging_2303/tillsynsmail/A 49091-2022 tillsynsbegäran mail.docx", "A 49091-2022")</f>
        <v/>
      </c>
    </row>
    <row r="240" ht="15" customHeight="1">
      <c r="A240" t="inlineStr">
        <is>
          <t>A 48429-2023</t>
        </is>
      </c>
      <c r="B240" s="1" t="n">
        <v>45205</v>
      </c>
      <c r="C240" s="1" t="n">
        <v>46052</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48429-2023 artfynd.xlsx", "A 48429-2023")</f>
        <v/>
      </c>
      <c r="T240">
        <f>HYPERLINK("https://klasma.github.io/Logging_2303/kartor/A 48429-2023 karta.png", "A 48429-2023")</f>
        <v/>
      </c>
      <c r="V240">
        <f>HYPERLINK("https://klasma.github.io/Logging_2303/klagomål/A 48429-2023 FSC-klagomål.docx", "A 48429-2023")</f>
        <v/>
      </c>
      <c r="W240">
        <f>HYPERLINK("https://klasma.github.io/Logging_2303/klagomålsmail/A 48429-2023 FSC-klagomål mail.docx", "A 48429-2023")</f>
        <v/>
      </c>
      <c r="X240">
        <f>HYPERLINK("https://klasma.github.io/Logging_2303/tillsyn/A 48429-2023 tillsynsbegäran.docx", "A 48429-2023")</f>
        <v/>
      </c>
      <c r="Y240">
        <f>HYPERLINK("https://klasma.github.io/Logging_2303/tillsynsmail/A 48429-2023 tillsynsbegäran mail.docx", "A 48429-2023")</f>
        <v/>
      </c>
    </row>
    <row r="241" ht="15" customHeight="1">
      <c r="A241" t="inlineStr">
        <is>
          <t>A 43526-2025</t>
        </is>
      </c>
      <c r="B241" s="1" t="n">
        <v>45911</v>
      </c>
      <c r="C241" s="1" t="n">
        <v>46052</v>
      </c>
      <c r="D241" t="inlineStr">
        <is>
          <t>JÄMTLANDS LÄN</t>
        </is>
      </c>
      <c r="E241" t="inlineStr">
        <is>
          <t>RAGUNDA</t>
        </is>
      </c>
      <c r="G241" t="n">
        <v>5.5</v>
      </c>
      <c r="H241" t="n">
        <v>0</v>
      </c>
      <c r="I241" t="n">
        <v>0</v>
      </c>
      <c r="J241" t="n">
        <v>1</v>
      </c>
      <c r="K241" t="n">
        <v>0</v>
      </c>
      <c r="L241" t="n">
        <v>0</v>
      </c>
      <c r="M241" t="n">
        <v>0</v>
      </c>
      <c r="N241" t="n">
        <v>0</v>
      </c>
      <c r="O241" t="n">
        <v>1</v>
      </c>
      <c r="P241" t="n">
        <v>0</v>
      </c>
      <c r="Q241" t="n">
        <v>1</v>
      </c>
      <c r="R241" s="2" t="inlineStr">
        <is>
          <t>Lunglav</t>
        </is>
      </c>
      <c r="S241">
        <f>HYPERLINK("https://klasma.github.io/Logging_2303/artfynd/A 43526-2025 artfynd.xlsx", "A 43526-2025")</f>
        <v/>
      </c>
      <c r="T241">
        <f>HYPERLINK("https://klasma.github.io/Logging_2303/kartor/A 43526-2025 karta.png", "A 43526-2025")</f>
        <v/>
      </c>
      <c r="V241">
        <f>HYPERLINK("https://klasma.github.io/Logging_2303/klagomål/A 43526-2025 FSC-klagomål.docx", "A 43526-2025")</f>
        <v/>
      </c>
      <c r="W241">
        <f>HYPERLINK("https://klasma.github.io/Logging_2303/klagomålsmail/A 43526-2025 FSC-klagomål mail.docx", "A 43526-2025")</f>
        <v/>
      </c>
      <c r="X241">
        <f>HYPERLINK("https://klasma.github.io/Logging_2303/tillsyn/A 43526-2025 tillsynsbegäran.docx", "A 43526-2025")</f>
        <v/>
      </c>
      <c r="Y241">
        <f>HYPERLINK("https://klasma.github.io/Logging_2303/tillsynsmail/A 43526-2025 tillsynsbegäran mail.docx", "A 43526-2025")</f>
        <v/>
      </c>
    </row>
    <row r="242" ht="15" customHeight="1">
      <c r="A242" t="inlineStr">
        <is>
          <t>A 62072-2023</t>
        </is>
      </c>
      <c r="B242" s="1" t="n">
        <v>45266</v>
      </c>
      <c r="C242" s="1" t="n">
        <v>46052</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17340-2023</t>
        </is>
      </c>
      <c r="B243" s="1" t="n">
        <v>45033</v>
      </c>
      <c r="C243" s="1" t="n">
        <v>46052</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26322-2024</t>
        </is>
      </c>
      <c r="B244" s="1" t="n">
        <v>45468.97461805555</v>
      </c>
      <c r="C244" s="1" t="n">
        <v>46052</v>
      </c>
      <c r="D244" t="inlineStr">
        <is>
          <t>JÄMTLANDS LÄN</t>
        </is>
      </c>
      <c r="E244" t="inlineStr">
        <is>
          <t>RAGUNDA</t>
        </is>
      </c>
      <c r="F244" t="inlineStr">
        <is>
          <t>SCA</t>
        </is>
      </c>
      <c r="G244" t="n">
        <v>9.6</v>
      </c>
      <c r="H244" t="n">
        <v>0</v>
      </c>
      <c r="I244" t="n">
        <v>0</v>
      </c>
      <c r="J244" t="n">
        <v>1</v>
      </c>
      <c r="K244" t="n">
        <v>0</v>
      </c>
      <c r="L244" t="n">
        <v>0</v>
      </c>
      <c r="M244" t="n">
        <v>0</v>
      </c>
      <c r="N244" t="n">
        <v>0</v>
      </c>
      <c r="O244" t="n">
        <v>1</v>
      </c>
      <c r="P244" t="n">
        <v>0</v>
      </c>
      <c r="Q244" t="n">
        <v>1</v>
      </c>
      <c r="R244" s="2" t="inlineStr">
        <is>
          <t>Rosenticka</t>
        </is>
      </c>
      <c r="S244">
        <f>HYPERLINK("https://klasma.github.io/Logging_2303/artfynd/A 26322-2024 artfynd.xlsx", "A 26322-2024")</f>
        <v/>
      </c>
      <c r="T244">
        <f>HYPERLINK("https://klasma.github.io/Logging_2303/kartor/A 26322-2024 karta.png", "A 26322-2024")</f>
        <v/>
      </c>
      <c r="U244">
        <f>HYPERLINK("https://klasma.github.io/Logging_2303/knärot/A 26322-2024 karta knärot.png", "A 26322-2024")</f>
        <v/>
      </c>
      <c r="V244">
        <f>HYPERLINK("https://klasma.github.io/Logging_2303/klagomål/A 26322-2024 FSC-klagomål.docx", "A 26322-2024")</f>
        <v/>
      </c>
      <c r="W244">
        <f>HYPERLINK("https://klasma.github.io/Logging_2303/klagomålsmail/A 26322-2024 FSC-klagomål mail.docx", "A 26322-2024")</f>
        <v/>
      </c>
      <c r="X244">
        <f>HYPERLINK("https://klasma.github.io/Logging_2303/tillsyn/A 26322-2024 tillsynsbegäran.docx", "A 26322-2024")</f>
        <v/>
      </c>
      <c r="Y244">
        <f>HYPERLINK("https://klasma.github.io/Logging_2303/tillsynsmail/A 26322-2024 tillsynsbegäran mail.docx", "A 26322-2024")</f>
        <v/>
      </c>
    </row>
    <row r="245" ht="15" customHeight="1">
      <c r="A245" t="inlineStr">
        <is>
          <t>A 48477-2023</t>
        </is>
      </c>
      <c r="B245" s="1" t="n">
        <v>45206</v>
      </c>
      <c r="C245" s="1" t="n">
        <v>46052</v>
      </c>
      <c r="D245" t="inlineStr">
        <is>
          <t>JÄMTLANDS LÄN</t>
        </is>
      </c>
      <c r="E245" t="inlineStr">
        <is>
          <t>RAGUNDA</t>
        </is>
      </c>
      <c r="F245" t="inlineStr">
        <is>
          <t>SCA</t>
        </is>
      </c>
      <c r="G245" t="n">
        <v>1.8</v>
      </c>
      <c r="H245" t="n">
        <v>0</v>
      </c>
      <c r="I245" t="n">
        <v>1</v>
      </c>
      <c r="J245" t="n">
        <v>0</v>
      </c>
      <c r="K245" t="n">
        <v>0</v>
      </c>
      <c r="L245" t="n">
        <v>0</v>
      </c>
      <c r="M245" t="n">
        <v>0</v>
      </c>
      <c r="N245" t="n">
        <v>0</v>
      </c>
      <c r="O245" t="n">
        <v>0</v>
      </c>
      <c r="P245" t="n">
        <v>0</v>
      </c>
      <c r="Q245" t="n">
        <v>1</v>
      </c>
      <c r="R245" s="2" t="inlineStr">
        <is>
          <t>Dropptaggsvamp</t>
        </is>
      </c>
      <c r="S245">
        <f>HYPERLINK("https://klasma.github.io/Logging_2303/artfynd/A 48477-2023 artfynd.xlsx", "A 48477-2023")</f>
        <v/>
      </c>
      <c r="T245">
        <f>HYPERLINK("https://klasma.github.io/Logging_2303/kartor/A 48477-2023 karta.png", "A 48477-2023")</f>
        <v/>
      </c>
      <c r="V245">
        <f>HYPERLINK("https://klasma.github.io/Logging_2303/klagomål/A 48477-2023 FSC-klagomål.docx", "A 48477-2023")</f>
        <v/>
      </c>
      <c r="W245">
        <f>HYPERLINK("https://klasma.github.io/Logging_2303/klagomålsmail/A 48477-2023 FSC-klagomål mail.docx", "A 48477-2023")</f>
        <v/>
      </c>
      <c r="X245">
        <f>HYPERLINK("https://klasma.github.io/Logging_2303/tillsyn/A 48477-2023 tillsynsbegäran.docx", "A 48477-2023")</f>
        <v/>
      </c>
      <c r="Y245">
        <f>HYPERLINK("https://klasma.github.io/Logging_2303/tillsynsmail/A 48477-2023 tillsynsbegäran mail.docx", "A 48477-2023")</f>
        <v/>
      </c>
    </row>
    <row r="246" ht="15" customHeight="1">
      <c r="A246" t="inlineStr">
        <is>
          <t>A 16724-2025</t>
        </is>
      </c>
      <c r="B246" s="1" t="n">
        <v>45754.51064814815</v>
      </c>
      <c r="C246" s="1" t="n">
        <v>46052</v>
      </c>
      <c r="D246" t="inlineStr">
        <is>
          <t>JÄMTLANDS LÄN</t>
        </is>
      </c>
      <c r="E246" t="inlineStr">
        <is>
          <t>RAGUNDA</t>
        </is>
      </c>
      <c r="G246" t="n">
        <v>3.5</v>
      </c>
      <c r="H246" t="n">
        <v>0</v>
      </c>
      <c r="I246" t="n">
        <v>0</v>
      </c>
      <c r="J246" t="n">
        <v>1</v>
      </c>
      <c r="K246" t="n">
        <v>0</v>
      </c>
      <c r="L246" t="n">
        <v>0</v>
      </c>
      <c r="M246" t="n">
        <v>0</v>
      </c>
      <c r="N246" t="n">
        <v>0</v>
      </c>
      <c r="O246" t="n">
        <v>1</v>
      </c>
      <c r="P246" t="n">
        <v>0</v>
      </c>
      <c r="Q246" t="n">
        <v>1</v>
      </c>
      <c r="R246" s="2" t="inlineStr">
        <is>
          <t>Kolflarnlav</t>
        </is>
      </c>
      <c r="S246">
        <f>HYPERLINK("https://klasma.github.io/Logging_2303/artfynd/A 16724-2025 artfynd.xlsx", "A 16724-2025")</f>
        <v/>
      </c>
      <c r="T246">
        <f>HYPERLINK("https://klasma.github.io/Logging_2303/kartor/A 16724-2025 karta.png", "A 16724-2025")</f>
        <v/>
      </c>
      <c r="V246">
        <f>HYPERLINK("https://klasma.github.io/Logging_2303/klagomål/A 16724-2025 FSC-klagomål.docx", "A 16724-2025")</f>
        <v/>
      </c>
      <c r="W246">
        <f>HYPERLINK("https://klasma.github.io/Logging_2303/klagomålsmail/A 16724-2025 FSC-klagomål mail.docx", "A 16724-2025")</f>
        <v/>
      </c>
      <c r="X246">
        <f>HYPERLINK("https://klasma.github.io/Logging_2303/tillsyn/A 16724-2025 tillsynsbegäran.docx", "A 16724-2025")</f>
        <v/>
      </c>
      <c r="Y246">
        <f>HYPERLINK("https://klasma.github.io/Logging_2303/tillsynsmail/A 16724-2025 tillsynsbegäran mail.docx", "A 16724-2025")</f>
        <v/>
      </c>
    </row>
    <row r="247" ht="15" customHeight="1">
      <c r="A247" t="inlineStr">
        <is>
          <t>A 49770-2024</t>
        </is>
      </c>
      <c r="B247" s="1" t="n">
        <v>45597.34461805555</v>
      </c>
      <c r="C247" s="1" t="n">
        <v>46052</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20774-2024</t>
        </is>
      </c>
      <c r="B248" s="1" t="n">
        <v>45436.94644675926</v>
      </c>
      <c r="C248" s="1" t="n">
        <v>46052</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49053-2025</t>
        </is>
      </c>
      <c r="B249" s="1" t="n">
        <v>45937.64009259259</v>
      </c>
      <c r="C249" s="1" t="n">
        <v>46052</v>
      </c>
      <c r="D249" t="inlineStr">
        <is>
          <t>JÄMTLANDS LÄN</t>
        </is>
      </c>
      <c r="E249" t="inlineStr">
        <is>
          <t>RAGUNDA</t>
        </is>
      </c>
      <c r="F249" t="inlineStr">
        <is>
          <t>SCA</t>
        </is>
      </c>
      <c r="G249" t="n">
        <v>7</v>
      </c>
      <c r="H249" t="n">
        <v>1</v>
      </c>
      <c r="I249" t="n">
        <v>1</v>
      </c>
      <c r="J249" t="n">
        <v>0</v>
      </c>
      <c r="K249" t="n">
        <v>0</v>
      </c>
      <c r="L249" t="n">
        <v>0</v>
      </c>
      <c r="M249" t="n">
        <v>0</v>
      </c>
      <c r="N249" t="n">
        <v>0</v>
      </c>
      <c r="O249" t="n">
        <v>0</v>
      </c>
      <c r="P249" t="n">
        <v>0</v>
      </c>
      <c r="Q249" t="n">
        <v>1</v>
      </c>
      <c r="R249" s="2" t="inlineStr">
        <is>
          <t>Guckusko</t>
        </is>
      </c>
      <c r="S249">
        <f>HYPERLINK("https://klasma.github.io/Logging_2303/artfynd/A 49053-2025 artfynd.xlsx", "A 49053-2025")</f>
        <v/>
      </c>
      <c r="T249">
        <f>HYPERLINK("https://klasma.github.io/Logging_2303/kartor/A 49053-2025 karta.png", "A 49053-2025")</f>
        <v/>
      </c>
      <c r="V249">
        <f>HYPERLINK("https://klasma.github.io/Logging_2303/klagomål/A 49053-2025 FSC-klagomål.docx", "A 49053-2025")</f>
        <v/>
      </c>
      <c r="W249">
        <f>HYPERLINK("https://klasma.github.io/Logging_2303/klagomålsmail/A 49053-2025 FSC-klagomål mail.docx", "A 49053-2025")</f>
        <v/>
      </c>
      <c r="X249">
        <f>HYPERLINK("https://klasma.github.io/Logging_2303/tillsyn/A 49053-2025 tillsynsbegäran.docx", "A 49053-2025")</f>
        <v/>
      </c>
      <c r="Y249">
        <f>HYPERLINK("https://klasma.github.io/Logging_2303/tillsynsmail/A 49053-2025 tillsynsbegäran mail.docx", "A 49053-2025")</f>
        <v/>
      </c>
    </row>
    <row r="250" ht="15" customHeight="1">
      <c r="A250" t="inlineStr">
        <is>
          <t>A 51912-2025</t>
        </is>
      </c>
      <c r="B250" s="1" t="n">
        <v>45952.46939814815</v>
      </c>
      <c r="C250" s="1" t="n">
        <v>46052</v>
      </c>
      <c r="D250" t="inlineStr">
        <is>
          <t>JÄMTLANDS LÄN</t>
        </is>
      </c>
      <c r="E250" t="inlineStr">
        <is>
          <t>RAGUNDA</t>
        </is>
      </c>
      <c r="F250" t="inlineStr">
        <is>
          <t>SCA</t>
        </is>
      </c>
      <c r="G250" t="n">
        <v>24.2</v>
      </c>
      <c r="H250" t="n">
        <v>1</v>
      </c>
      <c r="I250" t="n">
        <v>0</v>
      </c>
      <c r="J250" t="n">
        <v>0</v>
      </c>
      <c r="K250" t="n">
        <v>1</v>
      </c>
      <c r="L250" t="n">
        <v>0</v>
      </c>
      <c r="M250" t="n">
        <v>0</v>
      </c>
      <c r="N250" t="n">
        <v>0</v>
      </c>
      <c r="O250" t="n">
        <v>1</v>
      </c>
      <c r="P250" t="n">
        <v>1</v>
      </c>
      <c r="Q250" t="n">
        <v>1</v>
      </c>
      <c r="R250" s="2" t="inlineStr">
        <is>
          <t>Norna</t>
        </is>
      </c>
      <c r="S250">
        <f>HYPERLINK("https://klasma.github.io/Logging_2303/artfynd/A 51912-2025 artfynd.xlsx", "A 51912-2025")</f>
        <v/>
      </c>
      <c r="T250">
        <f>HYPERLINK("https://klasma.github.io/Logging_2303/kartor/A 51912-2025 karta.png", "A 51912-2025")</f>
        <v/>
      </c>
      <c r="V250">
        <f>HYPERLINK("https://klasma.github.io/Logging_2303/klagomål/A 51912-2025 FSC-klagomål.docx", "A 51912-2025")</f>
        <v/>
      </c>
      <c r="W250">
        <f>HYPERLINK("https://klasma.github.io/Logging_2303/klagomålsmail/A 51912-2025 FSC-klagomål mail.docx", "A 51912-2025")</f>
        <v/>
      </c>
      <c r="X250">
        <f>HYPERLINK("https://klasma.github.io/Logging_2303/tillsyn/A 51912-2025 tillsynsbegäran.docx", "A 51912-2025")</f>
        <v/>
      </c>
      <c r="Y250">
        <f>HYPERLINK("https://klasma.github.io/Logging_2303/tillsynsmail/A 51912-2025 tillsynsbegäran mail.docx", "A 51912-2025")</f>
        <v/>
      </c>
    </row>
    <row r="251" ht="15" customHeight="1">
      <c r="A251" t="inlineStr">
        <is>
          <t>A 50164-2023</t>
        </is>
      </c>
      <c r="B251" s="1" t="n">
        <v>45208</v>
      </c>
      <c r="C251" s="1" t="n">
        <v>46052</v>
      </c>
      <c r="D251" t="inlineStr">
        <is>
          <t>JÄMTLANDS LÄN</t>
        </is>
      </c>
      <c r="E251" t="inlineStr">
        <is>
          <t>RAGUNDA</t>
        </is>
      </c>
      <c r="G251" t="n">
        <v>2.9</v>
      </c>
      <c r="H251" t="n">
        <v>0</v>
      </c>
      <c r="I251" t="n">
        <v>0</v>
      </c>
      <c r="J251" t="n">
        <v>0</v>
      </c>
      <c r="K251" t="n">
        <v>1</v>
      </c>
      <c r="L251" t="n">
        <v>0</v>
      </c>
      <c r="M251" t="n">
        <v>0</v>
      </c>
      <c r="N251" t="n">
        <v>0</v>
      </c>
      <c r="O251" t="n">
        <v>1</v>
      </c>
      <c r="P251" t="n">
        <v>1</v>
      </c>
      <c r="Q251" t="n">
        <v>1</v>
      </c>
      <c r="R251" s="2" t="inlineStr">
        <is>
          <t>Mindre barkplattbagge</t>
        </is>
      </c>
      <c r="S251">
        <f>HYPERLINK("https://klasma.github.io/Logging_2303/artfynd/A 50164-2023 artfynd.xlsx", "A 50164-2023")</f>
        <v/>
      </c>
      <c r="T251">
        <f>HYPERLINK("https://klasma.github.io/Logging_2303/kartor/A 50164-2023 karta.png", "A 50164-2023")</f>
        <v/>
      </c>
      <c r="V251">
        <f>HYPERLINK("https://klasma.github.io/Logging_2303/klagomål/A 50164-2023 FSC-klagomål.docx", "A 50164-2023")</f>
        <v/>
      </c>
      <c r="W251">
        <f>HYPERLINK("https://klasma.github.io/Logging_2303/klagomålsmail/A 50164-2023 FSC-klagomål mail.docx", "A 50164-2023")</f>
        <v/>
      </c>
      <c r="X251">
        <f>HYPERLINK("https://klasma.github.io/Logging_2303/tillsyn/A 50164-2023 tillsynsbegäran.docx", "A 50164-2023")</f>
        <v/>
      </c>
      <c r="Y251">
        <f>HYPERLINK("https://klasma.github.io/Logging_2303/tillsynsmail/A 50164-2023 tillsynsbegäran mail.docx", "A 50164-2023")</f>
        <v/>
      </c>
    </row>
    <row r="252" ht="15" customHeight="1">
      <c r="A252" t="inlineStr">
        <is>
          <t>A 55756-2025</t>
        </is>
      </c>
      <c r="B252" s="1" t="n">
        <v>45972.59438657408</v>
      </c>
      <c r="C252" s="1" t="n">
        <v>46052</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HYPERLINK("https://klasma.github.io/Logging_2303/artfynd/A 55756-2025 artfynd.xlsx", "A 55756-2025")</f>
        <v/>
      </c>
      <c r="T252">
        <f>HYPERLINK("https://klasma.github.io/Logging_2303/kartor/A 55756-2025 karta.png", "A 55756-2025")</f>
        <v/>
      </c>
      <c r="V252">
        <f>HYPERLINK("https://klasma.github.io/Logging_2303/klagomål/A 55756-2025 FSC-klagomål.docx", "A 55756-2025")</f>
        <v/>
      </c>
      <c r="W252">
        <f>HYPERLINK("https://klasma.github.io/Logging_2303/klagomålsmail/A 55756-2025 FSC-klagomål mail.docx", "A 55756-2025")</f>
        <v/>
      </c>
      <c r="X252">
        <f>HYPERLINK("https://klasma.github.io/Logging_2303/tillsyn/A 55756-2025 tillsynsbegäran.docx", "A 55756-2025")</f>
        <v/>
      </c>
      <c r="Y252">
        <f>HYPERLINK("https://klasma.github.io/Logging_2303/tillsynsmail/A 55756-2025 tillsynsbegäran mail.docx", "A 55756-2025")</f>
        <v/>
      </c>
    </row>
    <row r="253" ht="15" customHeight="1">
      <c r="A253" t="inlineStr">
        <is>
          <t>A 56599-2025</t>
        </is>
      </c>
      <c r="B253" s="1" t="n">
        <v>45975.5734837963</v>
      </c>
      <c r="C253" s="1" t="n">
        <v>46052</v>
      </c>
      <c r="D253" t="inlineStr">
        <is>
          <t>JÄMTLANDS LÄN</t>
        </is>
      </c>
      <c r="E253" t="inlineStr">
        <is>
          <t>RAGUNDA</t>
        </is>
      </c>
      <c r="F253" t="inlineStr">
        <is>
          <t>SCA</t>
        </is>
      </c>
      <c r="G253" t="n">
        <v>2.4</v>
      </c>
      <c r="H253" t="n">
        <v>0</v>
      </c>
      <c r="I253" t="n">
        <v>0</v>
      </c>
      <c r="J253" t="n">
        <v>1</v>
      </c>
      <c r="K253" t="n">
        <v>0</v>
      </c>
      <c r="L253" t="n">
        <v>0</v>
      </c>
      <c r="M253" t="n">
        <v>0</v>
      </c>
      <c r="N253" t="n">
        <v>0</v>
      </c>
      <c r="O253" t="n">
        <v>1</v>
      </c>
      <c r="P253" t="n">
        <v>0</v>
      </c>
      <c r="Q253" t="n">
        <v>1</v>
      </c>
      <c r="R253" s="2" t="inlineStr">
        <is>
          <t>Lunglav</t>
        </is>
      </c>
      <c r="S253">
        <f>HYPERLINK("https://klasma.github.io/Logging_2303/artfynd/A 56599-2025 artfynd.xlsx", "A 56599-2025")</f>
        <v/>
      </c>
      <c r="T253">
        <f>HYPERLINK("https://klasma.github.io/Logging_2303/kartor/A 56599-2025 karta.png", "A 56599-2025")</f>
        <v/>
      </c>
      <c r="V253">
        <f>HYPERLINK("https://klasma.github.io/Logging_2303/klagomål/A 56599-2025 FSC-klagomål.docx", "A 56599-2025")</f>
        <v/>
      </c>
      <c r="W253">
        <f>HYPERLINK("https://klasma.github.io/Logging_2303/klagomålsmail/A 56599-2025 FSC-klagomål mail.docx", "A 56599-2025")</f>
        <v/>
      </c>
      <c r="X253">
        <f>HYPERLINK("https://klasma.github.io/Logging_2303/tillsyn/A 56599-2025 tillsynsbegäran.docx", "A 56599-2025")</f>
        <v/>
      </c>
      <c r="Y253">
        <f>HYPERLINK("https://klasma.github.io/Logging_2303/tillsynsmail/A 56599-2025 tillsynsbegäran mail.docx", "A 56599-2025")</f>
        <v/>
      </c>
    </row>
    <row r="254" ht="15" customHeight="1">
      <c r="A254" t="inlineStr">
        <is>
          <t>A 57253-2025</t>
        </is>
      </c>
      <c r="B254" s="1" t="n">
        <v>45979.64381944444</v>
      </c>
      <c r="C254" s="1" t="n">
        <v>46052</v>
      </c>
      <c r="D254" t="inlineStr">
        <is>
          <t>JÄMTLANDS LÄN</t>
        </is>
      </c>
      <c r="E254" t="inlineStr">
        <is>
          <t>RAGUNDA</t>
        </is>
      </c>
      <c r="G254" t="n">
        <v>1.2</v>
      </c>
      <c r="H254" t="n">
        <v>0</v>
      </c>
      <c r="I254" t="n">
        <v>1</v>
      </c>
      <c r="J254" t="n">
        <v>0</v>
      </c>
      <c r="K254" t="n">
        <v>0</v>
      </c>
      <c r="L254" t="n">
        <v>0</v>
      </c>
      <c r="M254" t="n">
        <v>0</v>
      </c>
      <c r="N254" t="n">
        <v>0</v>
      </c>
      <c r="O254" t="n">
        <v>0</v>
      </c>
      <c r="P254" t="n">
        <v>0</v>
      </c>
      <c r="Q254" t="n">
        <v>1</v>
      </c>
      <c r="R254" s="2" t="inlineStr">
        <is>
          <t>Skinnlav</t>
        </is>
      </c>
      <c r="S254">
        <f>HYPERLINK("https://klasma.github.io/Logging_2303/artfynd/A 57253-2025 artfynd.xlsx", "A 57253-2025")</f>
        <v/>
      </c>
      <c r="T254">
        <f>HYPERLINK("https://klasma.github.io/Logging_2303/kartor/A 57253-2025 karta.png", "A 57253-2025")</f>
        <v/>
      </c>
      <c r="V254">
        <f>HYPERLINK("https://klasma.github.io/Logging_2303/klagomål/A 57253-2025 FSC-klagomål.docx", "A 57253-2025")</f>
        <v/>
      </c>
      <c r="W254">
        <f>HYPERLINK("https://klasma.github.io/Logging_2303/klagomålsmail/A 57253-2025 FSC-klagomål mail.docx", "A 57253-2025")</f>
        <v/>
      </c>
      <c r="X254">
        <f>HYPERLINK("https://klasma.github.io/Logging_2303/tillsyn/A 57253-2025 tillsynsbegäran.docx", "A 57253-2025")</f>
        <v/>
      </c>
      <c r="Y254">
        <f>HYPERLINK("https://klasma.github.io/Logging_2303/tillsynsmail/A 57253-2025 tillsynsbegäran mail.docx", "A 57253-2025")</f>
        <v/>
      </c>
    </row>
    <row r="255" ht="15" customHeight="1">
      <c r="A255" t="inlineStr">
        <is>
          <t>A 57479-2025</t>
        </is>
      </c>
      <c r="B255" s="1" t="n">
        <v>45980.5737037037</v>
      </c>
      <c r="C255" s="1" t="n">
        <v>46052</v>
      </c>
      <c r="D255" t="inlineStr">
        <is>
          <t>JÄMTLANDS LÄN</t>
        </is>
      </c>
      <c r="E255" t="inlineStr">
        <is>
          <t>RAGUNDA</t>
        </is>
      </c>
      <c r="F255" t="inlineStr">
        <is>
          <t>SCA</t>
        </is>
      </c>
      <c r="G255" t="n">
        <v>12</v>
      </c>
      <c r="H255" t="n">
        <v>0</v>
      </c>
      <c r="I255" t="n">
        <v>0</v>
      </c>
      <c r="J255" t="n">
        <v>1</v>
      </c>
      <c r="K255" t="n">
        <v>0</v>
      </c>
      <c r="L255" t="n">
        <v>0</v>
      </c>
      <c r="M255" t="n">
        <v>0</v>
      </c>
      <c r="N255" t="n">
        <v>0</v>
      </c>
      <c r="O255" t="n">
        <v>1</v>
      </c>
      <c r="P255" t="n">
        <v>0</v>
      </c>
      <c r="Q255" t="n">
        <v>1</v>
      </c>
      <c r="R255" s="2" t="inlineStr">
        <is>
          <t>Kolflarnlav</t>
        </is>
      </c>
      <c r="S255">
        <f>HYPERLINK("https://klasma.github.io/Logging_2303/artfynd/A 57479-2025 artfynd.xlsx", "A 57479-2025")</f>
        <v/>
      </c>
      <c r="T255">
        <f>HYPERLINK("https://klasma.github.io/Logging_2303/kartor/A 57479-2025 karta.png", "A 57479-2025")</f>
        <v/>
      </c>
      <c r="V255">
        <f>HYPERLINK("https://klasma.github.io/Logging_2303/klagomål/A 57479-2025 FSC-klagomål.docx", "A 57479-2025")</f>
        <v/>
      </c>
      <c r="W255">
        <f>HYPERLINK("https://klasma.github.io/Logging_2303/klagomålsmail/A 57479-2025 FSC-klagomål mail.docx", "A 57479-2025")</f>
        <v/>
      </c>
      <c r="X255">
        <f>HYPERLINK("https://klasma.github.io/Logging_2303/tillsyn/A 57479-2025 tillsynsbegäran.docx", "A 57479-2025")</f>
        <v/>
      </c>
      <c r="Y255">
        <f>HYPERLINK("https://klasma.github.io/Logging_2303/tillsynsmail/A 57479-2025 tillsynsbegäran mail.docx", "A 57479-2025")</f>
        <v/>
      </c>
    </row>
    <row r="256" ht="15" customHeight="1">
      <c r="A256" t="inlineStr">
        <is>
          <t>A 57478-2025</t>
        </is>
      </c>
      <c r="B256" s="1" t="n">
        <v>45980.57349537037</v>
      </c>
      <c r="C256" s="1" t="n">
        <v>46052</v>
      </c>
      <c r="D256" t="inlineStr">
        <is>
          <t>JÄMTLANDS LÄN</t>
        </is>
      </c>
      <c r="E256" t="inlineStr">
        <is>
          <t>RAGUNDA</t>
        </is>
      </c>
      <c r="F256" t="inlineStr">
        <is>
          <t>SCA</t>
        </is>
      </c>
      <c r="G256" t="n">
        <v>3.3</v>
      </c>
      <c r="H256" t="n">
        <v>0</v>
      </c>
      <c r="I256" t="n">
        <v>0</v>
      </c>
      <c r="J256" t="n">
        <v>1</v>
      </c>
      <c r="K256" t="n">
        <v>0</v>
      </c>
      <c r="L256" t="n">
        <v>0</v>
      </c>
      <c r="M256" t="n">
        <v>0</v>
      </c>
      <c r="N256" t="n">
        <v>0</v>
      </c>
      <c r="O256" t="n">
        <v>1</v>
      </c>
      <c r="P256" t="n">
        <v>0</v>
      </c>
      <c r="Q256" t="n">
        <v>1</v>
      </c>
      <c r="R256" s="2" t="inlineStr">
        <is>
          <t>Lunglav</t>
        </is>
      </c>
      <c r="S256">
        <f>HYPERLINK("https://klasma.github.io/Logging_2303/artfynd/A 57478-2025 artfynd.xlsx", "A 57478-2025")</f>
        <v/>
      </c>
      <c r="T256">
        <f>HYPERLINK("https://klasma.github.io/Logging_2303/kartor/A 57478-2025 karta.png", "A 57478-2025")</f>
        <v/>
      </c>
      <c r="V256">
        <f>HYPERLINK("https://klasma.github.io/Logging_2303/klagomål/A 57478-2025 FSC-klagomål.docx", "A 57478-2025")</f>
        <v/>
      </c>
      <c r="W256">
        <f>HYPERLINK("https://klasma.github.io/Logging_2303/klagomålsmail/A 57478-2025 FSC-klagomål mail.docx", "A 57478-2025")</f>
        <v/>
      </c>
      <c r="X256">
        <f>HYPERLINK("https://klasma.github.io/Logging_2303/tillsyn/A 57478-2025 tillsynsbegäran.docx", "A 57478-2025")</f>
        <v/>
      </c>
      <c r="Y256">
        <f>HYPERLINK("https://klasma.github.io/Logging_2303/tillsynsmail/A 57478-2025 tillsynsbegäran mail.docx", "A 57478-2025")</f>
        <v/>
      </c>
    </row>
    <row r="257" ht="15" customHeight="1">
      <c r="A257" t="inlineStr">
        <is>
          <t>A 58990-2025</t>
        </is>
      </c>
      <c r="B257" s="1" t="n">
        <v>45987</v>
      </c>
      <c r="C257" s="1" t="n">
        <v>46052</v>
      </c>
      <c r="D257" t="inlineStr">
        <is>
          <t>JÄMTLANDS LÄN</t>
        </is>
      </c>
      <c r="E257" t="inlineStr">
        <is>
          <t>RAGUNDA</t>
        </is>
      </c>
      <c r="F257" t="inlineStr">
        <is>
          <t>SCA</t>
        </is>
      </c>
      <c r="G257" t="n">
        <v>4.6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58990-2025 artfynd.xlsx", "A 58990-2025")</f>
        <v/>
      </c>
      <c r="T257">
        <f>HYPERLINK("https://klasma.github.io/Logging_2303/kartor/A 58990-2025 karta.png", "A 58990-2025")</f>
        <v/>
      </c>
      <c r="V257">
        <f>HYPERLINK("https://klasma.github.io/Logging_2303/klagomål/A 58990-2025 FSC-klagomål.docx", "A 58990-2025")</f>
        <v/>
      </c>
      <c r="W257">
        <f>HYPERLINK("https://klasma.github.io/Logging_2303/klagomålsmail/A 58990-2025 FSC-klagomål mail.docx", "A 58990-2025")</f>
        <v/>
      </c>
      <c r="X257">
        <f>HYPERLINK("https://klasma.github.io/Logging_2303/tillsyn/A 58990-2025 tillsynsbegäran.docx", "A 58990-2025")</f>
        <v/>
      </c>
      <c r="Y257">
        <f>HYPERLINK("https://klasma.github.io/Logging_2303/tillsynsmail/A 58990-2025 tillsynsbegäran mail.docx", "A 58990-2025")</f>
        <v/>
      </c>
      <c r="Z257">
        <f>HYPERLINK("https://klasma.github.io/Logging_2303/fåglar/A 58990-2025 prioriterade fågelarter.docx", "A 58990-2025")</f>
        <v/>
      </c>
    </row>
    <row r="258" ht="15" customHeight="1">
      <c r="A258" t="inlineStr">
        <is>
          <t>A 29921-2024</t>
        </is>
      </c>
      <c r="B258" s="1" t="n">
        <v>45487.92863425926</v>
      </c>
      <c r="C258" s="1" t="n">
        <v>46052</v>
      </c>
      <c r="D258" t="inlineStr">
        <is>
          <t>JÄMTLANDS LÄN</t>
        </is>
      </c>
      <c r="E258" t="inlineStr">
        <is>
          <t>RAGUNDA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HYPERLINK("https://klasma.github.io/Logging_2303/artfynd/A 29921-2024 artfynd.xlsx", "A 29921-2024")</f>
        <v/>
      </c>
      <c r="T258">
        <f>HYPERLINK("https://klasma.github.io/Logging_2303/kartor/A 29921-2024 karta.png", "A 29921-2024")</f>
        <v/>
      </c>
      <c r="U258">
        <f>HYPERLINK("https://klasma.github.io/Logging_2303/knärot/A 29921-2024 karta knärot.png", "A 29921-2024")</f>
        <v/>
      </c>
      <c r="V258">
        <f>HYPERLINK("https://klasma.github.io/Logging_2303/klagomål/A 29921-2024 FSC-klagomål.docx", "A 29921-2024")</f>
        <v/>
      </c>
      <c r="W258">
        <f>HYPERLINK("https://klasma.github.io/Logging_2303/klagomålsmail/A 29921-2024 FSC-klagomål mail.docx", "A 29921-2024")</f>
        <v/>
      </c>
      <c r="X258">
        <f>HYPERLINK("https://klasma.github.io/Logging_2303/tillsyn/A 29921-2024 tillsynsbegäran.docx", "A 29921-2024")</f>
        <v/>
      </c>
      <c r="Y258">
        <f>HYPERLINK("https://klasma.github.io/Logging_2303/tillsynsmail/A 29921-2024 tillsynsbegäran mail.docx", "A 29921-2024")</f>
        <v/>
      </c>
    </row>
    <row r="259" ht="15" customHeight="1">
      <c r="A259" t="inlineStr">
        <is>
          <t>A 30485-2024</t>
        </is>
      </c>
      <c r="B259" s="1" t="n">
        <v>45491.95008101852</v>
      </c>
      <c r="C259" s="1" t="n">
        <v>46052</v>
      </c>
      <c r="D259" t="inlineStr">
        <is>
          <t>JÄMTLANDS LÄN</t>
        </is>
      </c>
      <c r="E259" t="inlineStr">
        <is>
          <t>RAGUNDA</t>
        </is>
      </c>
      <c r="F259" t="inlineStr">
        <is>
          <t>SCA</t>
        </is>
      </c>
      <c r="G259" t="n">
        <v>2</v>
      </c>
      <c r="H259" t="n">
        <v>0</v>
      </c>
      <c r="I259" t="n">
        <v>0</v>
      </c>
      <c r="J259" t="n">
        <v>1</v>
      </c>
      <c r="K259" t="n">
        <v>0</v>
      </c>
      <c r="L259" t="n">
        <v>0</v>
      </c>
      <c r="M259" t="n">
        <v>0</v>
      </c>
      <c r="N259" t="n">
        <v>0</v>
      </c>
      <c r="O259" t="n">
        <v>1</v>
      </c>
      <c r="P259" t="n">
        <v>0</v>
      </c>
      <c r="Q259" t="n">
        <v>1</v>
      </c>
      <c r="R259" s="2" t="inlineStr">
        <is>
          <t>Garnlav</t>
        </is>
      </c>
      <c r="S259">
        <f>HYPERLINK("https://klasma.github.io/Logging_2303/artfynd/A 30485-2024 artfynd.xlsx", "A 30485-2024")</f>
        <v/>
      </c>
      <c r="T259">
        <f>HYPERLINK("https://klasma.github.io/Logging_2303/kartor/A 30485-2024 karta.png", "A 30485-2024")</f>
        <v/>
      </c>
      <c r="V259">
        <f>HYPERLINK("https://klasma.github.io/Logging_2303/klagomål/A 30485-2024 FSC-klagomål.docx", "A 30485-2024")</f>
        <v/>
      </c>
      <c r="W259">
        <f>HYPERLINK("https://klasma.github.io/Logging_2303/klagomålsmail/A 30485-2024 FSC-klagomål mail.docx", "A 30485-2024")</f>
        <v/>
      </c>
      <c r="X259">
        <f>HYPERLINK("https://klasma.github.io/Logging_2303/tillsyn/A 30485-2024 tillsynsbegäran.docx", "A 30485-2024")</f>
        <v/>
      </c>
      <c r="Y259">
        <f>HYPERLINK("https://klasma.github.io/Logging_2303/tillsynsmail/A 30485-2024 tillsynsbegäran mail.docx", "A 30485-2024")</f>
        <v/>
      </c>
    </row>
    <row r="260" ht="15" customHeight="1">
      <c r="A260" t="inlineStr">
        <is>
          <t>A 2097-2026</t>
        </is>
      </c>
      <c r="B260" s="1" t="n">
        <v>46036.36556712963</v>
      </c>
      <c r="C260" s="1" t="n">
        <v>46052</v>
      </c>
      <c r="D260" t="inlineStr">
        <is>
          <t>JÄMTLANDS LÄN</t>
        </is>
      </c>
      <c r="E260" t="inlineStr">
        <is>
          <t>RAGUNDA</t>
        </is>
      </c>
      <c r="F260" t="inlineStr">
        <is>
          <t>SCA</t>
        </is>
      </c>
      <c r="G260" t="n">
        <v>0.9</v>
      </c>
      <c r="H260" t="n">
        <v>0</v>
      </c>
      <c r="I260" t="n">
        <v>0</v>
      </c>
      <c r="J260" t="n">
        <v>0</v>
      </c>
      <c r="K260" t="n">
        <v>0</v>
      </c>
      <c r="L260" t="n">
        <v>1</v>
      </c>
      <c r="M260" t="n">
        <v>0</v>
      </c>
      <c r="N260" t="n">
        <v>0</v>
      </c>
      <c r="O260" t="n">
        <v>1</v>
      </c>
      <c r="P260" t="n">
        <v>1</v>
      </c>
      <c r="Q260" t="n">
        <v>1</v>
      </c>
      <c r="R260" s="2" t="inlineStr">
        <is>
          <t>Trolldruvemätare</t>
        </is>
      </c>
      <c r="S260">
        <f>HYPERLINK("https://klasma.github.io/Logging_2303/artfynd/A 2097-2026 artfynd.xlsx", "A 2097-2026")</f>
        <v/>
      </c>
      <c r="T260">
        <f>HYPERLINK("https://klasma.github.io/Logging_2303/kartor/A 2097-2026 karta.png", "A 2097-2026")</f>
        <v/>
      </c>
      <c r="V260">
        <f>HYPERLINK("https://klasma.github.io/Logging_2303/klagomål/A 2097-2026 FSC-klagomål.docx", "A 2097-2026")</f>
        <v/>
      </c>
      <c r="W260">
        <f>HYPERLINK("https://klasma.github.io/Logging_2303/klagomålsmail/A 2097-2026 FSC-klagomål mail.docx", "A 2097-2026")</f>
        <v/>
      </c>
      <c r="X260">
        <f>HYPERLINK("https://klasma.github.io/Logging_2303/tillsyn/A 2097-2026 tillsynsbegäran.docx", "A 2097-2026")</f>
        <v/>
      </c>
      <c r="Y260">
        <f>HYPERLINK("https://klasma.github.io/Logging_2303/tillsynsmail/A 2097-2026 tillsynsbegäran mail.docx", "A 2097-2026")</f>
        <v/>
      </c>
    </row>
    <row r="261" ht="15" customHeight="1">
      <c r="A261" t="inlineStr">
        <is>
          <t>A 4157-2026</t>
        </is>
      </c>
      <c r="B261" s="1" t="n">
        <v>46044.65694444445</v>
      </c>
      <c r="C261" s="1" t="n">
        <v>46052</v>
      </c>
      <c r="D261" t="inlineStr">
        <is>
          <t>JÄMTLANDS LÄN</t>
        </is>
      </c>
      <c r="E261" t="inlineStr">
        <is>
          <t>RAGUNDA</t>
        </is>
      </c>
      <c r="F261" t="inlineStr">
        <is>
          <t>SCA</t>
        </is>
      </c>
      <c r="G261" t="n">
        <v>2.6</v>
      </c>
      <c r="H261" t="n">
        <v>1</v>
      </c>
      <c r="I261" t="n">
        <v>1</v>
      </c>
      <c r="J261" t="n">
        <v>0</v>
      </c>
      <c r="K261" t="n">
        <v>0</v>
      </c>
      <c r="L261" t="n">
        <v>0</v>
      </c>
      <c r="M261" t="n">
        <v>0</v>
      </c>
      <c r="N261" t="n">
        <v>0</v>
      </c>
      <c r="O261" t="n">
        <v>0</v>
      </c>
      <c r="P261" t="n">
        <v>0</v>
      </c>
      <c r="Q261" t="n">
        <v>1</v>
      </c>
      <c r="R261" s="2" t="inlineStr">
        <is>
          <t>Tvåblad</t>
        </is>
      </c>
      <c r="S261">
        <f>HYPERLINK("https://klasma.github.io/Logging_2303/artfynd/A 4157-2026 artfynd.xlsx", "A 4157-2026")</f>
        <v/>
      </c>
      <c r="T261">
        <f>HYPERLINK("https://klasma.github.io/Logging_2303/kartor/A 4157-2026 karta.png", "A 4157-2026")</f>
        <v/>
      </c>
      <c r="V261">
        <f>HYPERLINK("https://klasma.github.io/Logging_2303/klagomål/A 4157-2026 FSC-klagomål.docx", "A 4157-2026")</f>
        <v/>
      </c>
      <c r="W261">
        <f>HYPERLINK("https://klasma.github.io/Logging_2303/klagomålsmail/A 4157-2026 FSC-klagomål mail.docx", "A 4157-2026")</f>
        <v/>
      </c>
      <c r="X261">
        <f>HYPERLINK("https://klasma.github.io/Logging_2303/tillsyn/A 4157-2026 tillsynsbegäran.docx", "A 4157-2026")</f>
        <v/>
      </c>
      <c r="Y261">
        <f>HYPERLINK("https://klasma.github.io/Logging_2303/tillsynsmail/A 4157-2026 tillsynsbegäran mail.docx", "A 4157-2026")</f>
        <v/>
      </c>
    </row>
    <row r="262" ht="15" customHeight="1">
      <c r="A262" t="inlineStr">
        <is>
          <t>A 46050-2022</t>
        </is>
      </c>
      <c r="B262" s="1" t="n">
        <v>44846</v>
      </c>
      <c r="C262" s="1" t="n">
        <v>46052</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46052</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46052</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46052</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46052</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46052</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66059-2021</t>
        </is>
      </c>
      <c r="B268" s="1" t="n">
        <v>44517</v>
      </c>
      <c r="C268" s="1" t="n">
        <v>46052</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46052</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46052</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46052</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46052</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8033-2021</t>
        </is>
      </c>
      <c r="B273" s="1" t="n">
        <v>44243</v>
      </c>
      <c r="C273" s="1" t="n">
        <v>46052</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46052</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14776-2021</t>
        </is>
      </c>
      <c r="B275" s="1" t="n">
        <v>44280</v>
      </c>
      <c r="C275" s="1" t="n">
        <v>46052</v>
      </c>
      <c r="D275" t="inlineStr">
        <is>
          <t>JÄMTLANDS LÄN</t>
        </is>
      </c>
      <c r="E275" t="inlineStr">
        <is>
          <t>RAGUNDA</t>
        </is>
      </c>
      <c r="G275" t="n">
        <v>0.8</v>
      </c>
      <c r="H275" t="n">
        <v>0</v>
      </c>
      <c r="I275" t="n">
        <v>0</v>
      </c>
      <c r="J275" t="n">
        <v>0</v>
      </c>
      <c r="K275" t="n">
        <v>0</v>
      </c>
      <c r="L275" t="n">
        <v>0</v>
      </c>
      <c r="M275" t="n">
        <v>0</v>
      </c>
      <c r="N275" t="n">
        <v>0</v>
      </c>
      <c r="O275" t="n">
        <v>0</v>
      </c>
      <c r="P275" t="n">
        <v>0</v>
      </c>
      <c r="Q275" t="n">
        <v>0</v>
      </c>
      <c r="R275" s="2" t="inlineStr"/>
    </row>
    <row r="276" ht="15" customHeight="1">
      <c r="A276" t="inlineStr">
        <is>
          <t>A 35386-2021</t>
        </is>
      </c>
      <c r="B276" s="1" t="n">
        <v>44385.33887731482</v>
      </c>
      <c r="C276" s="1" t="n">
        <v>46052</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16379-2021</t>
        </is>
      </c>
      <c r="B277" s="1" t="n">
        <v>44292</v>
      </c>
      <c r="C277" s="1" t="n">
        <v>46052</v>
      </c>
      <c r="D277" t="inlineStr">
        <is>
          <t>JÄMTLANDS LÄN</t>
        </is>
      </c>
      <c r="E277" t="inlineStr">
        <is>
          <t>RAGUNDA</t>
        </is>
      </c>
      <c r="G277" t="n">
        <v>2</v>
      </c>
      <c r="H277" t="n">
        <v>0</v>
      </c>
      <c r="I277" t="n">
        <v>0</v>
      </c>
      <c r="J277" t="n">
        <v>0</v>
      </c>
      <c r="K277" t="n">
        <v>0</v>
      </c>
      <c r="L277" t="n">
        <v>0</v>
      </c>
      <c r="M277" t="n">
        <v>0</v>
      </c>
      <c r="N277" t="n">
        <v>0</v>
      </c>
      <c r="O277" t="n">
        <v>0</v>
      </c>
      <c r="P277" t="n">
        <v>0</v>
      </c>
      <c r="Q277" t="n">
        <v>0</v>
      </c>
      <c r="R277" s="2" t="inlineStr"/>
    </row>
    <row r="278" ht="15" customHeight="1">
      <c r="A278" t="inlineStr">
        <is>
          <t>A 21413-2022</t>
        </is>
      </c>
      <c r="B278" s="1" t="n">
        <v>44705</v>
      </c>
      <c r="C278" s="1" t="n">
        <v>46052</v>
      </c>
      <c r="D278" t="inlineStr">
        <is>
          <t>JÄMTLANDS LÄN</t>
        </is>
      </c>
      <c r="E278" t="inlineStr">
        <is>
          <t>RAGUNDA</t>
        </is>
      </c>
      <c r="G278" t="n">
        <v>2.4</v>
      </c>
      <c r="H278" t="n">
        <v>0</v>
      </c>
      <c r="I278" t="n">
        <v>0</v>
      </c>
      <c r="J278" t="n">
        <v>0</v>
      </c>
      <c r="K278" t="n">
        <v>0</v>
      </c>
      <c r="L278" t="n">
        <v>0</v>
      </c>
      <c r="M278" t="n">
        <v>0</v>
      </c>
      <c r="N278" t="n">
        <v>0</v>
      </c>
      <c r="O278" t="n">
        <v>0</v>
      </c>
      <c r="P278" t="n">
        <v>0</v>
      </c>
      <c r="Q278" t="n">
        <v>0</v>
      </c>
      <c r="R278" s="2" t="inlineStr"/>
    </row>
    <row r="279" ht="15" customHeight="1">
      <c r="A279" t="inlineStr">
        <is>
          <t>A 66472-2021</t>
        </is>
      </c>
      <c r="B279" s="1" t="n">
        <v>44518.94394675926</v>
      </c>
      <c r="C279" s="1" t="n">
        <v>46052</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46052</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46052</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46047-2022</t>
        </is>
      </c>
      <c r="B282" s="1" t="n">
        <v>44846.9522337963</v>
      </c>
      <c r="C282" s="1" t="n">
        <v>46052</v>
      </c>
      <c r="D282" t="inlineStr">
        <is>
          <t>JÄMTLANDS LÄN</t>
        </is>
      </c>
      <c r="E282" t="inlineStr">
        <is>
          <t>RAGUNDA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37562-2021</t>
        </is>
      </c>
      <c r="B283" s="1" t="n">
        <v>44399</v>
      </c>
      <c r="C283" s="1" t="n">
        <v>46052</v>
      </c>
      <c r="D283" t="inlineStr">
        <is>
          <t>JÄMTLANDS LÄN</t>
        </is>
      </c>
      <c r="E283" t="inlineStr">
        <is>
          <t>RAGUNDA</t>
        </is>
      </c>
      <c r="G283" t="n">
        <v>1.1</v>
      </c>
      <c r="H283" t="n">
        <v>0</v>
      </c>
      <c r="I283" t="n">
        <v>0</v>
      </c>
      <c r="J283" t="n">
        <v>0</v>
      </c>
      <c r="K283" t="n">
        <v>0</v>
      </c>
      <c r="L283" t="n">
        <v>0</v>
      </c>
      <c r="M283" t="n">
        <v>0</v>
      </c>
      <c r="N283" t="n">
        <v>0</v>
      </c>
      <c r="O283" t="n">
        <v>0</v>
      </c>
      <c r="P283" t="n">
        <v>0</v>
      </c>
      <c r="Q283" t="n">
        <v>0</v>
      </c>
      <c r="R283" s="2" t="inlineStr"/>
    </row>
    <row r="284" ht="15" customHeight="1">
      <c r="A284" t="inlineStr">
        <is>
          <t>A 39693-2022</t>
        </is>
      </c>
      <c r="B284" s="1" t="n">
        <v>44818.94929398148</v>
      </c>
      <c r="C284" s="1" t="n">
        <v>46052</v>
      </c>
      <c r="D284" t="inlineStr">
        <is>
          <t>JÄMTLANDS LÄN</t>
        </is>
      </c>
      <c r="E284" t="inlineStr">
        <is>
          <t>RAGUNDA</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49197-2022</t>
        </is>
      </c>
      <c r="B285" s="1" t="n">
        <v>44860</v>
      </c>
      <c r="C285" s="1" t="n">
        <v>46052</v>
      </c>
      <c r="D285" t="inlineStr">
        <is>
          <t>JÄMTLANDS LÄN</t>
        </is>
      </c>
      <c r="E285" t="inlineStr">
        <is>
          <t>RAGUNDA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31484-2022</t>
        </is>
      </c>
      <c r="B286" s="1" t="n">
        <v>44774.94414351852</v>
      </c>
      <c r="C286" s="1" t="n">
        <v>46052</v>
      </c>
      <c r="D286" t="inlineStr">
        <is>
          <t>JÄMTLANDS LÄN</t>
        </is>
      </c>
      <c r="E286" t="inlineStr">
        <is>
          <t>RAGUNDA</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41609-2021</t>
        </is>
      </c>
      <c r="B287" s="1" t="n">
        <v>44425</v>
      </c>
      <c r="C287" s="1" t="n">
        <v>46052</v>
      </c>
      <c r="D287" t="inlineStr">
        <is>
          <t>JÄMTLANDS LÄN</t>
        </is>
      </c>
      <c r="E287" t="inlineStr">
        <is>
          <t>RAGUNDA</t>
        </is>
      </c>
      <c r="F287" t="inlineStr">
        <is>
          <t>Kommuner</t>
        </is>
      </c>
      <c r="G287" t="n">
        <v>2.8</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46052</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40436-2022</t>
        </is>
      </c>
      <c r="B289" s="1" t="n">
        <v>44823.48666666666</v>
      </c>
      <c r="C289" s="1" t="n">
        <v>46052</v>
      </c>
      <c r="D289" t="inlineStr">
        <is>
          <t>JÄMTLANDS LÄN</t>
        </is>
      </c>
      <c r="E289" t="inlineStr">
        <is>
          <t>RAGUNDA</t>
        </is>
      </c>
      <c r="G289" t="n">
        <v>3</v>
      </c>
      <c r="H289" t="n">
        <v>0</v>
      </c>
      <c r="I289" t="n">
        <v>0</v>
      </c>
      <c r="J289" t="n">
        <v>0</v>
      </c>
      <c r="K289" t="n">
        <v>0</v>
      </c>
      <c r="L289" t="n">
        <v>0</v>
      </c>
      <c r="M289" t="n">
        <v>0</v>
      </c>
      <c r="N289" t="n">
        <v>0</v>
      </c>
      <c r="O289" t="n">
        <v>0</v>
      </c>
      <c r="P289" t="n">
        <v>0</v>
      </c>
      <c r="Q289" t="n">
        <v>0</v>
      </c>
      <c r="R289" s="2" t="inlineStr"/>
    </row>
    <row r="290" ht="15" customHeight="1">
      <c r="A290" t="inlineStr">
        <is>
          <t>A 52720-2022</t>
        </is>
      </c>
      <c r="B290" s="1" t="n">
        <v>44874.95553240741</v>
      </c>
      <c r="C290" s="1" t="n">
        <v>46052</v>
      </c>
      <c r="D290" t="inlineStr">
        <is>
          <t>JÄMTLANDS LÄN</t>
        </is>
      </c>
      <c r="E290" t="inlineStr">
        <is>
          <t>RAGUNDA</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32979-2022</t>
        </is>
      </c>
      <c r="B291" s="1" t="n">
        <v>44784.9408912037</v>
      </c>
      <c r="C291" s="1" t="n">
        <v>46052</v>
      </c>
      <c r="D291" t="inlineStr">
        <is>
          <t>JÄMTLANDS LÄN</t>
        </is>
      </c>
      <c r="E291" t="inlineStr">
        <is>
          <t>RAGUNDA</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22695-2022</t>
        </is>
      </c>
      <c r="B292" s="1" t="n">
        <v>44714</v>
      </c>
      <c r="C292" s="1" t="n">
        <v>46052</v>
      </c>
      <c r="D292" t="inlineStr">
        <is>
          <t>JÄMTLANDS LÄN</t>
        </is>
      </c>
      <c r="E292" t="inlineStr">
        <is>
          <t>RAGUNDA</t>
        </is>
      </c>
      <c r="G292" t="n">
        <v>1.8</v>
      </c>
      <c r="H292" t="n">
        <v>0</v>
      </c>
      <c r="I292" t="n">
        <v>0</v>
      </c>
      <c r="J292" t="n">
        <v>0</v>
      </c>
      <c r="K292" t="n">
        <v>0</v>
      </c>
      <c r="L292" t="n">
        <v>0</v>
      </c>
      <c r="M292" t="n">
        <v>0</v>
      </c>
      <c r="N292" t="n">
        <v>0</v>
      </c>
      <c r="O292" t="n">
        <v>0</v>
      </c>
      <c r="P292" t="n">
        <v>0</v>
      </c>
      <c r="Q292" t="n">
        <v>0</v>
      </c>
      <c r="R292" s="2" t="inlineStr"/>
    </row>
    <row r="293" ht="15" customHeight="1">
      <c r="A293" t="inlineStr">
        <is>
          <t>A 43794-2022</t>
        </is>
      </c>
      <c r="B293" s="1" t="n">
        <v>44837</v>
      </c>
      <c r="C293" s="1" t="n">
        <v>46052</v>
      </c>
      <c r="D293" t="inlineStr">
        <is>
          <t>JÄMTLANDS LÄN</t>
        </is>
      </c>
      <c r="E293" t="inlineStr">
        <is>
          <t>RAGUNDA</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16246-2022</t>
        </is>
      </c>
      <c r="B294" s="1" t="n">
        <v>44670</v>
      </c>
      <c r="C294" s="1" t="n">
        <v>46052</v>
      </c>
      <c r="D294" t="inlineStr">
        <is>
          <t>JÄMTLANDS LÄN</t>
        </is>
      </c>
      <c r="E294" t="inlineStr">
        <is>
          <t>RAGUNDA</t>
        </is>
      </c>
      <c r="G294" t="n">
        <v>4.1</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46052</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46052</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21196-2022</t>
        </is>
      </c>
      <c r="B297" s="1" t="n">
        <v>44704.94234953704</v>
      </c>
      <c r="C297" s="1" t="n">
        <v>46052</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46052</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46052</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46052</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46052</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46052</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46052</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46052</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46052</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46052</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46052</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46052</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46052</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46052</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46052</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46052</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46052</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46052</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46052</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46052</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46052</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46052</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46052</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46052</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46052</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46052</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46052</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46052</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46052</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46052</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46052</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46052</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46052</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46052</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46052</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46052</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46052</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46052</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46052</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46052</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46052</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46052</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46052</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47568-2022</t>
        </is>
      </c>
      <c r="B340" s="1" t="n">
        <v>44853.9499537037</v>
      </c>
      <c r="C340" s="1" t="n">
        <v>46052</v>
      </c>
      <c r="D340" t="inlineStr">
        <is>
          <t>JÄMTLANDS LÄN</t>
        </is>
      </c>
      <c r="E340" t="inlineStr">
        <is>
          <t>RAGUNDA</t>
        </is>
      </c>
      <c r="F340" t="inlineStr">
        <is>
          <t>SCA</t>
        </is>
      </c>
      <c r="G340" t="n">
        <v>1.9</v>
      </c>
      <c r="H340" t="n">
        <v>0</v>
      </c>
      <c r="I340" t="n">
        <v>0</v>
      </c>
      <c r="J340" t="n">
        <v>0</v>
      </c>
      <c r="K340" t="n">
        <v>0</v>
      </c>
      <c r="L340" t="n">
        <v>0</v>
      </c>
      <c r="M340" t="n">
        <v>0</v>
      </c>
      <c r="N340" t="n">
        <v>0</v>
      </c>
      <c r="O340" t="n">
        <v>0</v>
      </c>
      <c r="P340" t="n">
        <v>0</v>
      </c>
      <c r="Q340" t="n">
        <v>0</v>
      </c>
      <c r="R340" s="2" t="inlineStr"/>
    </row>
    <row r="341" ht="15" customHeight="1">
      <c r="A341" t="inlineStr">
        <is>
          <t>A 57194-2021</t>
        </is>
      </c>
      <c r="B341" s="1" t="n">
        <v>44482.92271990741</v>
      </c>
      <c r="C341" s="1" t="n">
        <v>46052</v>
      </c>
      <c r="D341" t="inlineStr">
        <is>
          <t>JÄMTLANDS LÄN</t>
        </is>
      </c>
      <c r="E341" t="inlineStr">
        <is>
          <t>RAGUNDA</t>
        </is>
      </c>
      <c r="G341" t="n">
        <v>7.3</v>
      </c>
      <c r="H341" t="n">
        <v>0</v>
      </c>
      <c r="I341" t="n">
        <v>0</v>
      </c>
      <c r="J341" t="n">
        <v>0</v>
      </c>
      <c r="K341" t="n">
        <v>0</v>
      </c>
      <c r="L341" t="n">
        <v>0</v>
      </c>
      <c r="M341" t="n">
        <v>0</v>
      </c>
      <c r="N341" t="n">
        <v>0</v>
      </c>
      <c r="O341" t="n">
        <v>0</v>
      </c>
      <c r="P341" t="n">
        <v>0</v>
      </c>
      <c r="Q341" t="n">
        <v>0</v>
      </c>
      <c r="R341" s="2" t="inlineStr"/>
    </row>
    <row r="342" ht="15" customHeight="1">
      <c r="A342" t="inlineStr">
        <is>
          <t>A 65017-2021</t>
        </is>
      </c>
      <c r="B342" s="1" t="n">
        <v>44512</v>
      </c>
      <c r="C342" s="1" t="n">
        <v>46052</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46052</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46052</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26945-2021</t>
        </is>
      </c>
      <c r="B345" s="1" t="n">
        <v>44349.91995370371</v>
      </c>
      <c r="C345" s="1" t="n">
        <v>46052</v>
      </c>
      <c r="D345" t="inlineStr">
        <is>
          <t>JÄMTLANDS LÄN</t>
        </is>
      </c>
      <c r="E345" t="inlineStr">
        <is>
          <t>RAGUNDA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18341-2022</t>
        </is>
      </c>
      <c r="B346" s="1" t="n">
        <v>44685</v>
      </c>
      <c r="C346" s="1" t="n">
        <v>46052</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9185-2022</t>
        </is>
      </c>
      <c r="B347" s="1" t="n">
        <v>44615</v>
      </c>
      <c r="C347" s="1" t="n">
        <v>46052</v>
      </c>
      <c r="D347" t="inlineStr">
        <is>
          <t>JÄMTLANDS LÄN</t>
        </is>
      </c>
      <c r="E347" t="inlineStr">
        <is>
          <t>RAGUNDA</t>
        </is>
      </c>
      <c r="G347" t="n">
        <v>1.1</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44824.94635416667</v>
      </c>
      <c r="C348" s="1" t="n">
        <v>46052</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26948-2021</t>
        </is>
      </c>
      <c r="B349" s="1" t="n">
        <v>44349.92013888889</v>
      </c>
      <c r="C349" s="1" t="n">
        <v>46052</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44241-2021</t>
        </is>
      </c>
      <c r="B350" s="1" t="n">
        <v>44434.94517361111</v>
      </c>
      <c r="C350" s="1" t="n">
        <v>46052</v>
      </c>
      <c r="D350" t="inlineStr">
        <is>
          <t>JÄMTLANDS LÄN</t>
        </is>
      </c>
      <c r="E350" t="inlineStr">
        <is>
          <t>RAGUNDA</t>
        </is>
      </c>
      <c r="G350" t="n">
        <v>0.8</v>
      </c>
      <c r="H350" t="n">
        <v>0</v>
      </c>
      <c r="I350" t="n">
        <v>0</v>
      </c>
      <c r="J350" t="n">
        <v>0</v>
      </c>
      <c r="K350" t="n">
        <v>0</v>
      </c>
      <c r="L350" t="n">
        <v>0</v>
      </c>
      <c r="M350" t="n">
        <v>0</v>
      </c>
      <c r="N350" t="n">
        <v>0</v>
      </c>
      <c r="O350" t="n">
        <v>0</v>
      </c>
      <c r="P350" t="n">
        <v>0</v>
      </c>
      <c r="Q350" t="n">
        <v>0</v>
      </c>
      <c r="R350" s="2" t="inlineStr"/>
    </row>
    <row r="351" ht="15" customHeight="1">
      <c r="A351" t="inlineStr">
        <is>
          <t>A 46992-2022</t>
        </is>
      </c>
      <c r="B351" s="1" t="n">
        <v>44851.95488425926</v>
      </c>
      <c r="C351" s="1" t="n">
        <v>46052</v>
      </c>
      <c r="D351" t="inlineStr">
        <is>
          <t>JÄMTLANDS LÄN</t>
        </is>
      </c>
      <c r="E351" t="inlineStr">
        <is>
          <t>RAGUNDA</t>
        </is>
      </c>
      <c r="F351" t="inlineStr">
        <is>
          <t>SCA</t>
        </is>
      </c>
      <c r="G351" t="n">
        <v>26.4</v>
      </c>
      <c r="H351" t="n">
        <v>0</v>
      </c>
      <c r="I351" t="n">
        <v>0</v>
      </c>
      <c r="J351" t="n">
        <v>0</v>
      </c>
      <c r="K351" t="n">
        <v>0</v>
      </c>
      <c r="L351" t="n">
        <v>0</v>
      </c>
      <c r="M351" t="n">
        <v>0</v>
      </c>
      <c r="N351" t="n">
        <v>0</v>
      </c>
      <c r="O351" t="n">
        <v>0</v>
      </c>
      <c r="P351" t="n">
        <v>0</v>
      </c>
      <c r="Q351" t="n">
        <v>0</v>
      </c>
      <c r="R351" s="2" t="inlineStr"/>
    </row>
    <row r="352" ht="15" customHeight="1">
      <c r="A352" t="inlineStr">
        <is>
          <t>A 34348-2021</t>
        </is>
      </c>
      <c r="B352" s="1" t="n">
        <v>44379</v>
      </c>
      <c r="C352" s="1" t="n">
        <v>46052</v>
      </c>
      <c r="D352" t="inlineStr">
        <is>
          <t>JÄMTLANDS LÄN</t>
        </is>
      </c>
      <c r="E352" t="inlineStr">
        <is>
          <t>RAGUNDA</t>
        </is>
      </c>
      <c r="G352" t="n">
        <v>8.1</v>
      </c>
      <c r="H352" t="n">
        <v>0</v>
      </c>
      <c r="I352" t="n">
        <v>0</v>
      </c>
      <c r="J352" t="n">
        <v>0</v>
      </c>
      <c r="K352" t="n">
        <v>0</v>
      </c>
      <c r="L352" t="n">
        <v>0</v>
      </c>
      <c r="M352" t="n">
        <v>0</v>
      </c>
      <c r="N352" t="n">
        <v>0</v>
      </c>
      <c r="O352" t="n">
        <v>0</v>
      </c>
      <c r="P352" t="n">
        <v>0</v>
      </c>
      <c r="Q352" t="n">
        <v>0</v>
      </c>
      <c r="R352" s="2" t="inlineStr"/>
    </row>
    <row r="353" ht="15" customHeight="1">
      <c r="A353" t="inlineStr">
        <is>
          <t>A 31972-2022</t>
        </is>
      </c>
      <c r="B353" s="1" t="n">
        <v>44777.95504629629</v>
      </c>
      <c r="C353" s="1" t="n">
        <v>46052</v>
      </c>
      <c r="D353" t="inlineStr">
        <is>
          <t>JÄMTLANDS LÄN</t>
        </is>
      </c>
      <c r="E353" t="inlineStr">
        <is>
          <t>RAGUNDA</t>
        </is>
      </c>
      <c r="F353" t="inlineStr">
        <is>
          <t>Naturvårdsverket</t>
        </is>
      </c>
      <c r="G353" t="n">
        <v>0.8</v>
      </c>
      <c r="H353" t="n">
        <v>0</v>
      </c>
      <c r="I353" t="n">
        <v>0</v>
      </c>
      <c r="J353" t="n">
        <v>0</v>
      </c>
      <c r="K353" t="n">
        <v>0</v>
      </c>
      <c r="L353" t="n">
        <v>0</v>
      </c>
      <c r="M353" t="n">
        <v>0</v>
      </c>
      <c r="N353" t="n">
        <v>0</v>
      </c>
      <c r="O353" t="n">
        <v>0</v>
      </c>
      <c r="P353" t="n">
        <v>0</v>
      </c>
      <c r="Q353" t="n">
        <v>0</v>
      </c>
      <c r="R353" s="2" t="inlineStr"/>
    </row>
    <row r="354" ht="15" customHeight="1">
      <c r="A354" t="inlineStr">
        <is>
          <t>A 39698-2022</t>
        </is>
      </c>
      <c r="B354" s="1" t="n">
        <v>44818</v>
      </c>
      <c r="C354" s="1" t="n">
        <v>46052</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48086-2022</t>
        </is>
      </c>
      <c r="B355" s="1" t="n">
        <v>44855.9471875</v>
      </c>
      <c r="C355" s="1" t="n">
        <v>46052</v>
      </c>
      <c r="D355" t="inlineStr">
        <is>
          <t>JÄMTLANDS LÄN</t>
        </is>
      </c>
      <c r="E355" t="inlineStr">
        <is>
          <t>RAGUNDA</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43147-2022</t>
        </is>
      </c>
      <c r="B356" s="1" t="n">
        <v>44833.9519212963</v>
      </c>
      <c r="C356" s="1" t="n">
        <v>46052</v>
      </c>
      <c r="D356" t="inlineStr">
        <is>
          <t>JÄMTLANDS LÄN</t>
        </is>
      </c>
      <c r="E356" t="inlineStr">
        <is>
          <t>RAGUNDA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46052</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46052</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46052</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19600-2021</t>
        </is>
      </c>
      <c r="B360" s="1" t="n">
        <v>44308</v>
      </c>
      <c r="C360" s="1" t="n">
        <v>46052</v>
      </c>
      <c r="D360" t="inlineStr">
        <is>
          <t>JÄMTLANDS LÄN</t>
        </is>
      </c>
      <c r="E360" t="inlineStr">
        <is>
          <t>RAGUNDA</t>
        </is>
      </c>
      <c r="G360" t="n">
        <v>4.3</v>
      </c>
      <c r="H360" t="n">
        <v>0</v>
      </c>
      <c r="I360" t="n">
        <v>0</v>
      </c>
      <c r="J360" t="n">
        <v>0</v>
      </c>
      <c r="K360" t="n">
        <v>0</v>
      </c>
      <c r="L360" t="n">
        <v>0</v>
      </c>
      <c r="M360" t="n">
        <v>0</v>
      </c>
      <c r="N360" t="n">
        <v>0</v>
      </c>
      <c r="O360" t="n">
        <v>0</v>
      </c>
      <c r="P360" t="n">
        <v>0</v>
      </c>
      <c r="Q360" t="n">
        <v>0</v>
      </c>
      <c r="R360" s="2" t="inlineStr"/>
    </row>
    <row r="361" ht="15" customHeight="1">
      <c r="A361" t="inlineStr">
        <is>
          <t>A 25253-2022</t>
        </is>
      </c>
      <c r="B361" s="1" t="n">
        <v>44729.94136574074</v>
      </c>
      <c r="C361" s="1" t="n">
        <v>46052</v>
      </c>
      <c r="D361" t="inlineStr">
        <is>
          <t>JÄMTLANDS LÄN</t>
        </is>
      </c>
      <c r="E361" t="inlineStr">
        <is>
          <t>RAGUNDA</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52334-2021</t>
        </is>
      </c>
      <c r="B362" s="1" t="n">
        <v>44463.94077546296</v>
      </c>
      <c r="C362" s="1" t="n">
        <v>46052</v>
      </c>
      <c r="D362" t="inlineStr">
        <is>
          <t>JÄMTLANDS LÄN</t>
        </is>
      </c>
      <c r="E362" t="inlineStr">
        <is>
          <t>RAGUNDA</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46052</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16460-2022</t>
        </is>
      </c>
      <c r="B364" s="1" t="n">
        <v>44671</v>
      </c>
      <c r="C364" s="1" t="n">
        <v>46052</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38733-2022</t>
        </is>
      </c>
      <c r="B365" s="1" t="n">
        <v>44815</v>
      </c>
      <c r="C365" s="1" t="n">
        <v>46052</v>
      </c>
      <c r="D365" t="inlineStr">
        <is>
          <t>JÄMTLANDS LÄN</t>
        </is>
      </c>
      <c r="E365" t="inlineStr">
        <is>
          <t>RAGUNDA</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2336-2022</t>
        </is>
      </c>
      <c r="B366" s="1" t="n">
        <v>44578.92284722222</v>
      </c>
      <c r="C366" s="1" t="n">
        <v>46052</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59996-2021</t>
        </is>
      </c>
      <c r="B367" s="1" t="n">
        <v>44494.93930555556</v>
      </c>
      <c r="C367" s="1" t="n">
        <v>46052</v>
      </c>
      <c r="D367" t="inlineStr">
        <is>
          <t>JÄMTLANDS LÄN</t>
        </is>
      </c>
      <c r="E367" t="inlineStr">
        <is>
          <t>RAGUNDA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21195-2022</t>
        </is>
      </c>
      <c r="B368" s="1" t="n">
        <v>44704.94229166667</v>
      </c>
      <c r="C368" s="1" t="n">
        <v>46052</v>
      </c>
      <c r="D368" t="inlineStr">
        <is>
          <t>JÄMTLANDS LÄN</t>
        </is>
      </c>
      <c r="E368" t="inlineStr">
        <is>
          <t>RAGUNDA</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49531-2022</t>
        </is>
      </c>
      <c r="B369" s="1" t="n">
        <v>44861</v>
      </c>
      <c r="C369" s="1" t="n">
        <v>46052</v>
      </c>
      <c r="D369" t="inlineStr">
        <is>
          <t>JÄMTLANDS LÄN</t>
        </is>
      </c>
      <c r="E369" t="inlineStr">
        <is>
          <t>RAGUNDA</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46052</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35749-2022</t>
        </is>
      </c>
      <c r="B371" s="1" t="n">
        <v>44799.94394675926</v>
      </c>
      <c r="C371" s="1" t="n">
        <v>46052</v>
      </c>
      <c r="D371" t="inlineStr">
        <is>
          <t>JÄMTLANDS LÄN</t>
        </is>
      </c>
      <c r="E371" t="inlineStr">
        <is>
          <t>RAGUNDA</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1858-2022</t>
        </is>
      </c>
      <c r="B372" s="1" t="n">
        <v>44574</v>
      </c>
      <c r="C372" s="1" t="n">
        <v>46052</v>
      </c>
      <c r="D372" t="inlineStr">
        <is>
          <t>JÄMTLANDS LÄN</t>
        </is>
      </c>
      <c r="E372" t="inlineStr">
        <is>
          <t>RAGUNDA</t>
        </is>
      </c>
      <c r="G372" t="n">
        <v>5.7</v>
      </c>
      <c r="H372" t="n">
        <v>0</v>
      </c>
      <c r="I372" t="n">
        <v>0</v>
      </c>
      <c r="J372" t="n">
        <v>0</v>
      </c>
      <c r="K372" t="n">
        <v>0</v>
      </c>
      <c r="L372" t="n">
        <v>0</v>
      </c>
      <c r="M372" t="n">
        <v>0</v>
      </c>
      <c r="N372" t="n">
        <v>0</v>
      </c>
      <c r="O372" t="n">
        <v>0</v>
      </c>
      <c r="P372" t="n">
        <v>0</v>
      </c>
      <c r="Q372" t="n">
        <v>0</v>
      </c>
      <c r="R372" s="2" t="inlineStr"/>
    </row>
    <row r="373" ht="15" customHeight="1">
      <c r="A373" t="inlineStr">
        <is>
          <t>A 10120-2022</t>
        </is>
      </c>
      <c r="B373" s="1" t="n">
        <v>44621</v>
      </c>
      <c r="C373" s="1" t="n">
        <v>46052</v>
      </c>
      <c r="D373" t="inlineStr">
        <is>
          <t>JÄMTLANDS LÄN</t>
        </is>
      </c>
      <c r="E373" t="inlineStr">
        <is>
          <t>RAGUNDA</t>
        </is>
      </c>
      <c r="G373" t="n">
        <v>0.4</v>
      </c>
      <c r="H373" t="n">
        <v>0</v>
      </c>
      <c r="I373" t="n">
        <v>0</v>
      </c>
      <c r="J373" t="n">
        <v>0</v>
      </c>
      <c r="K373" t="n">
        <v>0</v>
      </c>
      <c r="L373" t="n">
        <v>0</v>
      </c>
      <c r="M373" t="n">
        <v>0</v>
      </c>
      <c r="N373" t="n">
        <v>0</v>
      </c>
      <c r="O373" t="n">
        <v>0</v>
      </c>
      <c r="P373" t="n">
        <v>0</v>
      </c>
      <c r="Q373" t="n">
        <v>0</v>
      </c>
      <c r="R373" s="2" t="inlineStr"/>
    </row>
    <row r="374" ht="15" customHeight="1">
      <c r="A374" t="inlineStr">
        <is>
          <t>A 54836-2022</t>
        </is>
      </c>
      <c r="B374" s="1" t="n">
        <v>44883.94918981481</v>
      </c>
      <c r="C374" s="1" t="n">
        <v>46052</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13964-2022</t>
        </is>
      </c>
      <c r="B375" s="1" t="n">
        <v>44650</v>
      </c>
      <c r="C375" s="1" t="n">
        <v>46052</v>
      </c>
      <c r="D375" t="inlineStr">
        <is>
          <t>JÄMTLANDS LÄN</t>
        </is>
      </c>
      <c r="E375" t="inlineStr">
        <is>
          <t>RAGUNDA</t>
        </is>
      </c>
      <c r="G375" t="n">
        <v>2.6</v>
      </c>
      <c r="H375" t="n">
        <v>0</v>
      </c>
      <c r="I375" t="n">
        <v>0</v>
      </c>
      <c r="J375" t="n">
        <v>0</v>
      </c>
      <c r="K375" t="n">
        <v>0</v>
      </c>
      <c r="L375" t="n">
        <v>0</v>
      </c>
      <c r="M375" t="n">
        <v>0</v>
      </c>
      <c r="N375" t="n">
        <v>0</v>
      </c>
      <c r="O375" t="n">
        <v>0</v>
      </c>
      <c r="P375" t="n">
        <v>0</v>
      </c>
      <c r="Q375" t="n">
        <v>0</v>
      </c>
      <c r="R375" s="2" t="inlineStr"/>
    </row>
    <row r="376" ht="15" customHeight="1">
      <c r="A376" t="inlineStr">
        <is>
          <t>A 32288-2022</t>
        </is>
      </c>
      <c r="B376" s="1" t="n">
        <v>44781</v>
      </c>
      <c r="C376" s="1" t="n">
        <v>46052</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9187-2022</t>
        </is>
      </c>
      <c r="B377" s="1" t="n">
        <v>44615</v>
      </c>
      <c r="C377" s="1" t="n">
        <v>46052</v>
      </c>
      <c r="D377" t="inlineStr">
        <is>
          <t>JÄMTLANDS LÄN</t>
        </is>
      </c>
      <c r="E377" t="inlineStr">
        <is>
          <t>RAGUNDA</t>
        </is>
      </c>
      <c r="G377" t="n">
        <v>2</v>
      </c>
      <c r="H377" t="n">
        <v>0</v>
      </c>
      <c r="I377" t="n">
        <v>0</v>
      </c>
      <c r="J377" t="n">
        <v>0</v>
      </c>
      <c r="K377" t="n">
        <v>0</v>
      </c>
      <c r="L377" t="n">
        <v>0</v>
      </c>
      <c r="M377" t="n">
        <v>0</v>
      </c>
      <c r="N377" t="n">
        <v>0</v>
      </c>
      <c r="O377" t="n">
        <v>0</v>
      </c>
      <c r="P377" t="n">
        <v>0</v>
      </c>
      <c r="Q377" t="n">
        <v>0</v>
      </c>
      <c r="R377" s="2" t="inlineStr"/>
    </row>
    <row r="378" ht="15" customHeight="1">
      <c r="A378" t="inlineStr">
        <is>
          <t>A 47803-2022</t>
        </is>
      </c>
      <c r="B378" s="1" t="n">
        <v>44854.95390046296</v>
      </c>
      <c r="C378" s="1" t="n">
        <v>46052</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37806-2021</t>
        </is>
      </c>
      <c r="B379" s="1" t="n">
        <v>44402.42243055555</v>
      </c>
      <c r="C379" s="1" t="n">
        <v>46052</v>
      </c>
      <c r="D379" t="inlineStr">
        <is>
          <t>JÄMTLANDS LÄN</t>
        </is>
      </c>
      <c r="E379" t="inlineStr">
        <is>
          <t>RAGUNDA</t>
        </is>
      </c>
      <c r="G379" t="n">
        <v>0.3</v>
      </c>
      <c r="H379" t="n">
        <v>0</v>
      </c>
      <c r="I379" t="n">
        <v>0</v>
      </c>
      <c r="J379" t="n">
        <v>0</v>
      </c>
      <c r="K379" t="n">
        <v>0</v>
      </c>
      <c r="L379" t="n">
        <v>0</v>
      </c>
      <c r="M379" t="n">
        <v>0</v>
      </c>
      <c r="N379" t="n">
        <v>0</v>
      </c>
      <c r="O379" t="n">
        <v>0</v>
      </c>
      <c r="P379" t="n">
        <v>0</v>
      </c>
      <c r="Q379" t="n">
        <v>0</v>
      </c>
      <c r="R379" s="2" t="inlineStr"/>
    </row>
    <row r="380" ht="15" customHeight="1">
      <c r="A380" t="inlineStr">
        <is>
          <t>A 42652-2022</t>
        </is>
      </c>
      <c r="B380" s="1" t="n">
        <v>44831.94846064815</v>
      </c>
      <c r="C380" s="1" t="n">
        <v>46052</v>
      </c>
      <c r="D380" t="inlineStr">
        <is>
          <t>JÄMTLANDS LÄN</t>
        </is>
      </c>
      <c r="E380" t="inlineStr">
        <is>
          <t>RAGUNDA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42653-2022</t>
        </is>
      </c>
      <c r="B381" s="1" t="n">
        <v>44831.9485300926</v>
      </c>
      <c r="C381" s="1" t="n">
        <v>46052</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46052</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32986-2022</t>
        </is>
      </c>
      <c r="B383" s="1" t="n">
        <v>44784.94157407407</v>
      </c>
      <c r="C383" s="1" t="n">
        <v>46052</v>
      </c>
      <c r="D383" t="inlineStr">
        <is>
          <t>JÄMTLANDS LÄN</t>
        </is>
      </c>
      <c r="E383" t="inlineStr">
        <is>
          <t>RAGUNDA</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58984-2021</t>
        </is>
      </c>
      <c r="B384" s="1" t="n">
        <v>44489.94711805556</v>
      </c>
      <c r="C384" s="1" t="n">
        <v>46052</v>
      </c>
      <c r="D384" t="inlineStr">
        <is>
          <t>JÄMTLANDS LÄN</t>
        </is>
      </c>
      <c r="E384" t="inlineStr">
        <is>
          <t>RAGUNDA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40978-2022</t>
        </is>
      </c>
      <c r="B385" s="1" t="n">
        <v>44823</v>
      </c>
      <c r="C385" s="1" t="n">
        <v>46052</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42882-2022</t>
        </is>
      </c>
      <c r="B386" s="1" t="n">
        <v>44832.95300925926</v>
      </c>
      <c r="C386" s="1" t="n">
        <v>46052</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42267-2022</t>
        </is>
      </c>
      <c r="B387" s="1" t="n">
        <v>44830</v>
      </c>
      <c r="C387" s="1" t="n">
        <v>46052</v>
      </c>
      <c r="D387" t="inlineStr">
        <is>
          <t>JÄMTLANDS LÄN</t>
        </is>
      </c>
      <c r="E387" t="inlineStr">
        <is>
          <t>RAGUNDA</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31854-2022</t>
        </is>
      </c>
      <c r="B388" s="1" t="n">
        <v>44776</v>
      </c>
      <c r="C388" s="1" t="n">
        <v>46052</v>
      </c>
      <c r="D388" t="inlineStr">
        <is>
          <t>JÄMTLANDS LÄN</t>
        </is>
      </c>
      <c r="E388" t="inlineStr">
        <is>
          <t>RAGUNDA</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24741-2022</t>
        </is>
      </c>
      <c r="B389" s="1" t="n">
        <v>44727</v>
      </c>
      <c r="C389" s="1" t="n">
        <v>46052</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48536-2022</t>
        </is>
      </c>
      <c r="B390" s="1" t="n">
        <v>44858</v>
      </c>
      <c r="C390" s="1" t="n">
        <v>46052</v>
      </c>
      <c r="D390" t="inlineStr">
        <is>
          <t>JÄMTLANDS LÄN</t>
        </is>
      </c>
      <c r="E390" t="inlineStr">
        <is>
          <t>RAGUNDA</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41613-2021</t>
        </is>
      </c>
      <c r="B391" s="1" t="n">
        <v>44425</v>
      </c>
      <c r="C391" s="1" t="n">
        <v>46052</v>
      </c>
      <c r="D391" t="inlineStr">
        <is>
          <t>JÄMTLANDS LÄN</t>
        </is>
      </c>
      <c r="E391" t="inlineStr">
        <is>
          <t>RAGUNDA</t>
        </is>
      </c>
      <c r="F391" t="inlineStr">
        <is>
          <t>Kommuner</t>
        </is>
      </c>
      <c r="G391" t="n">
        <v>1.5</v>
      </c>
      <c r="H391" t="n">
        <v>0</v>
      </c>
      <c r="I391" t="n">
        <v>0</v>
      </c>
      <c r="J391" t="n">
        <v>0</v>
      </c>
      <c r="K391" t="n">
        <v>0</v>
      </c>
      <c r="L391" t="n">
        <v>0</v>
      </c>
      <c r="M391" t="n">
        <v>0</v>
      </c>
      <c r="N391" t="n">
        <v>0</v>
      </c>
      <c r="O391" t="n">
        <v>0</v>
      </c>
      <c r="P391" t="n">
        <v>0</v>
      </c>
      <c r="Q391" t="n">
        <v>0</v>
      </c>
      <c r="R391" s="2" t="inlineStr"/>
    </row>
    <row r="392" ht="15" customHeight="1">
      <c r="A392" t="inlineStr">
        <is>
          <t>A 53144-2024</t>
        </is>
      </c>
      <c r="B392" s="1" t="n">
        <v>45611</v>
      </c>
      <c r="C392" s="1" t="n">
        <v>46052</v>
      </c>
      <c r="D392" t="inlineStr">
        <is>
          <t>JÄMTLANDS LÄN</t>
        </is>
      </c>
      <c r="E392" t="inlineStr">
        <is>
          <t>RAGUNDA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44630-2023</t>
        </is>
      </c>
      <c r="B393" s="1" t="n">
        <v>45184</v>
      </c>
      <c r="C393" s="1" t="n">
        <v>46052</v>
      </c>
      <c r="D393" t="inlineStr">
        <is>
          <t>JÄMTLANDS LÄN</t>
        </is>
      </c>
      <c r="E393" t="inlineStr">
        <is>
          <t>RAGUNDA</t>
        </is>
      </c>
      <c r="G393" t="n">
        <v>3.4</v>
      </c>
      <c r="H393" t="n">
        <v>0</v>
      </c>
      <c r="I393" t="n">
        <v>0</v>
      </c>
      <c r="J393" t="n">
        <v>0</v>
      </c>
      <c r="K393" t="n">
        <v>0</v>
      </c>
      <c r="L393" t="n">
        <v>0</v>
      </c>
      <c r="M393" t="n">
        <v>0</v>
      </c>
      <c r="N393" t="n">
        <v>0</v>
      </c>
      <c r="O393" t="n">
        <v>0</v>
      </c>
      <c r="P393" t="n">
        <v>0</v>
      </c>
      <c r="Q393" t="n">
        <v>0</v>
      </c>
      <c r="R393" s="2" t="inlineStr"/>
    </row>
    <row r="394" ht="15" customHeight="1">
      <c r="A394" t="inlineStr">
        <is>
          <t>A 29409-2021</t>
        </is>
      </c>
      <c r="B394" s="1" t="n">
        <v>44361.55445601852</v>
      </c>
      <c r="C394" s="1" t="n">
        <v>46052</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22311-2024</t>
        </is>
      </c>
      <c r="B395" s="1" t="n">
        <v>45446.57052083333</v>
      </c>
      <c r="C395" s="1" t="n">
        <v>46052</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46052</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25027-2022</t>
        </is>
      </c>
      <c r="B397" s="1" t="n">
        <v>44728.94392361111</v>
      </c>
      <c r="C397" s="1" t="n">
        <v>46052</v>
      </c>
      <c r="D397" t="inlineStr">
        <is>
          <t>JÄMTLANDS LÄN</t>
        </is>
      </c>
      <c r="E397" t="inlineStr">
        <is>
          <t>RAGUNDA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14156-2024</t>
        </is>
      </c>
      <c r="B398" s="1" t="n">
        <v>45392</v>
      </c>
      <c r="C398" s="1" t="n">
        <v>46052</v>
      </c>
      <c r="D398" t="inlineStr">
        <is>
          <t>JÄMTLANDS LÄN</t>
        </is>
      </c>
      <c r="E398" t="inlineStr">
        <is>
          <t>RAGUNDA</t>
        </is>
      </c>
      <c r="G398" t="n">
        <v>0.6</v>
      </c>
      <c r="H398" t="n">
        <v>0</v>
      </c>
      <c r="I398" t="n">
        <v>0</v>
      </c>
      <c r="J398" t="n">
        <v>0</v>
      </c>
      <c r="K398" t="n">
        <v>0</v>
      </c>
      <c r="L398" t="n">
        <v>0</v>
      </c>
      <c r="M398" t="n">
        <v>0</v>
      </c>
      <c r="N398" t="n">
        <v>0</v>
      </c>
      <c r="O398" t="n">
        <v>0</v>
      </c>
      <c r="P398" t="n">
        <v>0</v>
      </c>
      <c r="Q398" t="n">
        <v>0</v>
      </c>
      <c r="R398" s="2" t="inlineStr"/>
    </row>
    <row r="399" ht="15" customHeight="1">
      <c r="A399" t="inlineStr">
        <is>
          <t>A 14157-2024</t>
        </is>
      </c>
      <c r="B399" s="1" t="n">
        <v>45392.92903935185</v>
      </c>
      <c r="C399" s="1" t="n">
        <v>46052</v>
      </c>
      <c r="D399" t="inlineStr">
        <is>
          <t>JÄMTLANDS LÄN</t>
        </is>
      </c>
      <c r="E399" t="inlineStr">
        <is>
          <t>RAGUNDA</t>
        </is>
      </c>
      <c r="G399" t="n">
        <v>1.7</v>
      </c>
      <c r="H399" t="n">
        <v>0</v>
      </c>
      <c r="I399" t="n">
        <v>0</v>
      </c>
      <c r="J399" t="n">
        <v>0</v>
      </c>
      <c r="K399" t="n">
        <v>0</v>
      </c>
      <c r="L399" t="n">
        <v>0</v>
      </c>
      <c r="M399" t="n">
        <v>0</v>
      </c>
      <c r="N399" t="n">
        <v>0</v>
      </c>
      <c r="O399" t="n">
        <v>0</v>
      </c>
      <c r="P399" t="n">
        <v>0</v>
      </c>
      <c r="Q399" t="n">
        <v>0</v>
      </c>
      <c r="R399" s="2" t="inlineStr"/>
    </row>
    <row r="400" ht="15" customHeight="1">
      <c r="A400" t="inlineStr">
        <is>
          <t>A 28597-2021</t>
        </is>
      </c>
      <c r="B400" s="1" t="n">
        <v>44356.91935185185</v>
      </c>
      <c r="C400" s="1" t="n">
        <v>46052</v>
      </c>
      <c r="D400" t="inlineStr">
        <is>
          <t>JÄMTLANDS LÄN</t>
        </is>
      </c>
      <c r="E400" t="inlineStr">
        <is>
          <t>RAGUNDA</t>
        </is>
      </c>
      <c r="G400" t="n">
        <v>3.1</v>
      </c>
      <c r="H400" t="n">
        <v>0</v>
      </c>
      <c r="I400" t="n">
        <v>0</v>
      </c>
      <c r="J400" t="n">
        <v>0</v>
      </c>
      <c r="K400" t="n">
        <v>0</v>
      </c>
      <c r="L400" t="n">
        <v>0</v>
      </c>
      <c r="M400" t="n">
        <v>0</v>
      </c>
      <c r="N400" t="n">
        <v>0</v>
      </c>
      <c r="O400" t="n">
        <v>0</v>
      </c>
      <c r="P400" t="n">
        <v>0</v>
      </c>
      <c r="Q400" t="n">
        <v>0</v>
      </c>
      <c r="R400" s="2" t="inlineStr"/>
    </row>
    <row r="401" ht="15" customHeight="1">
      <c r="A401" t="inlineStr">
        <is>
          <t>A 19403-2025</t>
        </is>
      </c>
      <c r="B401" s="1" t="n">
        <v>45769.67790509259</v>
      </c>
      <c r="C401" s="1" t="n">
        <v>46052</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36941-2022</t>
        </is>
      </c>
      <c r="B402" s="1" t="n">
        <v>44805</v>
      </c>
      <c r="C402" s="1" t="n">
        <v>46052</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20548-2021</t>
        </is>
      </c>
      <c r="B403" s="1" t="n">
        <v>44315</v>
      </c>
      <c r="C403" s="1" t="n">
        <v>46052</v>
      </c>
      <c r="D403" t="inlineStr">
        <is>
          <t>JÄMTLANDS LÄN</t>
        </is>
      </c>
      <c r="E403" t="inlineStr">
        <is>
          <t>RAGUNDA</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49530-2022</t>
        </is>
      </c>
      <c r="B404" s="1" t="n">
        <v>44861</v>
      </c>
      <c r="C404" s="1" t="n">
        <v>46052</v>
      </c>
      <c r="D404" t="inlineStr">
        <is>
          <t>JÄMTLANDS LÄN</t>
        </is>
      </c>
      <c r="E404" t="inlineStr">
        <is>
          <t>RAGUNDA</t>
        </is>
      </c>
      <c r="F404" t="inlineStr">
        <is>
          <t>SCA</t>
        </is>
      </c>
      <c r="G404" t="n">
        <v>13.4</v>
      </c>
      <c r="H404" t="n">
        <v>0</v>
      </c>
      <c r="I404" t="n">
        <v>0</v>
      </c>
      <c r="J404" t="n">
        <v>0</v>
      </c>
      <c r="K404" t="n">
        <v>0</v>
      </c>
      <c r="L404" t="n">
        <v>0</v>
      </c>
      <c r="M404" t="n">
        <v>0</v>
      </c>
      <c r="N404" t="n">
        <v>0</v>
      </c>
      <c r="O404" t="n">
        <v>0</v>
      </c>
      <c r="P404" t="n">
        <v>0</v>
      </c>
      <c r="Q404" t="n">
        <v>0</v>
      </c>
      <c r="R404" s="2" t="inlineStr"/>
    </row>
    <row r="405" ht="15" customHeight="1">
      <c r="A405" t="inlineStr">
        <is>
          <t>A 21194-2022</t>
        </is>
      </c>
      <c r="B405" s="1" t="n">
        <v>44704.9422337963</v>
      </c>
      <c r="C405" s="1" t="n">
        <v>46052</v>
      </c>
      <c r="D405" t="inlineStr">
        <is>
          <t>JÄMTLANDS LÄN</t>
        </is>
      </c>
      <c r="E405" t="inlineStr">
        <is>
          <t>RAGUNDA</t>
        </is>
      </c>
      <c r="F405" t="inlineStr">
        <is>
          <t>SCA</t>
        </is>
      </c>
      <c r="G405" t="n">
        <v>10.6</v>
      </c>
      <c r="H405" t="n">
        <v>0</v>
      </c>
      <c r="I405" t="n">
        <v>0</v>
      </c>
      <c r="J405" t="n">
        <v>0</v>
      </c>
      <c r="K405" t="n">
        <v>0</v>
      </c>
      <c r="L405" t="n">
        <v>0</v>
      </c>
      <c r="M405" t="n">
        <v>0</v>
      </c>
      <c r="N405" t="n">
        <v>0</v>
      </c>
      <c r="O405" t="n">
        <v>0</v>
      </c>
      <c r="P405" t="n">
        <v>0</v>
      </c>
      <c r="Q405" t="n">
        <v>0</v>
      </c>
      <c r="R405" s="2" t="inlineStr"/>
    </row>
    <row r="406" ht="15" customHeight="1">
      <c r="A406" t="inlineStr">
        <is>
          <t>A 20088-2023</t>
        </is>
      </c>
      <c r="B406" s="1" t="n">
        <v>45054</v>
      </c>
      <c r="C406" s="1" t="n">
        <v>46052</v>
      </c>
      <c r="D406" t="inlineStr">
        <is>
          <t>JÄMTLANDS LÄN</t>
        </is>
      </c>
      <c r="E406" t="inlineStr">
        <is>
          <t>RAGUNDA</t>
        </is>
      </c>
      <c r="F406" t="inlineStr">
        <is>
          <t>SCA</t>
        </is>
      </c>
      <c r="G406" t="n">
        <v>23.4</v>
      </c>
      <c r="H406" t="n">
        <v>0</v>
      </c>
      <c r="I406" t="n">
        <v>0</v>
      </c>
      <c r="J406" t="n">
        <v>0</v>
      </c>
      <c r="K406" t="n">
        <v>0</v>
      </c>
      <c r="L406" t="n">
        <v>0</v>
      </c>
      <c r="M406" t="n">
        <v>0</v>
      </c>
      <c r="N406" t="n">
        <v>0</v>
      </c>
      <c r="O406" t="n">
        <v>0</v>
      </c>
      <c r="P406" t="n">
        <v>0</v>
      </c>
      <c r="Q406" t="n">
        <v>0</v>
      </c>
      <c r="R406" s="2" t="inlineStr"/>
    </row>
    <row r="407" ht="15" customHeight="1">
      <c r="A407" t="inlineStr">
        <is>
          <t>A 11147-2025</t>
        </is>
      </c>
      <c r="B407" s="1" t="n">
        <v>45723.67777777778</v>
      </c>
      <c r="C407" s="1" t="n">
        <v>46052</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60313-2021</t>
        </is>
      </c>
      <c r="B408" s="1" t="n">
        <v>44495</v>
      </c>
      <c r="C408" s="1" t="n">
        <v>46052</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4882-2023</t>
        </is>
      </c>
      <c r="B409" s="1" t="n">
        <v>44957.94075231482</v>
      </c>
      <c r="C409" s="1" t="n">
        <v>46052</v>
      </c>
      <c r="D409" t="inlineStr">
        <is>
          <t>JÄMTLANDS LÄN</t>
        </is>
      </c>
      <c r="E409" t="inlineStr">
        <is>
          <t>RAGUNDA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15554-2025</t>
        </is>
      </c>
      <c r="B410" s="1" t="n">
        <v>45747.67739583334</v>
      </c>
      <c r="C410" s="1" t="n">
        <v>46052</v>
      </c>
      <c r="D410" t="inlineStr">
        <is>
          <t>JÄMTLANDS LÄN</t>
        </is>
      </c>
      <c r="E410" t="inlineStr">
        <is>
          <t>RAGUNDA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65216-2023</t>
        </is>
      </c>
      <c r="B411" s="1" t="n">
        <v>45289</v>
      </c>
      <c r="C411" s="1" t="n">
        <v>46052</v>
      </c>
      <c r="D411" t="inlineStr">
        <is>
          <t>JÄMTLANDS LÄN</t>
        </is>
      </c>
      <c r="E411" t="inlineStr">
        <is>
          <t>RAGUNDA</t>
        </is>
      </c>
      <c r="G411" t="n">
        <v>2.9</v>
      </c>
      <c r="H411" t="n">
        <v>0</v>
      </c>
      <c r="I411" t="n">
        <v>0</v>
      </c>
      <c r="J411" t="n">
        <v>0</v>
      </c>
      <c r="K411" t="n">
        <v>0</v>
      </c>
      <c r="L411" t="n">
        <v>0</v>
      </c>
      <c r="M411" t="n">
        <v>0</v>
      </c>
      <c r="N411" t="n">
        <v>0</v>
      </c>
      <c r="O411" t="n">
        <v>0</v>
      </c>
      <c r="P411" t="n">
        <v>0</v>
      </c>
      <c r="Q411" t="n">
        <v>0</v>
      </c>
      <c r="R411" s="2" t="inlineStr"/>
    </row>
    <row r="412" ht="15" customHeight="1">
      <c r="A412" t="inlineStr">
        <is>
          <t>A 16635-2025</t>
        </is>
      </c>
      <c r="B412" s="1" t="n">
        <v>45754</v>
      </c>
      <c r="C412" s="1" t="n">
        <v>46052</v>
      </c>
      <c r="D412" t="inlineStr">
        <is>
          <t>JÄMTLANDS LÄN</t>
        </is>
      </c>
      <c r="E412" t="inlineStr">
        <is>
          <t>RAGUNDA</t>
        </is>
      </c>
      <c r="F412" t="inlineStr">
        <is>
          <t>SCA</t>
        </is>
      </c>
      <c r="G412" t="n">
        <v>55.4</v>
      </c>
      <c r="H412" t="n">
        <v>0</v>
      </c>
      <c r="I412" t="n">
        <v>0</v>
      </c>
      <c r="J412" t="n">
        <v>0</v>
      </c>
      <c r="K412" t="n">
        <v>0</v>
      </c>
      <c r="L412" t="n">
        <v>0</v>
      </c>
      <c r="M412" t="n">
        <v>0</v>
      </c>
      <c r="N412" t="n">
        <v>0</v>
      </c>
      <c r="O412" t="n">
        <v>0</v>
      </c>
      <c r="P412" t="n">
        <v>0</v>
      </c>
      <c r="Q412" t="n">
        <v>0</v>
      </c>
      <c r="R412" s="2" t="inlineStr"/>
    </row>
    <row r="413" ht="15" customHeight="1">
      <c r="A413" t="inlineStr">
        <is>
          <t>A 4014-2022</t>
        </is>
      </c>
      <c r="B413" s="1" t="n">
        <v>44587.92144675926</v>
      </c>
      <c r="C413" s="1" t="n">
        <v>46052</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52148-2024</t>
        </is>
      </c>
      <c r="B414" s="1" t="n">
        <v>45608.52354166667</v>
      </c>
      <c r="C414" s="1" t="n">
        <v>46052</v>
      </c>
      <c r="D414" t="inlineStr">
        <is>
          <t>JÄMTLANDS LÄN</t>
        </is>
      </c>
      <c r="E414" t="inlineStr">
        <is>
          <t>RAGUNDA</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9847-2025</t>
        </is>
      </c>
      <c r="B415" s="1" t="n">
        <v>45716.61487268518</v>
      </c>
      <c r="C415" s="1" t="n">
        <v>46052</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28173-2024</t>
        </is>
      </c>
      <c r="B416" s="1" t="n">
        <v>45476.94533564815</v>
      </c>
      <c r="C416" s="1" t="n">
        <v>46052</v>
      </c>
      <c r="D416" t="inlineStr">
        <is>
          <t>JÄMTLANDS LÄN</t>
        </is>
      </c>
      <c r="E416" t="inlineStr">
        <is>
          <t>RAGUNDA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1554-2024</t>
        </is>
      </c>
      <c r="B417" s="1" t="n">
        <v>45306</v>
      </c>
      <c r="C417" s="1" t="n">
        <v>46052</v>
      </c>
      <c r="D417" t="inlineStr">
        <is>
          <t>JÄMTLANDS LÄN</t>
        </is>
      </c>
      <c r="E417" t="inlineStr">
        <is>
          <t>RAGUNDA</t>
        </is>
      </c>
      <c r="G417" t="n">
        <v>4.3</v>
      </c>
      <c r="H417" t="n">
        <v>0</v>
      </c>
      <c r="I417" t="n">
        <v>0</v>
      </c>
      <c r="J417" t="n">
        <v>0</v>
      </c>
      <c r="K417" t="n">
        <v>0</v>
      </c>
      <c r="L417" t="n">
        <v>0</v>
      </c>
      <c r="M417" t="n">
        <v>0</v>
      </c>
      <c r="N417" t="n">
        <v>0</v>
      </c>
      <c r="O417" t="n">
        <v>0</v>
      </c>
      <c r="P417" t="n">
        <v>0</v>
      </c>
      <c r="Q417" t="n">
        <v>0</v>
      </c>
      <c r="R417" s="2" t="inlineStr"/>
    </row>
    <row r="418" ht="15" customHeight="1">
      <c r="A418" t="inlineStr">
        <is>
          <t>A 23734-2024</t>
        </is>
      </c>
      <c r="B418" s="1" t="n">
        <v>45454.95960648148</v>
      </c>
      <c r="C418" s="1" t="n">
        <v>46052</v>
      </c>
      <c r="D418" t="inlineStr">
        <is>
          <t>JÄMTLANDS LÄN</t>
        </is>
      </c>
      <c r="E418" t="inlineStr">
        <is>
          <t>RAGUNDA</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38425-2022</t>
        </is>
      </c>
      <c r="B419" s="1" t="n">
        <v>44812.94709490741</v>
      </c>
      <c r="C419" s="1" t="n">
        <v>46052</v>
      </c>
      <c r="D419" t="inlineStr">
        <is>
          <t>JÄMTLANDS LÄN</t>
        </is>
      </c>
      <c r="E419" t="inlineStr">
        <is>
          <t>RAGUNDA</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12995-2023</t>
        </is>
      </c>
      <c r="B420" s="1" t="n">
        <v>45002.0328125</v>
      </c>
      <c r="C420" s="1" t="n">
        <v>46052</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38782-2021</t>
        </is>
      </c>
      <c r="B421" s="1" t="n">
        <v>44410</v>
      </c>
      <c r="C421" s="1" t="n">
        <v>46052</v>
      </c>
      <c r="D421" t="inlineStr">
        <is>
          <t>JÄMTLANDS LÄN</t>
        </is>
      </c>
      <c r="E421" t="inlineStr">
        <is>
          <t>RAGUNDA</t>
        </is>
      </c>
      <c r="G421" t="n">
        <v>3.2</v>
      </c>
      <c r="H421" t="n">
        <v>0</v>
      </c>
      <c r="I421" t="n">
        <v>0</v>
      </c>
      <c r="J421" t="n">
        <v>0</v>
      </c>
      <c r="K421" t="n">
        <v>0</v>
      </c>
      <c r="L421" t="n">
        <v>0</v>
      </c>
      <c r="M421" t="n">
        <v>0</v>
      </c>
      <c r="N421" t="n">
        <v>0</v>
      </c>
      <c r="O421" t="n">
        <v>0</v>
      </c>
      <c r="P421" t="n">
        <v>0</v>
      </c>
      <c r="Q421" t="n">
        <v>0</v>
      </c>
      <c r="R421" s="2" t="inlineStr"/>
    </row>
    <row r="422" ht="15" customHeight="1">
      <c r="A422" t="inlineStr">
        <is>
          <t>A 13276-2025</t>
        </is>
      </c>
      <c r="B422" s="1" t="n">
        <v>45735.5517824074</v>
      </c>
      <c r="C422" s="1" t="n">
        <v>46052</v>
      </c>
      <c r="D422" t="inlineStr">
        <is>
          <t>JÄMTLANDS LÄN</t>
        </is>
      </c>
      <c r="E422" t="inlineStr">
        <is>
          <t>RAGUNDA</t>
        </is>
      </c>
      <c r="G422" t="n">
        <v>16.6</v>
      </c>
      <c r="H422" t="n">
        <v>0</v>
      </c>
      <c r="I422" t="n">
        <v>0</v>
      </c>
      <c r="J422" t="n">
        <v>0</v>
      </c>
      <c r="K422" t="n">
        <v>0</v>
      </c>
      <c r="L422" t="n">
        <v>0</v>
      </c>
      <c r="M422" t="n">
        <v>0</v>
      </c>
      <c r="N422" t="n">
        <v>0</v>
      </c>
      <c r="O422" t="n">
        <v>0</v>
      </c>
      <c r="P422" t="n">
        <v>0</v>
      </c>
      <c r="Q422" t="n">
        <v>0</v>
      </c>
      <c r="R422" s="2" t="inlineStr"/>
    </row>
    <row r="423" ht="15" customHeight="1">
      <c r="A423" t="inlineStr">
        <is>
          <t>A 44755-2024</t>
        </is>
      </c>
      <c r="B423" s="1" t="n">
        <v>45574.61184027778</v>
      </c>
      <c r="C423" s="1" t="n">
        <v>46052</v>
      </c>
      <c r="D423" t="inlineStr">
        <is>
          <t>JÄMTLANDS LÄN</t>
        </is>
      </c>
      <c r="E423" t="inlineStr">
        <is>
          <t>RAGUNDA</t>
        </is>
      </c>
      <c r="G423" t="n">
        <v>4.4</v>
      </c>
      <c r="H423" t="n">
        <v>0</v>
      </c>
      <c r="I423" t="n">
        <v>0</v>
      </c>
      <c r="J423" t="n">
        <v>0</v>
      </c>
      <c r="K423" t="n">
        <v>0</v>
      </c>
      <c r="L423" t="n">
        <v>0</v>
      </c>
      <c r="M423" t="n">
        <v>0</v>
      </c>
      <c r="N423" t="n">
        <v>0</v>
      </c>
      <c r="O423" t="n">
        <v>0</v>
      </c>
      <c r="P423" t="n">
        <v>0</v>
      </c>
      <c r="Q423" t="n">
        <v>0</v>
      </c>
      <c r="R423" s="2" t="inlineStr"/>
    </row>
    <row r="424" ht="15" customHeight="1">
      <c r="A424" t="inlineStr">
        <is>
          <t>A 44766-2024</t>
        </is>
      </c>
      <c r="B424" s="1" t="n">
        <v>45574.62297453704</v>
      </c>
      <c r="C424" s="1" t="n">
        <v>46052</v>
      </c>
      <c r="D424" t="inlineStr">
        <is>
          <t>JÄMTLANDS LÄN</t>
        </is>
      </c>
      <c r="E424" t="inlineStr">
        <is>
          <t>RAGUNDA</t>
        </is>
      </c>
      <c r="G424" t="n">
        <v>3.2</v>
      </c>
      <c r="H424" t="n">
        <v>0</v>
      </c>
      <c r="I424" t="n">
        <v>0</v>
      </c>
      <c r="J424" t="n">
        <v>0</v>
      </c>
      <c r="K424" t="n">
        <v>0</v>
      </c>
      <c r="L424" t="n">
        <v>0</v>
      </c>
      <c r="M424" t="n">
        <v>0</v>
      </c>
      <c r="N424" t="n">
        <v>0</v>
      </c>
      <c r="O424" t="n">
        <v>0</v>
      </c>
      <c r="P424" t="n">
        <v>0</v>
      </c>
      <c r="Q424" t="n">
        <v>0</v>
      </c>
      <c r="R424" s="2" t="inlineStr"/>
    </row>
    <row r="425" ht="15" customHeight="1">
      <c r="A425" t="inlineStr">
        <is>
          <t>A 20728-2025</t>
        </is>
      </c>
      <c r="B425" s="1" t="n">
        <v>45776.51130787037</v>
      </c>
      <c r="C425" s="1" t="n">
        <v>46052</v>
      </c>
      <c r="D425" t="inlineStr">
        <is>
          <t>JÄMTLANDS LÄN</t>
        </is>
      </c>
      <c r="E425" t="inlineStr">
        <is>
          <t>RAGUNDA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16676-2022</t>
        </is>
      </c>
      <c r="B426" s="1" t="n">
        <v>44672.94018518519</v>
      </c>
      <c r="C426" s="1" t="n">
        <v>46052</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56193-2022</t>
        </is>
      </c>
      <c r="B427" s="1" t="n">
        <v>44889</v>
      </c>
      <c r="C427" s="1" t="n">
        <v>46052</v>
      </c>
      <c r="D427" t="inlineStr">
        <is>
          <t>JÄMTLANDS LÄN</t>
        </is>
      </c>
      <c r="E427" t="inlineStr">
        <is>
          <t>RAGUNDA</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5515-2022</t>
        </is>
      </c>
      <c r="B428" s="1" t="n">
        <v>44595</v>
      </c>
      <c r="C428" s="1" t="n">
        <v>46052</v>
      </c>
      <c r="D428" t="inlineStr">
        <is>
          <t>JÄMTLANDS LÄN</t>
        </is>
      </c>
      <c r="E428" t="inlineStr">
        <is>
          <t>RAGUNDA</t>
        </is>
      </c>
      <c r="G428" t="n">
        <v>1</v>
      </c>
      <c r="H428" t="n">
        <v>0</v>
      </c>
      <c r="I428" t="n">
        <v>0</v>
      </c>
      <c r="J428" t="n">
        <v>0</v>
      </c>
      <c r="K428" t="n">
        <v>0</v>
      </c>
      <c r="L428" t="n">
        <v>0</v>
      </c>
      <c r="M428" t="n">
        <v>0</v>
      </c>
      <c r="N428" t="n">
        <v>0</v>
      </c>
      <c r="O428" t="n">
        <v>0</v>
      </c>
      <c r="P428" t="n">
        <v>0</v>
      </c>
      <c r="Q428" t="n">
        <v>0</v>
      </c>
      <c r="R428" s="2" t="inlineStr"/>
    </row>
    <row r="429" ht="15" customHeight="1">
      <c r="A429" t="inlineStr">
        <is>
          <t>A 45335-2023</t>
        </is>
      </c>
      <c r="B429" s="1" t="n">
        <v>45191</v>
      </c>
      <c r="C429" s="1" t="n">
        <v>46052</v>
      </c>
      <c r="D429" t="inlineStr">
        <is>
          <t>JÄMTLANDS LÄN</t>
        </is>
      </c>
      <c r="E429" t="inlineStr">
        <is>
          <t>RAGUNDA</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55536-2024</t>
        </is>
      </c>
      <c r="B430" s="1" t="n">
        <v>45622</v>
      </c>
      <c r="C430" s="1" t="n">
        <v>46052</v>
      </c>
      <c r="D430" t="inlineStr">
        <is>
          <t>JÄMTLANDS LÄN</t>
        </is>
      </c>
      <c r="E430" t="inlineStr">
        <is>
          <t>RAGUNDA</t>
        </is>
      </c>
      <c r="G430" t="n">
        <v>0.8</v>
      </c>
      <c r="H430" t="n">
        <v>0</v>
      </c>
      <c r="I430" t="n">
        <v>0</v>
      </c>
      <c r="J430" t="n">
        <v>0</v>
      </c>
      <c r="K430" t="n">
        <v>0</v>
      </c>
      <c r="L430" t="n">
        <v>0</v>
      </c>
      <c r="M430" t="n">
        <v>0</v>
      </c>
      <c r="N430" t="n">
        <v>0</v>
      </c>
      <c r="O430" t="n">
        <v>0</v>
      </c>
      <c r="P430" t="n">
        <v>0</v>
      </c>
      <c r="Q430" t="n">
        <v>0</v>
      </c>
      <c r="R430" s="2" t="inlineStr"/>
    </row>
    <row r="431" ht="15" customHeight="1">
      <c r="A431" t="inlineStr">
        <is>
          <t>A 44597-2024</t>
        </is>
      </c>
      <c r="B431" s="1" t="n">
        <v>45574.51087962963</v>
      </c>
      <c r="C431" s="1" t="n">
        <v>46052</v>
      </c>
      <c r="D431" t="inlineStr">
        <is>
          <t>JÄMTLANDS LÄN</t>
        </is>
      </c>
      <c r="E431" t="inlineStr">
        <is>
          <t>RAGUNDA</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44598-2024</t>
        </is>
      </c>
      <c r="B432" s="1" t="n">
        <v>45574.51090277778</v>
      </c>
      <c r="C432" s="1" t="n">
        <v>46052</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55487-2023</t>
        </is>
      </c>
      <c r="B433" s="1" t="n">
        <v>45238</v>
      </c>
      <c r="C433" s="1" t="n">
        <v>46052</v>
      </c>
      <c r="D433" t="inlineStr">
        <is>
          <t>JÄMTLANDS LÄN</t>
        </is>
      </c>
      <c r="E433" t="inlineStr">
        <is>
          <t>RAGUNDA</t>
        </is>
      </c>
      <c r="G433" t="n">
        <v>3</v>
      </c>
      <c r="H433" t="n">
        <v>0</v>
      </c>
      <c r="I433" t="n">
        <v>0</v>
      </c>
      <c r="J433" t="n">
        <v>0</v>
      </c>
      <c r="K433" t="n">
        <v>0</v>
      </c>
      <c r="L433" t="n">
        <v>0</v>
      </c>
      <c r="M433" t="n">
        <v>0</v>
      </c>
      <c r="N433" t="n">
        <v>0</v>
      </c>
      <c r="O433" t="n">
        <v>0</v>
      </c>
      <c r="P433" t="n">
        <v>0</v>
      </c>
      <c r="Q433" t="n">
        <v>0</v>
      </c>
      <c r="R433" s="2" t="inlineStr"/>
    </row>
    <row r="434" ht="15" customHeight="1">
      <c r="A434" t="inlineStr">
        <is>
          <t>A 60957-2021</t>
        </is>
      </c>
      <c r="B434" s="1" t="n">
        <v>44496</v>
      </c>
      <c r="C434" s="1" t="n">
        <v>46052</v>
      </c>
      <c r="D434" t="inlineStr">
        <is>
          <t>JÄMTLANDS LÄN</t>
        </is>
      </c>
      <c r="E434" t="inlineStr">
        <is>
          <t>RAGUNDA</t>
        </is>
      </c>
      <c r="G434" t="n">
        <v>1.6</v>
      </c>
      <c r="H434" t="n">
        <v>0</v>
      </c>
      <c r="I434" t="n">
        <v>0</v>
      </c>
      <c r="J434" t="n">
        <v>0</v>
      </c>
      <c r="K434" t="n">
        <v>0</v>
      </c>
      <c r="L434" t="n">
        <v>0</v>
      </c>
      <c r="M434" t="n">
        <v>0</v>
      </c>
      <c r="N434" t="n">
        <v>0</v>
      </c>
      <c r="O434" t="n">
        <v>0</v>
      </c>
      <c r="P434" t="n">
        <v>0</v>
      </c>
      <c r="Q434" t="n">
        <v>0</v>
      </c>
      <c r="R434" s="2" t="inlineStr"/>
    </row>
    <row r="435" ht="15" customHeight="1">
      <c r="A435" t="inlineStr">
        <is>
          <t>A 18454-2021</t>
        </is>
      </c>
      <c r="B435" s="1" t="n">
        <v>44305.92047453704</v>
      </c>
      <c r="C435" s="1" t="n">
        <v>46052</v>
      </c>
      <c r="D435" t="inlineStr">
        <is>
          <t>JÄMTLANDS LÄN</t>
        </is>
      </c>
      <c r="E435" t="inlineStr">
        <is>
          <t>RAGUNDA</t>
        </is>
      </c>
      <c r="G435" t="n">
        <v>1.3</v>
      </c>
      <c r="H435" t="n">
        <v>0</v>
      </c>
      <c r="I435" t="n">
        <v>0</v>
      </c>
      <c r="J435" t="n">
        <v>0</v>
      </c>
      <c r="K435" t="n">
        <v>0</v>
      </c>
      <c r="L435" t="n">
        <v>0</v>
      </c>
      <c r="M435" t="n">
        <v>0</v>
      </c>
      <c r="N435" t="n">
        <v>0</v>
      </c>
      <c r="O435" t="n">
        <v>0</v>
      </c>
      <c r="P435" t="n">
        <v>0</v>
      </c>
      <c r="Q435" t="n">
        <v>0</v>
      </c>
      <c r="R435" s="2" t="inlineStr"/>
    </row>
    <row r="436" ht="15" customHeight="1">
      <c r="A436" t="inlineStr">
        <is>
          <t>A 26122-2022</t>
        </is>
      </c>
      <c r="B436" s="1" t="n">
        <v>44734.94193287037</v>
      </c>
      <c r="C436" s="1" t="n">
        <v>46052</v>
      </c>
      <c r="D436" t="inlineStr">
        <is>
          <t>JÄMTLANDS LÄN</t>
        </is>
      </c>
      <c r="E436" t="inlineStr">
        <is>
          <t>RAGUNDA</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9360-2023</t>
        </is>
      </c>
      <c r="B437" s="1" t="n">
        <v>44980.93865740741</v>
      </c>
      <c r="C437" s="1" t="n">
        <v>46052</v>
      </c>
      <c r="D437" t="inlineStr">
        <is>
          <t>JÄMTLANDS LÄN</t>
        </is>
      </c>
      <c r="E437" t="inlineStr">
        <is>
          <t>RAGUNDA</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21193-2022</t>
        </is>
      </c>
      <c r="B438" s="1" t="n">
        <v>44704.94217592593</v>
      </c>
      <c r="C438" s="1" t="n">
        <v>46052</v>
      </c>
      <c r="D438" t="inlineStr">
        <is>
          <t>JÄMTLANDS LÄN</t>
        </is>
      </c>
      <c r="E438" t="inlineStr">
        <is>
          <t>RAGUNDA</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20653-2025</t>
        </is>
      </c>
      <c r="B439" s="1" t="n">
        <v>45776.40311342593</v>
      </c>
      <c r="C439" s="1" t="n">
        <v>46052</v>
      </c>
      <c r="D439" t="inlineStr">
        <is>
          <t>JÄMTLANDS LÄN</t>
        </is>
      </c>
      <c r="E439" t="inlineStr">
        <is>
          <t>RAGUNDA</t>
        </is>
      </c>
      <c r="G439" t="n">
        <v>10.8</v>
      </c>
      <c r="H439" t="n">
        <v>0</v>
      </c>
      <c r="I439" t="n">
        <v>0</v>
      </c>
      <c r="J439" t="n">
        <v>0</v>
      </c>
      <c r="K439" t="n">
        <v>0</v>
      </c>
      <c r="L439" t="n">
        <v>0</v>
      </c>
      <c r="M439" t="n">
        <v>0</v>
      </c>
      <c r="N439" t="n">
        <v>0</v>
      </c>
      <c r="O439" t="n">
        <v>0</v>
      </c>
      <c r="P439" t="n">
        <v>0</v>
      </c>
      <c r="Q439" t="n">
        <v>0</v>
      </c>
      <c r="R439" s="2" t="inlineStr"/>
    </row>
    <row r="440" ht="15" customHeight="1">
      <c r="A440" t="inlineStr">
        <is>
          <t>A 13767-2022</t>
        </is>
      </c>
      <c r="B440" s="1" t="n">
        <v>44649.47048611111</v>
      </c>
      <c r="C440" s="1" t="n">
        <v>46052</v>
      </c>
      <c r="D440" t="inlineStr">
        <is>
          <t>JÄMTLANDS LÄN</t>
        </is>
      </c>
      <c r="E440" t="inlineStr">
        <is>
          <t>RAGUNDA</t>
        </is>
      </c>
      <c r="F440" t="inlineStr">
        <is>
          <t>Kommuner</t>
        </is>
      </c>
      <c r="G440" t="n">
        <v>3.1</v>
      </c>
      <c r="H440" t="n">
        <v>0</v>
      </c>
      <c r="I440" t="n">
        <v>0</v>
      </c>
      <c r="J440" t="n">
        <v>0</v>
      </c>
      <c r="K440" t="n">
        <v>0</v>
      </c>
      <c r="L440" t="n">
        <v>0</v>
      </c>
      <c r="M440" t="n">
        <v>0</v>
      </c>
      <c r="N440" t="n">
        <v>0</v>
      </c>
      <c r="O440" t="n">
        <v>0</v>
      </c>
      <c r="P440" t="n">
        <v>0</v>
      </c>
      <c r="Q440" t="n">
        <v>0</v>
      </c>
      <c r="R440" s="2" t="inlineStr"/>
    </row>
    <row r="441" ht="15" customHeight="1">
      <c r="A441" t="inlineStr">
        <is>
          <t>A 20722-2025</t>
        </is>
      </c>
      <c r="B441" s="1" t="n">
        <v>45776.50651620371</v>
      </c>
      <c r="C441" s="1" t="n">
        <v>46052</v>
      </c>
      <c r="D441" t="inlineStr">
        <is>
          <t>JÄMTLANDS LÄN</t>
        </is>
      </c>
      <c r="E441" t="inlineStr">
        <is>
          <t>RAGUNDA</t>
        </is>
      </c>
      <c r="F441" t="inlineStr">
        <is>
          <t>Kommuner</t>
        </is>
      </c>
      <c r="G441" t="n">
        <v>0.8</v>
      </c>
      <c r="H441" t="n">
        <v>0</v>
      </c>
      <c r="I441" t="n">
        <v>0</v>
      </c>
      <c r="J441" t="n">
        <v>0</v>
      </c>
      <c r="K441" t="n">
        <v>0</v>
      </c>
      <c r="L441" t="n">
        <v>0</v>
      </c>
      <c r="M441" t="n">
        <v>0</v>
      </c>
      <c r="N441" t="n">
        <v>0</v>
      </c>
      <c r="O441" t="n">
        <v>0</v>
      </c>
      <c r="P441" t="n">
        <v>0</v>
      </c>
      <c r="Q441" t="n">
        <v>0</v>
      </c>
      <c r="R441" s="2" t="inlineStr"/>
    </row>
    <row r="442" ht="15" customHeight="1">
      <c r="A442" t="inlineStr">
        <is>
          <t>A 1308-2025</t>
        </is>
      </c>
      <c r="B442" s="1" t="n">
        <v>45667.55239583334</v>
      </c>
      <c r="C442" s="1" t="n">
        <v>46052</v>
      </c>
      <c r="D442" t="inlineStr">
        <is>
          <t>JÄMTLANDS LÄN</t>
        </is>
      </c>
      <c r="E442" t="inlineStr">
        <is>
          <t>RAGUNDA</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20777-2025</t>
        </is>
      </c>
      <c r="B443" s="1" t="n">
        <v>45776.59422453704</v>
      </c>
      <c r="C443" s="1" t="n">
        <v>46052</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21150-2025</t>
        </is>
      </c>
      <c r="B444" s="1" t="n">
        <v>45779.34417824074</v>
      </c>
      <c r="C444" s="1" t="n">
        <v>46052</v>
      </c>
      <c r="D444" t="inlineStr">
        <is>
          <t>JÄMTLANDS LÄN</t>
        </is>
      </c>
      <c r="E444" t="inlineStr">
        <is>
          <t>RAGUNDA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11252-2025</t>
        </is>
      </c>
      <c r="B445" s="1" t="n">
        <v>45726.38615740741</v>
      </c>
      <c r="C445" s="1" t="n">
        <v>46052</v>
      </c>
      <c r="D445" t="inlineStr">
        <is>
          <t>JÄMTLANDS LÄN</t>
        </is>
      </c>
      <c r="E445" t="inlineStr">
        <is>
          <t>RAGUNDA</t>
        </is>
      </c>
      <c r="G445" t="n">
        <v>1.9</v>
      </c>
      <c r="H445" t="n">
        <v>0</v>
      </c>
      <c r="I445" t="n">
        <v>0</v>
      </c>
      <c r="J445" t="n">
        <v>0</v>
      </c>
      <c r="K445" t="n">
        <v>0</v>
      </c>
      <c r="L445" t="n">
        <v>0</v>
      </c>
      <c r="M445" t="n">
        <v>0</v>
      </c>
      <c r="N445" t="n">
        <v>0</v>
      </c>
      <c r="O445" t="n">
        <v>0</v>
      </c>
      <c r="P445" t="n">
        <v>0</v>
      </c>
      <c r="Q445" t="n">
        <v>0</v>
      </c>
      <c r="R445" s="2" t="inlineStr"/>
    </row>
    <row r="446" ht="15" customHeight="1">
      <c r="A446" t="inlineStr">
        <is>
          <t>A 21214-2025</t>
        </is>
      </c>
      <c r="B446" s="1" t="n">
        <v>45779.49025462963</v>
      </c>
      <c r="C446" s="1" t="n">
        <v>46052</v>
      </c>
      <c r="D446" t="inlineStr">
        <is>
          <t>JÄMTLANDS LÄN</t>
        </is>
      </c>
      <c r="E446" t="inlineStr">
        <is>
          <t>RAGUNDA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22569-2023</t>
        </is>
      </c>
      <c r="B447" s="1" t="n">
        <v>45069</v>
      </c>
      <c r="C447" s="1" t="n">
        <v>46052</v>
      </c>
      <c r="D447" t="inlineStr">
        <is>
          <t>JÄMTLANDS LÄN</t>
        </is>
      </c>
      <c r="E447" t="inlineStr">
        <is>
          <t>RAGUNDA</t>
        </is>
      </c>
      <c r="G447" t="n">
        <v>6.6</v>
      </c>
      <c r="H447" t="n">
        <v>0</v>
      </c>
      <c r="I447" t="n">
        <v>0</v>
      </c>
      <c r="J447" t="n">
        <v>0</v>
      </c>
      <c r="K447" t="n">
        <v>0</v>
      </c>
      <c r="L447" t="n">
        <v>0</v>
      </c>
      <c r="M447" t="n">
        <v>0</v>
      </c>
      <c r="N447" t="n">
        <v>0</v>
      </c>
      <c r="O447" t="n">
        <v>0</v>
      </c>
      <c r="P447" t="n">
        <v>0</v>
      </c>
      <c r="Q447" t="n">
        <v>0</v>
      </c>
      <c r="R447" s="2" t="inlineStr"/>
    </row>
    <row r="448" ht="15" customHeight="1">
      <c r="A448" t="inlineStr">
        <is>
          <t>A 18610-2024</t>
        </is>
      </c>
      <c r="B448" s="1" t="n">
        <v>45425.96230324074</v>
      </c>
      <c r="C448" s="1" t="n">
        <v>46052</v>
      </c>
      <c r="D448" t="inlineStr">
        <is>
          <t>JÄMTLANDS LÄN</t>
        </is>
      </c>
      <c r="E448" t="inlineStr">
        <is>
          <t>RAGUNDA</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57116-2024</t>
        </is>
      </c>
      <c r="B449" s="1" t="n">
        <v>45629.36513888889</v>
      </c>
      <c r="C449" s="1" t="n">
        <v>46052</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22941-2024</t>
        </is>
      </c>
      <c r="B450" s="1" t="n">
        <v>45448.94520833333</v>
      </c>
      <c r="C450" s="1" t="n">
        <v>46052</v>
      </c>
      <c r="D450" t="inlineStr">
        <is>
          <t>JÄMTLANDS LÄN</t>
        </is>
      </c>
      <c r="E450" t="inlineStr">
        <is>
          <t>RAGUNDA</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3104-2025</t>
        </is>
      </c>
      <c r="B451" s="1" t="n">
        <v>45678.67761574074</v>
      </c>
      <c r="C451" s="1" t="n">
        <v>46052</v>
      </c>
      <c r="D451" t="inlineStr">
        <is>
          <t>JÄMTLANDS LÄN</t>
        </is>
      </c>
      <c r="E451" t="inlineStr">
        <is>
          <t>RAGUNDA</t>
        </is>
      </c>
      <c r="F451" t="inlineStr">
        <is>
          <t>SCA</t>
        </is>
      </c>
      <c r="G451" t="n">
        <v>46.2</v>
      </c>
      <c r="H451" t="n">
        <v>0</v>
      </c>
      <c r="I451" t="n">
        <v>0</v>
      </c>
      <c r="J451" t="n">
        <v>0</v>
      </c>
      <c r="K451" t="n">
        <v>0</v>
      </c>
      <c r="L451" t="n">
        <v>0</v>
      </c>
      <c r="M451" t="n">
        <v>0</v>
      </c>
      <c r="N451" t="n">
        <v>0</v>
      </c>
      <c r="O451" t="n">
        <v>0</v>
      </c>
      <c r="P451" t="n">
        <v>0</v>
      </c>
      <c r="Q451" t="n">
        <v>0</v>
      </c>
      <c r="R451" s="2" t="inlineStr"/>
    </row>
    <row r="452" ht="15" customHeight="1">
      <c r="A452" t="inlineStr">
        <is>
          <t>A 11048-2023</t>
        </is>
      </c>
      <c r="B452" s="1" t="n">
        <v>44991</v>
      </c>
      <c r="C452" s="1" t="n">
        <v>46052</v>
      </c>
      <c r="D452" t="inlineStr">
        <is>
          <t>JÄMTLANDS LÄN</t>
        </is>
      </c>
      <c r="E452" t="inlineStr">
        <is>
          <t>RAGUNDA</t>
        </is>
      </c>
      <c r="F452" t="inlineStr">
        <is>
          <t>SCA</t>
        </is>
      </c>
      <c r="G452" t="n">
        <v>13.5</v>
      </c>
      <c r="H452" t="n">
        <v>0</v>
      </c>
      <c r="I452" t="n">
        <v>0</v>
      </c>
      <c r="J452" t="n">
        <v>0</v>
      </c>
      <c r="K452" t="n">
        <v>0</v>
      </c>
      <c r="L452" t="n">
        <v>0</v>
      </c>
      <c r="M452" t="n">
        <v>0</v>
      </c>
      <c r="N452" t="n">
        <v>0</v>
      </c>
      <c r="O452" t="n">
        <v>0</v>
      </c>
      <c r="P452" t="n">
        <v>0</v>
      </c>
      <c r="Q452" t="n">
        <v>0</v>
      </c>
      <c r="R452" s="2" t="inlineStr"/>
    </row>
    <row r="453" ht="15" customHeight="1">
      <c r="A453" t="inlineStr">
        <is>
          <t>A 11062-2023</t>
        </is>
      </c>
      <c r="B453" s="1" t="n">
        <v>44991</v>
      </c>
      <c r="C453" s="1" t="n">
        <v>46052</v>
      </c>
      <c r="D453" t="inlineStr">
        <is>
          <t>JÄMTLANDS LÄN</t>
        </is>
      </c>
      <c r="E453" t="inlineStr">
        <is>
          <t>RAGUNDA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21430-2025</t>
        </is>
      </c>
      <c r="B454" s="1" t="n">
        <v>45782.51099537037</v>
      </c>
      <c r="C454" s="1" t="n">
        <v>46052</v>
      </c>
      <c r="D454" t="inlineStr">
        <is>
          <t>JÄMTLANDS LÄN</t>
        </is>
      </c>
      <c r="E454" t="inlineStr">
        <is>
          <t>RAGUNDA</t>
        </is>
      </c>
      <c r="F454" t="inlineStr">
        <is>
          <t>SCA</t>
        </is>
      </c>
      <c r="G454" t="n">
        <v>7.1</v>
      </c>
      <c r="H454" t="n">
        <v>0</v>
      </c>
      <c r="I454" t="n">
        <v>0</v>
      </c>
      <c r="J454" t="n">
        <v>0</v>
      </c>
      <c r="K454" t="n">
        <v>0</v>
      </c>
      <c r="L454" t="n">
        <v>0</v>
      </c>
      <c r="M454" t="n">
        <v>0</v>
      </c>
      <c r="N454" t="n">
        <v>0</v>
      </c>
      <c r="O454" t="n">
        <v>0</v>
      </c>
      <c r="P454" t="n">
        <v>0</v>
      </c>
      <c r="Q454" t="n">
        <v>0</v>
      </c>
      <c r="R454" s="2" t="inlineStr"/>
    </row>
    <row r="455" ht="15" customHeight="1">
      <c r="A455" t="inlineStr">
        <is>
          <t>A 44881-2023</t>
        </is>
      </c>
      <c r="B455" s="1" t="n">
        <v>45187</v>
      </c>
      <c r="C455" s="1" t="n">
        <v>46052</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57064-2024</t>
        </is>
      </c>
      <c r="B456" s="1" t="n">
        <v>45629.35326388889</v>
      </c>
      <c r="C456" s="1" t="n">
        <v>46052</v>
      </c>
      <c r="D456" t="inlineStr">
        <is>
          <t>JÄMTLANDS LÄN</t>
        </is>
      </c>
      <c r="E456" t="inlineStr">
        <is>
          <t>RAGUNDA</t>
        </is>
      </c>
      <c r="F456" t="inlineStr">
        <is>
          <t>Naturvårdsverket</t>
        </is>
      </c>
      <c r="G456" t="n">
        <v>0.5</v>
      </c>
      <c r="H456" t="n">
        <v>0</v>
      </c>
      <c r="I456" t="n">
        <v>0</v>
      </c>
      <c r="J456" t="n">
        <v>0</v>
      </c>
      <c r="K456" t="n">
        <v>0</v>
      </c>
      <c r="L456" t="n">
        <v>0</v>
      </c>
      <c r="M456" t="n">
        <v>0</v>
      </c>
      <c r="N456" t="n">
        <v>0</v>
      </c>
      <c r="O456" t="n">
        <v>0</v>
      </c>
      <c r="P456" t="n">
        <v>0</v>
      </c>
      <c r="Q456" t="n">
        <v>0</v>
      </c>
      <c r="R456" s="2" t="inlineStr"/>
    </row>
    <row r="457" ht="15" customHeight="1">
      <c r="A457" t="inlineStr">
        <is>
          <t>A 40246-2024</t>
        </is>
      </c>
      <c r="B457" s="1" t="n">
        <v>45554.61583333334</v>
      </c>
      <c r="C457" s="1" t="n">
        <v>46052</v>
      </c>
      <c r="D457" t="inlineStr">
        <is>
          <t>JÄMTLANDS LÄN</t>
        </is>
      </c>
      <c r="E457" t="inlineStr">
        <is>
          <t>RAGUNDA</t>
        </is>
      </c>
      <c r="G457" t="n">
        <v>1</v>
      </c>
      <c r="H457" t="n">
        <v>0</v>
      </c>
      <c r="I457" t="n">
        <v>0</v>
      </c>
      <c r="J457" t="n">
        <v>0</v>
      </c>
      <c r="K457" t="n">
        <v>0</v>
      </c>
      <c r="L457" t="n">
        <v>0</v>
      </c>
      <c r="M457" t="n">
        <v>0</v>
      </c>
      <c r="N457" t="n">
        <v>0</v>
      </c>
      <c r="O457" t="n">
        <v>0</v>
      </c>
      <c r="P457" t="n">
        <v>0</v>
      </c>
      <c r="Q457" t="n">
        <v>0</v>
      </c>
      <c r="R457" s="2" t="inlineStr"/>
    </row>
    <row r="458" ht="15" customHeight="1">
      <c r="A458" t="inlineStr">
        <is>
          <t>A 21451-2025</t>
        </is>
      </c>
      <c r="B458" s="1" t="n">
        <v>45782.55287037037</v>
      </c>
      <c r="C458" s="1" t="n">
        <v>46052</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4878-2022</t>
        </is>
      </c>
      <c r="B459" s="1" t="n">
        <v>44593</v>
      </c>
      <c r="C459" s="1" t="n">
        <v>46052</v>
      </c>
      <c r="D459" t="inlineStr">
        <is>
          <t>JÄMTLANDS LÄN</t>
        </is>
      </c>
      <c r="E459" t="inlineStr">
        <is>
          <t>RAGUNDA</t>
        </is>
      </c>
      <c r="G459" t="n">
        <v>21.7</v>
      </c>
      <c r="H459" t="n">
        <v>0</v>
      </c>
      <c r="I459" t="n">
        <v>0</v>
      </c>
      <c r="J459" t="n">
        <v>0</v>
      </c>
      <c r="K459" t="n">
        <v>0</v>
      </c>
      <c r="L459" t="n">
        <v>0</v>
      </c>
      <c r="M459" t="n">
        <v>0</v>
      </c>
      <c r="N459" t="n">
        <v>0</v>
      </c>
      <c r="O459" t="n">
        <v>0</v>
      </c>
      <c r="P459" t="n">
        <v>0</v>
      </c>
      <c r="Q459" t="n">
        <v>0</v>
      </c>
      <c r="R459" s="2" t="inlineStr"/>
    </row>
    <row r="460" ht="15" customHeight="1">
      <c r="A460" t="inlineStr">
        <is>
          <t>A 57237-2022</t>
        </is>
      </c>
      <c r="B460" s="1" t="n">
        <v>44889</v>
      </c>
      <c r="C460" s="1" t="n">
        <v>46052</v>
      </c>
      <c r="D460" t="inlineStr">
        <is>
          <t>JÄMTLANDS LÄN</t>
        </is>
      </c>
      <c r="E460" t="inlineStr">
        <is>
          <t>RAGUNDA</t>
        </is>
      </c>
      <c r="G460" t="n">
        <v>2.2</v>
      </c>
      <c r="H460" t="n">
        <v>0</v>
      </c>
      <c r="I460" t="n">
        <v>0</v>
      </c>
      <c r="J460" t="n">
        <v>0</v>
      </c>
      <c r="K460" t="n">
        <v>0</v>
      </c>
      <c r="L460" t="n">
        <v>0</v>
      </c>
      <c r="M460" t="n">
        <v>0</v>
      </c>
      <c r="N460" t="n">
        <v>0</v>
      </c>
      <c r="O460" t="n">
        <v>0</v>
      </c>
      <c r="P460" t="n">
        <v>0</v>
      </c>
      <c r="Q460" t="n">
        <v>0</v>
      </c>
      <c r="R460" s="2" t="inlineStr"/>
    </row>
    <row r="461" ht="15" customHeight="1">
      <c r="A461" t="inlineStr">
        <is>
          <t>A 55524-2024</t>
        </is>
      </c>
      <c r="B461" s="1" t="n">
        <v>45622.47435185185</v>
      </c>
      <c r="C461" s="1" t="n">
        <v>46052</v>
      </c>
      <c r="D461" t="inlineStr">
        <is>
          <t>JÄMTLANDS LÄN</t>
        </is>
      </c>
      <c r="E461" t="inlineStr">
        <is>
          <t>RAGUNDA</t>
        </is>
      </c>
      <c r="G461" t="n">
        <v>1.4</v>
      </c>
      <c r="H461" t="n">
        <v>0</v>
      </c>
      <c r="I461" t="n">
        <v>0</v>
      </c>
      <c r="J461" t="n">
        <v>0</v>
      </c>
      <c r="K461" t="n">
        <v>0</v>
      </c>
      <c r="L461" t="n">
        <v>0</v>
      </c>
      <c r="M461" t="n">
        <v>0</v>
      </c>
      <c r="N461" t="n">
        <v>0</v>
      </c>
      <c r="O461" t="n">
        <v>0</v>
      </c>
      <c r="P461" t="n">
        <v>0</v>
      </c>
      <c r="Q461" t="n">
        <v>0</v>
      </c>
      <c r="R461" s="2" t="inlineStr"/>
    </row>
    <row r="462" ht="15" customHeight="1">
      <c r="A462" t="inlineStr">
        <is>
          <t>A 21432-2025</t>
        </is>
      </c>
      <c r="B462" s="1" t="n">
        <v>45782.51109953703</v>
      </c>
      <c r="C462" s="1" t="n">
        <v>46052</v>
      </c>
      <c r="D462" t="inlineStr">
        <is>
          <t>JÄMTLANDS LÄN</t>
        </is>
      </c>
      <c r="E462" t="inlineStr">
        <is>
          <t>RAGUNDA</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21331-2025</t>
        </is>
      </c>
      <c r="B463" s="1" t="n">
        <v>45782.36494212963</v>
      </c>
      <c r="C463" s="1" t="n">
        <v>46052</v>
      </c>
      <c r="D463" t="inlineStr">
        <is>
          <t>JÄMTLANDS LÄN</t>
        </is>
      </c>
      <c r="E463" t="inlineStr">
        <is>
          <t>RAGUNDA</t>
        </is>
      </c>
      <c r="F463" t="inlineStr">
        <is>
          <t>SCA</t>
        </is>
      </c>
      <c r="G463" t="n">
        <v>23.1</v>
      </c>
      <c r="H463" t="n">
        <v>0</v>
      </c>
      <c r="I463" t="n">
        <v>0</v>
      </c>
      <c r="J463" t="n">
        <v>0</v>
      </c>
      <c r="K463" t="n">
        <v>0</v>
      </c>
      <c r="L463" t="n">
        <v>0</v>
      </c>
      <c r="M463" t="n">
        <v>0</v>
      </c>
      <c r="N463" t="n">
        <v>0</v>
      </c>
      <c r="O463" t="n">
        <v>0</v>
      </c>
      <c r="P463" t="n">
        <v>0</v>
      </c>
      <c r="Q463" t="n">
        <v>0</v>
      </c>
      <c r="R463" s="2" t="inlineStr"/>
      <c r="U463">
        <f>HYPERLINK("https://klasma.github.io/Logging_2303/knärot/A 21331-2025 karta knärot.png", "A 21331-2025")</f>
        <v/>
      </c>
      <c r="V463">
        <f>HYPERLINK("https://klasma.github.io/Logging_2303/klagomål/A 21331-2025 FSC-klagomål.docx", "A 21331-2025")</f>
        <v/>
      </c>
      <c r="W463">
        <f>HYPERLINK("https://klasma.github.io/Logging_2303/klagomålsmail/A 21331-2025 FSC-klagomål mail.docx", "A 21331-2025")</f>
        <v/>
      </c>
      <c r="X463">
        <f>HYPERLINK("https://klasma.github.io/Logging_2303/tillsyn/A 21331-2025 tillsynsbegäran.docx", "A 21331-2025")</f>
        <v/>
      </c>
      <c r="Y463">
        <f>HYPERLINK("https://klasma.github.io/Logging_2303/tillsynsmail/A 21331-2025 tillsynsbegäran mail.docx", "A 21331-2025")</f>
        <v/>
      </c>
    </row>
    <row r="464" ht="15" customHeight="1">
      <c r="A464" t="inlineStr">
        <is>
          <t>A 25332-2023</t>
        </is>
      </c>
      <c r="B464" s="1" t="n">
        <v>45086.94010416666</v>
      </c>
      <c r="C464" s="1" t="n">
        <v>46052</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29920-2024</t>
        </is>
      </c>
      <c r="B465" s="1" t="n">
        <v>45487.92856481481</v>
      </c>
      <c r="C465" s="1" t="n">
        <v>46052</v>
      </c>
      <c r="D465" t="inlineStr">
        <is>
          <t>JÄMTLANDS LÄN</t>
        </is>
      </c>
      <c r="E465" t="inlineStr">
        <is>
          <t>RAGUNDA</t>
        </is>
      </c>
      <c r="G465" t="n">
        <v>3.4</v>
      </c>
      <c r="H465" t="n">
        <v>0</v>
      </c>
      <c r="I465" t="n">
        <v>0</v>
      </c>
      <c r="J465" t="n">
        <v>0</v>
      </c>
      <c r="K465" t="n">
        <v>0</v>
      </c>
      <c r="L465" t="n">
        <v>0</v>
      </c>
      <c r="M465" t="n">
        <v>0</v>
      </c>
      <c r="N465" t="n">
        <v>0</v>
      </c>
      <c r="O465" t="n">
        <v>0</v>
      </c>
      <c r="P465" t="n">
        <v>0</v>
      </c>
      <c r="Q465" t="n">
        <v>0</v>
      </c>
      <c r="R465" s="2" t="inlineStr"/>
    </row>
    <row r="466" ht="15" customHeight="1">
      <c r="A466" t="inlineStr">
        <is>
          <t>A 24197-2024</t>
        </is>
      </c>
      <c r="B466" s="1" t="n">
        <v>45456.96601851852</v>
      </c>
      <c r="C466" s="1" t="n">
        <v>46052</v>
      </c>
      <c r="D466" t="inlineStr">
        <is>
          <t>JÄMTLANDS LÄN</t>
        </is>
      </c>
      <c r="E466" t="inlineStr">
        <is>
          <t>RAGUNDA</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3767-2025</t>
        </is>
      </c>
      <c r="B467" s="1" t="n">
        <v>45681.60203703704</v>
      </c>
      <c r="C467" s="1" t="n">
        <v>46052</v>
      </c>
      <c r="D467" t="inlineStr">
        <is>
          <t>JÄMTLANDS LÄN</t>
        </is>
      </c>
      <c r="E467" t="inlineStr">
        <is>
          <t>RAGUNDA</t>
        </is>
      </c>
      <c r="G467" t="n">
        <v>4.9</v>
      </c>
      <c r="H467" t="n">
        <v>0</v>
      </c>
      <c r="I467" t="n">
        <v>0</v>
      </c>
      <c r="J467" t="n">
        <v>0</v>
      </c>
      <c r="K467" t="n">
        <v>0</v>
      </c>
      <c r="L467" t="n">
        <v>0</v>
      </c>
      <c r="M467" t="n">
        <v>0</v>
      </c>
      <c r="N467" t="n">
        <v>0</v>
      </c>
      <c r="O467" t="n">
        <v>0</v>
      </c>
      <c r="P467" t="n">
        <v>0</v>
      </c>
      <c r="Q467" t="n">
        <v>0</v>
      </c>
      <c r="R467" s="2" t="inlineStr"/>
    </row>
    <row r="468" ht="15" customHeight="1">
      <c r="A468" t="inlineStr">
        <is>
          <t>A 7280-2024</t>
        </is>
      </c>
      <c r="B468" s="1" t="n">
        <v>45344</v>
      </c>
      <c r="C468" s="1" t="n">
        <v>46052</v>
      </c>
      <c r="D468" t="inlineStr">
        <is>
          <t>JÄMTLANDS LÄN</t>
        </is>
      </c>
      <c r="E468" t="inlineStr">
        <is>
          <t>RAGUNDA</t>
        </is>
      </c>
      <c r="G468" t="n">
        <v>1.6</v>
      </c>
      <c r="H468" t="n">
        <v>0</v>
      </c>
      <c r="I468" t="n">
        <v>0</v>
      </c>
      <c r="J468" t="n">
        <v>0</v>
      </c>
      <c r="K468" t="n">
        <v>0</v>
      </c>
      <c r="L468" t="n">
        <v>0</v>
      </c>
      <c r="M468" t="n">
        <v>0</v>
      </c>
      <c r="N468" t="n">
        <v>0</v>
      </c>
      <c r="O468" t="n">
        <v>0</v>
      </c>
      <c r="P468" t="n">
        <v>0</v>
      </c>
      <c r="Q468" t="n">
        <v>0</v>
      </c>
      <c r="R468" s="2" t="inlineStr"/>
    </row>
    <row r="469" ht="15" customHeight="1">
      <c r="A469" t="inlineStr">
        <is>
          <t>A 2133-2023</t>
        </is>
      </c>
      <c r="B469" s="1" t="n">
        <v>44939</v>
      </c>
      <c r="C469" s="1" t="n">
        <v>46052</v>
      </c>
      <c r="D469" t="inlineStr">
        <is>
          <t>JÄMTLANDS LÄN</t>
        </is>
      </c>
      <c r="E469" t="inlineStr">
        <is>
          <t>RAGUNDA</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21550-2025</t>
        </is>
      </c>
      <c r="B470" s="1" t="n">
        <v>45782.67758101852</v>
      </c>
      <c r="C470" s="1" t="n">
        <v>46052</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19419-2024</t>
        </is>
      </c>
      <c r="B471" s="1" t="n">
        <v>45429</v>
      </c>
      <c r="C471" s="1" t="n">
        <v>46052</v>
      </c>
      <c r="D471" t="inlineStr">
        <is>
          <t>JÄMTLANDS LÄN</t>
        </is>
      </c>
      <c r="E471" t="inlineStr">
        <is>
          <t>RAGUNDA</t>
        </is>
      </c>
      <c r="G471" t="n">
        <v>3.5</v>
      </c>
      <c r="H471" t="n">
        <v>0</v>
      </c>
      <c r="I471" t="n">
        <v>0</v>
      </c>
      <c r="J471" t="n">
        <v>0</v>
      </c>
      <c r="K471" t="n">
        <v>0</v>
      </c>
      <c r="L471" t="n">
        <v>0</v>
      </c>
      <c r="M471" t="n">
        <v>0</v>
      </c>
      <c r="N471" t="n">
        <v>0</v>
      </c>
      <c r="O471" t="n">
        <v>0</v>
      </c>
      <c r="P471" t="n">
        <v>0</v>
      </c>
      <c r="Q471" t="n">
        <v>0</v>
      </c>
      <c r="R471" s="2" t="inlineStr"/>
    </row>
    <row r="472" ht="15" customHeight="1">
      <c r="A472" t="inlineStr">
        <is>
          <t>A 44778-2024</t>
        </is>
      </c>
      <c r="B472" s="1" t="n">
        <v>45574.63355324074</v>
      </c>
      <c r="C472" s="1" t="n">
        <v>46052</v>
      </c>
      <c r="D472" t="inlineStr">
        <is>
          <t>JÄMTLANDS LÄN</t>
        </is>
      </c>
      <c r="E472" t="inlineStr">
        <is>
          <t>RAGUNDA</t>
        </is>
      </c>
      <c r="G472" t="n">
        <v>5.5</v>
      </c>
      <c r="H472" t="n">
        <v>0</v>
      </c>
      <c r="I472" t="n">
        <v>0</v>
      </c>
      <c r="J472" t="n">
        <v>0</v>
      </c>
      <c r="K472" t="n">
        <v>0</v>
      </c>
      <c r="L472" t="n">
        <v>0</v>
      </c>
      <c r="M472" t="n">
        <v>0</v>
      </c>
      <c r="N472" t="n">
        <v>0</v>
      </c>
      <c r="O472" t="n">
        <v>0</v>
      </c>
      <c r="P472" t="n">
        <v>0</v>
      </c>
      <c r="Q472" t="n">
        <v>0</v>
      </c>
      <c r="R472" s="2" t="inlineStr"/>
    </row>
    <row r="473" ht="15" customHeight="1">
      <c r="A473" t="inlineStr">
        <is>
          <t>A 2673-2024</t>
        </is>
      </c>
      <c r="B473" s="1" t="n">
        <v>45314</v>
      </c>
      <c r="C473" s="1" t="n">
        <v>46052</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64492-2023</t>
        </is>
      </c>
      <c r="B474" s="1" t="n">
        <v>45280.92645833334</v>
      </c>
      <c r="C474" s="1" t="n">
        <v>46052</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19383-2025</t>
        </is>
      </c>
      <c r="B475" s="1" t="n">
        <v>45769.65688657408</v>
      </c>
      <c r="C475" s="1" t="n">
        <v>46052</v>
      </c>
      <c r="D475" t="inlineStr">
        <is>
          <t>JÄMTLANDS LÄN</t>
        </is>
      </c>
      <c r="E475" t="inlineStr">
        <is>
          <t>RAGUNDA</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14368-2024</t>
        </is>
      </c>
      <c r="B476" s="1" t="n">
        <v>45393.94431712963</v>
      </c>
      <c r="C476" s="1" t="n">
        <v>46052</v>
      </c>
      <c r="D476" t="inlineStr">
        <is>
          <t>JÄMTLANDS LÄN</t>
        </is>
      </c>
      <c r="E476" t="inlineStr">
        <is>
          <t>RAGUNDA</t>
        </is>
      </c>
      <c r="F476" t="inlineStr">
        <is>
          <t>Naturvårdsverket</t>
        </is>
      </c>
      <c r="G476" t="n">
        <v>1.6</v>
      </c>
      <c r="H476" t="n">
        <v>0</v>
      </c>
      <c r="I476" t="n">
        <v>0</v>
      </c>
      <c r="J476" t="n">
        <v>0</v>
      </c>
      <c r="K476" t="n">
        <v>0</v>
      </c>
      <c r="L476" t="n">
        <v>0</v>
      </c>
      <c r="M476" t="n">
        <v>0</v>
      </c>
      <c r="N476" t="n">
        <v>0</v>
      </c>
      <c r="O476" t="n">
        <v>0</v>
      </c>
      <c r="P476" t="n">
        <v>0</v>
      </c>
      <c r="Q476" t="n">
        <v>0</v>
      </c>
      <c r="R476" s="2" t="inlineStr"/>
    </row>
    <row r="477" ht="15" customHeight="1">
      <c r="A477" t="inlineStr">
        <is>
          <t>A 49229-2024</t>
        </is>
      </c>
      <c r="B477" s="1" t="n">
        <v>45595.42738425926</v>
      </c>
      <c r="C477" s="1" t="n">
        <v>46052</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13700-2023</t>
        </is>
      </c>
      <c r="B478" s="1" t="n">
        <v>45006</v>
      </c>
      <c r="C478" s="1" t="n">
        <v>46052</v>
      </c>
      <c r="D478" t="inlineStr">
        <is>
          <t>JÄMTLANDS LÄN</t>
        </is>
      </c>
      <c r="E478" t="inlineStr">
        <is>
          <t>RAGUNDA</t>
        </is>
      </c>
      <c r="F478" t="inlineStr">
        <is>
          <t>SCA</t>
        </is>
      </c>
      <c r="G478" t="n">
        <v>50.3</v>
      </c>
      <c r="H478" t="n">
        <v>0</v>
      </c>
      <c r="I478" t="n">
        <v>0</v>
      </c>
      <c r="J478" t="n">
        <v>0</v>
      </c>
      <c r="K478" t="n">
        <v>0</v>
      </c>
      <c r="L478" t="n">
        <v>0</v>
      </c>
      <c r="M478" t="n">
        <v>0</v>
      </c>
      <c r="N478" t="n">
        <v>0</v>
      </c>
      <c r="O478" t="n">
        <v>0</v>
      </c>
      <c r="P478" t="n">
        <v>0</v>
      </c>
      <c r="Q478" t="n">
        <v>0</v>
      </c>
      <c r="R478" s="2" t="inlineStr"/>
    </row>
    <row r="479" ht="15" customHeight="1">
      <c r="A479" t="inlineStr">
        <is>
          <t>A 51389-2024</t>
        </is>
      </c>
      <c r="B479" s="1" t="n">
        <v>45604.40540509259</v>
      </c>
      <c r="C479" s="1" t="n">
        <v>46052</v>
      </c>
      <c r="D479" t="inlineStr">
        <is>
          <t>JÄMTLANDS LÄN</t>
        </is>
      </c>
      <c r="E479" t="inlineStr">
        <is>
          <t>RAGUNDA</t>
        </is>
      </c>
      <c r="G479" t="n">
        <v>1.7</v>
      </c>
      <c r="H479" t="n">
        <v>0</v>
      </c>
      <c r="I479" t="n">
        <v>0</v>
      </c>
      <c r="J479" t="n">
        <v>0</v>
      </c>
      <c r="K479" t="n">
        <v>0</v>
      </c>
      <c r="L479" t="n">
        <v>0</v>
      </c>
      <c r="M479" t="n">
        <v>0</v>
      </c>
      <c r="N479" t="n">
        <v>0</v>
      </c>
      <c r="O479" t="n">
        <v>0</v>
      </c>
      <c r="P479" t="n">
        <v>0</v>
      </c>
      <c r="Q479" t="n">
        <v>0</v>
      </c>
      <c r="R479" s="2" t="inlineStr"/>
    </row>
    <row r="480" ht="15" customHeight="1">
      <c r="A480" t="inlineStr">
        <is>
          <t>A 51393-2024</t>
        </is>
      </c>
      <c r="B480" s="1" t="n">
        <v>45604.41625</v>
      </c>
      <c r="C480" s="1" t="n">
        <v>46052</v>
      </c>
      <c r="D480" t="inlineStr">
        <is>
          <t>JÄMTLANDS LÄN</t>
        </is>
      </c>
      <c r="E480" t="inlineStr">
        <is>
          <t>RAGUNDA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12783-2023</t>
        </is>
      </c>
      <c r="B481" s="1" t="n">
        <v>45000</v>
      </c>
      <c r="C481" s="1" t="n">
        <v>46052</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53171-2024</t>
        </is>
      </c>
      <c r="B482" s="1" t="n">
        <v>45611.65679398148</v>
      </c>
      <c r="C482" s="1" t="n">
        <v>46052</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7279-2024</t>
        </is>
      </c>
      <c r="B483" s="1" t="n">
        <v>45344.92822916667</v>
      </c>
      <c r="C483" s="1" t="n">
        <v>46052</v>
      </c>
      <c r="D483" t="inlineStr">
        <is>
          <t>JÄMTLANDS LÄN</t>
        </is>
      </c>
      <c r="E483" t="inlineStr">
        <is>
          <t>RAGUNDA</t>
        </is>
      </c>
      <c r="G483" t="n">
        <v>2.1</v>
      </c>
      <c r="H483" t="n">
        <v>0</v>
      </c>
      <c r="I483" t="n">
        <v>0</v>
      </c>
      <c r="J483" t="n">
        <v>0</v>
      </c>
      <c r="K483" t="n">
        <v>0</v>
      </c>
      <c r="L483" t="n">
        <v>0</v>
      </c>
      <c r="M483" t="n">
        <v>0</v>
      </c>
      <c r="N483" t="n">
        <v>0</v>
      </c>
      <c r="O483" t="n">
        <v>0</v>
      </c>
      <c r="P483" t="n">
        <v>0</v>
      </c>
      <c r="Q483" t="n">
        <v>0</v>
      </c>
      <c r="R483" s="2" t="inlineStr"/>
    </row>
    <row r="484" ht="15" customHeight="1">
      <c r="A484" t="inlineStr">
        <is>
          <t>A 54599-2023</t>
        </is>
      </c>
      <c r="B484" s="1" t="n">
        <v>45233.92591435185</v>
      </c>
      <c r="C484" s="1" t="n">
        <v>46052</v>
      </c>
      <c r="D484" t="inlineStr">
        <is>
          <t>JÄMTLANDS LÄN</t>
        </is>
      </c>
      <c r="E484" t="inlineStr">
        <is>
          <t>RAGUNDA</t>
        </is>
      </c>
      <c r="G484" t="n">
        <v>3.7</v>
      </c>
      <c r="H484" t="n">
        <v>0</v>
      </c>
      <c r="I484" t="n">
        <v>0</v>
      </c>
      <c r="J484" t="n">
        <v>0</v>
      </c>
      <c r="K484" t="n">
        <v>0</v>
      </c>
      <c r="L484" t="n">
        <v>0</v>
      </c>
      <c r="M484" t="n">
        <v>0</v>
      </c>
      <c r="N484" t="n">
        <v>0</v>
      </c>
      <c r="O484" t="n">
        <v>0</v>
      </c>
      <c r="P484" t="n">
        <v>0</v>
      </c>
      <c r="Q484" t="n">
        <v>0</v>
      </c>
      <c r="R484" s="2" t="inlineStr"/>
    </row>
    <row r="485" ht="15" customHeight="1">
      <c r="A485" t="inlineStr">
        <is>
          <t>A 20987-2023</t>
        </is>
      </c>
      <c r="B485" s="1" t="n">
        <v>45056</v>
      </c>
      <c r="C485" s="1" t="n">
        <v>46052</v>
      </c>
      <c r="D485" t="inlineStr">
        <is>
          <t>JÄMTLANDS LÄN</t>
        </is>
      </c>
      <c r="E485" t="inlineStr">
        <is>
          <t>RAGUNDA</t>
        </is>
      </c>
      <c r="G485" t="n">
        <v>1.1</v>
      </c>
      <c r="H485" t="n">
        <v>0</v>
      </c>
      <c r="I485" t="n">
        <v>0</v>
      </c>
      <c r="J485" t="n">
        <v>0</v>
      </c>
      <c r="K485" t="n">
        <v>0</v>
      </c>
      <c r="L485" t="n">
        <v>0</v>
      </c>
      <c r="M485" t="n">
        <v>0</v>
      </c>
      <c r="N485" t="n">
        <v>0</v>
      </c>
      <c r="O485" t="n">
        <v>0</v>
      </c>
      <c r="P485" t="n">
        <v>0</v>
      </c>
      <c r="Q485" t="n">
        <v>0</v>
      </c>
      <c r="R485" s="2" t="inlineStr"/>
    </row>
    <row r="486" ht="15" customHeight="1">
      <c r="A486" t="inlineStr">
        <is>
          <t>A 20994-2023</t>
        </is>
      </c>
      <c r="B486" s="1" t="n">
        <v>45056</v>
      </c>
      <c r="C486" s="1" t="n">
        <v>46052</v>
      </c>
      <c r="D486" t="inlineStr">
        <is>
          <t>JÄMTLANDS LÄN</t>
        </is>
      </c>
      <c r="E486" t="inlineStr">
        <is>
          <t>RAGUNDA</t>
        </is>
      </c>
      <c r="G486" t="n">
        <v>1.3</v>
      </c>
      <c r="H486" t="n">
        <v>0</v>
      </c>
      <c r="I486" t="n">
        <v>0</v>
      </c>
      <c r="J486" t="n">
        <v>0</v>
      </c>
      <c r="K486" t="n">
        <v>0</v>
      </c>
      <c r="L486" t="n">
        <v>0</v>
      </c>
      <c r="M486" t="n">
        <v>0</v>
      </c>
      <c r="N486" t="n">
        <v>0</v>
      </c>
      <c r="O486" t="n">
        <v>0</v>
      </c>
      <c r="P486" t="n">
        <v>0</v>
      </c>
      <c r="Q486" t="n">
        <v>0</v>
      </c>
      <c r="R486" s="2" t="inlineStr"/>
    </row>
    <row r="487" ht="15" customHeight="1">
      <c r="A487" t="inlineStr">
        <is>
          <t>A 57889-2024</t>
        </is>
      </c>
      <c r="B487" s="1" t="n">
        <v>45631.46665509259</v>
      </c>
      <c r="C487" s="1" t="n">
        <v>46052</v>
      </c>
      <c r="D487" t="inlineStr">
        <is>
          <t>JÄMTLANDS LÄN</t>
        </is>
      </c>
      <c r="E487" t="inlineStr">
        <is>
          <t>RAGUNDA</t>
        </is>
      </c>
      <c r="G487" t="n">
        <v>11.1</v>
      </c>
      <c r="H487" t="n">
        <v>0</v>
      </c>
      <c r="I487" t="n">
        <v>0</v>
      </c>
      <c r="J487" t="n">
        <v>0</v>
      </c>
      <c r="K487" t="n">
        <v>0</v>
      </c>
      <c r="L487" t="n">
        <v>0</v>
      </c>
      <c r="M487" t="n">
        <v>0</v>
      </c>
      <c r="N487" t="n">
        <v>0</v>
      </c>
      <c r="O487" t="n">
        <v>0</v>
      </c>
      <c r="P487" t="n">
        <v>0</v>
      </c>
      <c r="Q487" t="n">
        <v>0</v>
      </c>
      <c r="R487" s="2" t="inlineStr"/>
    </row>
    <row r="488" ht="15" customHeight="1">
      <c r="A488" t="inlineStr">
        <is>
          <t>A 55669-2023</t>
        </is>
      </c>
      <c r="B488" s="1" t="n">
        <v>45238.96797453704</v>
      </c>
      <c r="C488" s="1" t="n">
        <v>46052</v>
      </c>
      <c r="D488" t="inlineStr">
        <is>
          <t>JÄMTLANDS LÄN</t>
        </is>
      </c>
      <c r="E488" t="inlineStr">
        <is>
          <t>RAGUNDA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32063-2024</t>
        </is>
      </c>
      <c r="B489" s="1" t="n">
        <v>45510</v>
      </c>
      <c r="C489" s="1" t="n">
        <v>46052</v>
      </c>
      <c r="D489" t="inlineStr">
        <is>
          <t>JÄMTLANDS LÄN</t>
        </is>
      </c>
      <c r="E489" t="inlineStr">
        <is>
          <t>RAGUNDA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60629-2023</t>
        </is>
      </c>
      <c r="B490" s="1" t="n">
        <v>45259</v>
      </c>
      <c r="C490" s="1" t="n">
        <v>46052</v>
      </c>
      <c r="D490" t="inlineStr">
        <is>
          <t>JÄMTLANDS LÄN</t>
        </is>
      </c>
      <c r="E490" t="inlineStr">
        <is>
          <t>RAGUNDA</t>
        </is>
      </c>
      <c r="G490" t="n">
        <v>3.4</v>
      </c>
      <c r="H490" t="n">
        <v>0</v>
      </c>
      <c r="I490" t="n">
        <v>0</v>
      </c>
      <c r="J490" t="n">
        <v>0</v>
      </c>
      <c r="K490" t="n">
        <v>0</v>
      </c>
      <c r="L490" t="n">
        <v>0</v>
      </c>
      <c r="M490" t="n">
        <v>0</v>
      </c>
      <c r="N490" t="n">
        <v>0</v>
      </c>
      <c r="O490" t="n">
        <v>0</v>
      </c>
      <c r="P490" t="n">
        <v>0</v>
      </c>
      <c r="Q490" t="n">
        <v>0</v>
      </c>
      <c r="R490" s="2" t="inlineStr"/>
    </row>
    <row r="491" ht="15" customHeight="1">
      <c r="A491" t="inlineStr">
        <is>
          <t>A 10641-2024</t>
        </is>
      </c>
      <c r="B491" s="1" t="n">
        <v>45367.69850694444</v>
      </c>
      <c r="C491" s="1" t="n">
        <v>46052</v>
      </c>
      <c r="D491" t="inlineStr">
        <is>
          <t>JÄMTLANDS LÄN</t>
        </is>
      </c>
      <c r="E491" t="inlineStr">
        <is>
          <t>RAGUNDA</t>
        </is>
      </c>
      <c r="G491" t="n">
        <v>0.9</v>
      </c>
      <c r="H491" t="n">
        <v>0</v>
      </c>
      <c r="I491" t="n">
        <v>0</v>
      </c>
      <c r="J491" t="n">
        <v>0</v>
      </c>
      <c r="K491" t="n">
        <v>0</v>
      </c>
      <c r="L491" t="n">
        <v>0</v>
      </c>
      <c r="M491" t="n">
        <v>0</v>
      </c>
      <c r="N491" t="n">
        <v>0</v>
      </c>
      <c r="O491" t="n">
        <v>0</v>
      </c>
      <c r="P491" t="n">
        <v>0</v>
      </c>
      <c r="Q491" t="n">
        <v>0</v>
      </c>
      <c r="R491" s="2" t="inlineStr"/>
    </row>
    <row r="492" ht="15" customHeight="1">
      <c r="A492" t="inlineStr">
        <is>
          <t>A 10644-2024</t>
        </is>
      </c>
      <c r="B492" s="1" t="n">
        <v>45367.71348379629</v>
      </c>
      <c r="C492" s="1" t="n">
        <v>46052</v>
      </c>
      <c r="D492" t="inlineStr">
        <is>
          <t>JÄMTLANDS LÄN</t>
        </is>
      </c>
      <c r="E492" t="inlineStr">
        <is>
          <t>RAGUNDA</t>
        </is>
      </c>
      <c r="G492" t="n">
        <v>2</v>
      </c>
      <c r="H492" t="n">
        <v>0</v>
      </c>
      <c r="I492" t="n">
        <v>0</v>
      </c>
      <c r="J492" t="n">
        <v>0</v>
      </c>
      <c r="K492" t="n">
        <v>0</v>
      </c>
      <c r="L492" t="n">
        <v>0</v>
      </c>
      <c r="M492" t="n">
        <v>0</v>
      </c>
      <c r="N492" t="n">
        <v>0</v>
      </c>
      <c r="O492" t="n">
        <v>0</v>
      </c>
      <c r="P492" t="n">
        <v>0</v>
      </c>
      <c r="Q492" t="n">
        <v>0</v>
      </c>
      <c r="R492" s="2" t="inlineStr"/>
    </row>
    <row r="493" ht="15" customHeight="1">
      <c r="A493" t="inlineStr">
        <is>
          <t>A 5175-2023</t>
        </is>
      </c>
      <c r="B493" s="1" t="n">
        <v>44958.94298611111</v>
      </c>
      <c r="C493" s="1" t="n">
        <v>46052</v>
      </c>
      <c r="D493" t="inlineStr">
        <is>
          <t>JÄMTLANDS LÄN</t>
        </is>
      </c>
      <c r="E493" t="inlineStr">
        <is>
          <t>RAGUNDA</t>
        </is>
      </c>
      <c r="F493" t="inlineStr">
        <is>
          <t>SCA</t>
        </is>
      </c>
      <c r="G493" t="n">
        <v>17.9</v>
      </c>
      <c r="H493" t="n">
        <v>0</v>
      </c>
      <c r="I493" t="n">
        <v>0</v>
      </c>
      <c r="J493" t="n">
        <v>0</v>
      </c>
      <c r="K493" t="n">
        <v>0</v>
      </c>
      <c r="L493" t="n">
        <v>0</v>
      </c>
      <c r="M493" t="n">
        <v>0</v>
      </c>
      <c r="N493" t="n">
        <v>0</v>
      </c>
      <c r="O493" t="n">
        <v>0</v>
      </c>
      <c r="P493" t="n">
        <v>0</v>
      </c>
      <c r="Q493" t="n">
        <v>0</v>
      </c>
      <c r="R493" s="2" t="inlineStr"/>
    </row>
    <row r="494" ht="15" customHeight="1">
      <c r="A494" t="inlineStr">
        <is>
          <t>A 12660-2024</t>
        </is>
      </c>
      <c r="B494" s="1" t="n">
        <v>45384</v>
      </c>
      <c r="C494" s="1" t="n">
        <v>46052</v>
      </c>
      <c r="D494" t="inlineStr">
        <is>
          <t>JÄMTLANDS LÄN</t>
        </is>
      </c>
      <c r="E494" t="inlineStr">
        <is>
          <t>RAGUNDA</t>
        </is>
      </c>
      <c r="G494" t="n">
        <v>1.3</v>
      </c>
      <c r="H494" t="n">
        <v>0</v>
      </c>
      <c r="I494" t="n">
        <v>0</v>
      </c>
      <c r="J494" t="n">
        <v>0</v>
      </c>
      <c r="K494" t="n">
        <v>0</v>
      </c>
      <c r="L494" t="n">
        <v>0</v>
      </c>
      <c r="M494" t="n">
        <v>0</v>
      </c>
      <c r="N494" t="n">
        <v>0</v>
      </c>
      <c r="O494" t="n">
        <v>0</v>
      </c>
      <c r="P494" t="n">
        <v>0</v>
      </c>
      <c r="Q494" t="n">
        <v>0</v>
      </c>
      <c r="R494" s="2" t="inlineStr"/>
    </row>
    <row r="495" ht="15" customHeight="1">
      <c r="A495" t="inlineStr">
        <is>
          <t>A 20426-2024</t>
        </is>
      </c>
      <c r="B495" s="1" t="n">
        <v>45435</v>
      </c>
      <c r="C495" s="1" t="n">
        <v>46052</v>
      </c>
      <c r="D495" t="inlineStr">
        <is>
          <t>JÄMTLANDS LÄN</t>
        </is>
      </c>
      <c r="E495" t="inlineStr">
        <is>
          <t>RAGUNDA</t>
        </is>
      </c>
      <c r="G495" t="n">
        <v>2.1</v>
      </c>
      <c r="H495" t="n">
        <v>0</v>
      </c>
      <c r="I495" t="n">
        <v>0</v>
      </c>
      <c r="J495" t="n">
        <v>0</v>
      </c>
      <c r="K495" t="n">
        <v>0</v>
      </c>
      <c r="L495" t="n">
        <v>0</v>
      </c>
      <c r="M495" t="n">
        <v>0</v>
      </c>
      <c r="N495" t="n">
        <v>0</v>
      </c>
      <c r="O495" t="n">
        <v>0</v>
      </c>
      <c r="P495" t="n">
        <v>0</v>
      </c>
      <c r="Q495" t="n">
        <v>0</v>
      </c>
      <c r="R495" s="2" t="inlineStr"/>
    </row>
    <row r="496" ht="15" customHeight="1">
      <c r="A496" t="inlineStr">
        <is>
          <t>A 55649-2023</t>
        </is>
      </c>
      <c r="B496" s="1" t="n">
        <v>45238</v>
      </c>
      <c r="C496" s="1" t="n">
        <v>46052</v>
      </c>
      <c r="D496" t="inlineStr">
        <is>
          <t>JÄMTLANDS LÄN</t>
        </is>
      </c>
      <c r="E496" t="inlineStr">
        <is>
          <t>RAGUNDA</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14896-2022</t>
        </is>
      </c>
      <c r="B497" s="1" t="n">
        <v>44656</v>
      </c>
      <c r="C497" s="1" t="n">
        <v>46052</v>
      </c>
      <c r="D497" t="inlineStr">
        <is>
          <t>JÄMTLANDS LÄN</t>
        </is>
      </c>
      <c r="E497" t="inlineStr">
        <is>
          <t>RAGUNDA</t>
        </is>
      </c>
      <c r="F497" t="inlineStr">
        <is>
          <t>SCA</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20574-2025</t>
        </is>
      </c>
      <c r="B498" s="1" t="n">
        <v>45775.67747685185</v>
      </c>
      <c r="C498" s="1" t="n">
        <v>46052</v>
      </c>
      <c r="D498" t="inlineStr">
        <is>
          <t>JÄMTLANDS LÄN</t>
        </is>
      </c>
      <c r="E498" t="inlineStr">
        <is>
          <t>RAGUNDA</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17742-2022</t>
        </is>
      </c>
      <c r="B499" s="1" t="n">
        <v>44680.95246527778</v>
      </c>
      <c r="C499" s="1" t="n">
        <v>46052</v>
      </c>
      <c r="D499" t="inlineStr">
        <is>
          <t>JÄMTLANDS LÄN</t>
        </is>
      </c>
      <c r="E499" t="inlineStr">
        <is>
          <t>RAGUNDA</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12521-2023</t>
        </is>
      </c>
      <c r="B500" s="1" t="n">
        <v>45000</v>
      </c>
      <c r="C500" s="1" t="n">
        <v>46052</v>
      </c>
      <c r="D500" t="inlineStr">
        <is>
          <t>JÄMTLANDS LÄN</t>
        </is>
      </c>
      <c r="E500" t="inlineStr">
        <is>
          <t>RAGUNDA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22388-2025</t>
        </is>
      </c>
      <c r="B501" s="1" t="n">
        <v>45786.51077546296</v>
      </c>
      <c r="C501" s="1" t="n">
        <v>46052</v>
      </c>
      <c r="D501" t="inlineStr">
        <is>
          <t>JÄMTLANDS LÄN</t>
        </is>
      </c>
      <c r="E501" t="inlineStr">
        <is>
          <t>RAGUNDA</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30825-2023</t>
        </is>
      </c>
      <c r="B502" s="1" t="n">
        <v>45112.94310185185</v>
      </c>
      <c r="C502" s="1" t="n">
        <v>46052</v>
      </c>
      <c r="D502" t="inlineStr">
        <is>
          <t>JÄMTLANDS LÄN</t>
        </is>
      </c>
      <c r="E502" t="inlineStr">
        <is>
          <t>RAGUNDA</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29319-2023</t>
        </is>
      </c>
      <c r="B503" s="1" t="n">
        <v>45105</v>
      </c>
      <c r="C503" s="1" t="n">
        <v>46052</v>
      </c>
      <c r="D503" t="inlineStr">
        <is>
          <t>JÄMTLANDS LÄN</t>
        </is>
      </c>
      <c r="E503" t="inlineStr">
        <is>
          <t>RAGUNDA</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18612-2024</t>
        </is>
      </c>
      <c r="B504" s="1" t="n">
        <v>45425.96239583333</v>
      </c>
      <c r="C504" s="1" t="n">
        <v>46052</v>
      </c>
      <c r="D504" t="inlineStr">
        <is>
          <t>JÄMTLANDS LÄN</t>
        </is>
      </c>
      <c r="E504" t="inlineStr">
        <is>
          <t>RAGUNDA</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464-2023</t>
        </is>
      </c>
      <c r="B505" s="1" t="n">
        <v>44929.92489583333</v>
      </c>
      <c r="C505" s="1" t="n">
        <v>46052</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53769-2023</t>
        </is>
      </c>
      <c r="B506" s="1" t="n">
        <v>45230</v>
      </c>
      <c r="C506" s="1" t="n">
        <v>46052</v>
      </c>
      <c r="D506" t="inlineStr">
        <is>
          <t>JÄMTLANDS LÄN</t>
        </is>
      </c>
      <c r="E506" t="inlineStr">
        <is>
          <t>RAGUNDA</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9084-2023</t>
        </is>
      </c>
      <c r="B507" s="1" t="n">
        <v>44979</v>
      </c>
      <c r="C507" s="1" t="n">
        <v>46052</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52228-2024</t>
        </is>
      </c>
      <c r="B508" s="1" t="n">
        <v>45608.6078587963</v>
      </c>
      <c r="C508" s="1" t="n">
        <v>46052</v>
      </c>
      <c r="D508" t="inlineStr">
        <is>
          <t>JÄMTLANDS LÄN</t>
        </is>
      </c>
      <c r="E508" t="inlineStr">
        <is>
          <t>RAGUNDA</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9326-2024</t>
        </is>
      </c>
      <c r="B509" s="1" t="n">
        <v>45358.95818287037</v>
      </c>
      <c r="C509" s="1" t="n">
        <v>46052</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22898-2025</t>
        </is>
      </c>
      <c r="B510" s="1" t="n">
        <v>45790.40670138889</v>
      </c>
      <c r="C510" s="1" t="n">
        <v>46052</v>
      </c>
      <c r="D510" t="inlineStr">
        <is>
          <t>JÄMTLANDS LÄN</t>
        </is>
      </c>
      <c r="E510" t="inlineStr">
        <is>
          <t>RAGUNDA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7520-2023</t>
        </is>
      </c>
      <c r="B511" s="1" t="n">
        <v>44971</v>
      </c>
      <c r="C511" s="1" t="n">
        <v>46052</v>
      </c>
      <c r="D511" t="inlineStr">
        <is>
          <t>JÄMTLANDS LÄN</t>
        </is>
      </c>
      <c r="E511" t="inlineStr">
        <is>
          <t>RAGUNDA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58537-2022</t>
        </is>
      </c>
      <c r="B512" s="1" t="n">
        <v>44894</v>
      </c>
      <c r="C512" s="1" t="n">
        <v>46052</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2242-2024</t>
        </is>
      </c>
      <c r="B513" s="1" t="n">
        <v>45309</v>
      </c>
      <c r="C513" s="1" t="n">
        <v>46052</v>
      </c>
      <c r="D513" t="inlineStr">
        <is>
          <t>JÄMTLANDS LÄN</t>
        </is>
      </c>
      <c r="E513" t="inlineStr">
        <is>
          <t>RAGUNDA</t>
        </is>
      </c>
      <c r="G513" t="n">
        <v>0.9</v>
      </c>
      <c r="H513" t="n">
        <v>0</v>
      </c>
      <c r="I513" t="n">
        <v>0</v>
      </c>
      <c r="J513" t="n">
        <v>0</v>
      </c>
      <c r="K513" t="n">
        <v>0</v>
      </c>
      <c r="L513" t="n">
        <v>0</v>
      </c>
      <c r="M513" t="n">
        <v>0</v>
      </c>
      <c r="N513" t="n">
        <v>0</v>
      </c>
      <c r="O513" t="n">
        <v>0</v>
      </c>
      <c r="P513" t="n">
        <v>0</v>
      </c>
      <c r="Q513" t="n">
        <v>0</v>
      </c>
      <c r="R513" s="2" t="inlineStr"/>
    </row>
    <row r="514" ht="15" customHeight="1">
      <c r="A514" t="inlineStr">
        <is>
          <t>A 2248-2024</t>
        </is>
      </c>
      <c r="B514" s="1" t="n">
        <v>45309</v>
      </c>
      <c r="C514" s="1" t="n">
        <v>46052</v>
      </c>
      <c r="D514" t="inlineStr">
        <is>
          <t>JÄMTLANDS LÄN</t>
        </is>
      </c>
      <c r="E514" t="inlineStr">
        <is>
          <t>RAGUNDA</t>
        </is>
      </c>
      <c r="G514" t="n">
        <v>4.2</v>
      </c>
      <c r="H514" t="n">
        <v>0</v>
      </c>
      <c r="I514" t="n">
        <v>0</v>
      </c>
      <c r="J514" t="n">
        <v>0</v>
      </c>
      <c r="K514" t="n">
        <v>0</v>
      </c>
      <c r="L514" t="n">
        <v>0</v>
      </c>
      <c r="M514" t="n">
        <v>0</v>
      </c>
      <c r="N514" t="n">
        <v>0</v>
      </c>
      <c r="O514" t="n">
        <v>0</v>
      </c>
      <c r="P514" t="n">
        <v>0</v>
      </c>
      <c r="Q514" t="n">
        <v>0</v>
      </c>
      <c r="R514" s="2" t="inlineStr"/>
    </row>
    <row r="515" ht="15" customHeight="1">
      <c r="A515" t="inlineStr">
        <is>
          <t>A 21662-2023</t>
        </is>
      </c>
      <c r="B515" s="1" t="n">
        <v>45063</v>
      </c>
      <c r="C515" s="1" t="n">
        <v>46052</v>
      </c>
      <c r="D515" t="inlineStr">
        <is>
          <t>JÄMTLANDS LÄN</t>
        </is>
      </c>
      <c r="E515" t="inlineStr">
        <is>
          <t>RAGUNDA</t>
        </is>
      </c>
      <c r="G515" t="n">
        <v>1.8</v>
      </c>
      <c r="H515" t="n">
        <v>0</v>
      </c>
      <c r="I515" t="n">
        <v>0</v>
      </c>
      <c r="J515" t="n">
        <v>0</v>
      </c>
      <c r="K515" t="n">
        <v>0</v>
      </c>
      <c r="L515" t="n">
        <v>0</v>
      </c>
      <c r="M515" t="n">
        <v>0</v>
      </c>
      <c r="N515" t="n">
        <v>0</v>
      </c>
      <c r="O515" t="n">
        <v>0</v>
      </c>
      <c r="P515" t="n">
        <v>0</v>
      </c>
      <c r="Q515" t="n">
        <v>0</v>
      </c>
      <c r="R515" s="2" t="inlineStr"/>
    </row>
    <row r="516" ht="15" customHeight="1">
      <c r="A516" t="inlineStr">
        <is>
          <t>A 35153-2024</t>
        </is>
      </c>
      <c r="B516" s="1" t="n">
        <v>45530</v>
      </c>
      <c r="C516" s="1" t="n">
        <v>46052</v>
      </c>
      <c r="D516" t="inlineStr">
        <is>
          <t>JÄMTLANDS LÄN</t>
        </is>
      </c>
      <c r="E516" t="inlineStr">
        <is>
          <t>RAGUNDA</t>
        </is>
      </c>
      <c r="G516" t="n">
        <v>2.7</v>
      </c>
      <c r="H516" t="n">
        <v>0</v>
      </c>
      <c r="I516" t="n">
        <v>0</v>
      </c>
      <c r="J516" t="n">
        <v>0</v>
      </c>
      <c r="K516" t="n">
        <v>0</v>
      </c>
      <c r="L516" t="n">
        <v>0</v>
      </c>
      <c r="M516" t="n">
        <v>0</v>
      </c>
      <c r="N516" t="n">
        <v>0</v>
      </c>
      <c r="O516" t="n">
        <v>0</v>
      </c>
      <c r="P516" t="n">
        <v>0</v>
      </c>
      <c r="Q516" t="n">
        <v>0</v>
      </c>
      <c r="R516" s="2" t="inlineStr"/>
    </row>
    <row r="517" ht="15" customHeight="1">
      <c r="A517" t="inlineStr">
        <is>
          <t>A 23253-2025</t>
        </is>
      </c>
      <c r="B517" s="1" t="n">
        <v>45791.53238425926</v>
      </c>
      <c r="C517" s="1" t="n">
        <v>46052</v>
      </c>
      <c r="D517" t="inlineStr">
        <is>
          <t>JÄMTLANDS LÄN</t>
        </is>
      </c>
      <c r="E517" t="inlineStr">
        <is>
          <t>RAGUNDA</t>
        </is>
      </c>
      <c r="G517" t="n">
        <v>0.7</v>
      </c>
      <c r="H517" t="n">
        <v>0</v>
      </c>
      <c r="I517" t="n">
        <v>0</v>
      </c>
      <c r="J517" t="n">
        <v>0</v>
      </c>
      <c r="K517" t="n">
        <v>0</v>
      </c>
      <c r="L517" t="n">
        <v>0</v>
      </c>
      <c r="M517" t="n">
        <v>0</v>
      </c>
      <c r="N517" t="n">
        <v>0</v>
      </c>
      <c r="O517" t="n">
        <v>0</v>
      </c>
      <c r="P517" t="n">
        <v>0</v>
      </c>
      <c r="Q517" t="n">
        <v>0</v>
      </c>
      <c r="R517" s="2" t="inlineStr"/>
    </row>
    <row r="518" ht="15" customHeight="1">
      <c r="A518" t="inlineStr">
        <is>
          <t>A 44727-2024</t>
        </is>
      </c>
      <c r="B518" s="1" t="n">
        <v>45574.57967592592</v>
      </c>
      <c r="C518" s="1" t="n">
        <v>46052</v>
      </c>
      <c r="D518" t="inlineStr">
        <is>
          <t>JÄMTLANDS LÄN</t>
        </is>
      </c>
      <c r="E518" t="inlineStr">
        <is>
          <t>RAGUNDA</t>
        </is>
      </c>
      <c r="G518" t="n">
        <v>4.7</v>
      </c>
      <c r="H518" t="n">
        <v>0</v>
      </c>
      <c r="I518" t="n">
        <v>0</v>
      </c>
      <c r="J518" t="n">
        <v>0</v>
      </c>
      <c r="K518" t="n">
        <v>0</v>
      </c>
      <c r="L518" t="n">
        <v>0</v>
      </c>
      <c r="M518" t="n">
        <v>0</v>
      </c>
      <c r="N518" t="n">
        <v>0</v>
      </c>
      <c r="O518" t="n">
        <v>0</v>
      </c>
      <c r="P518" t="n">
        <v>0</v>
      </c>
      <c r="Q518" t="n">
        <v>0</v>
      </c>
      <c r="R518" s="2" t="inlineStr"/>
    </row>
    <row r="519" ht="15" customHeight="1">
      <c r="A519" t="inlineStr">
        <is>
          <t>A 19264-2025</t>
        </is>
      </c>
      <c r="B519" s="1" t="n">
        <v>45769.51087962963</v>
      </c>
      <c r="C519" s="1" t="n">
        <v>46052</v>
      </c>
      <c r="D519" t="inlineStr">
        <is>
          <t>JÄMTLANDS LÄN</t>
        </is>
      </c>
      <c r="E519" t="inlineStr">
        <is>
          <t>RAGUNDA</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23413-2025</t>
        </is>
      </c>
      <c r="B520" s="1" t="n">
        <v>45792.34606481482</v>
      </c>
      <c r="C520" s="1" t="n">
        <v>46052</v>
      </c>
      <c r="D520" t="inlineStr">
        <is>
          <t>JÄMTLANDS LÄN</t>
        </is>
      </c>
      <c r="E520" t="inlineStr">
        <is>
          <t>RAGUNDA</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36246-2024</t>
        </is>
      </c>
      <c r="B521" s="1" t="n">
        <v>45534</v>
      </c>
      <c r="C521" s="1" t="n">
        <v>46052</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29263-2024</t>
        </is>
      </c>
      <c r="B522" s="1" t="n">
        <v>45482.94891203703</v>
      </c>
      <c r="C522" s="1" t="n">
        <v>46052</v>
      </c>
      <c r="D522" t="inlineStr">
        <is>
          <t>JÄMTLANDS LÄN</t>
        </is>
      </c>
      <c r="E522" t="inlineStr">
        <is>
          <t>RAGUNDA</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23586-2025</t>
        </is>
      </c>
      <c r="B523" s="1" t="n">
        <v>45792.63584490741</v>
      </c>
      <c r="C523" s="1" t="n">
        <v>46052</v>
      </c>
      <c r="D523" t="inlineStr">
        <is>
          <t>JÄMTLANDS LÄN</t>
        </is>
      </c>
      <c r="E523" t="inlineStr">
        <is>
          <t>RAGUNDA</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23841-2025</t>
        </is>
      </c>
      <c r="B524" s="1" t="n">
        <v>45793.61523148148</v>
      </c>
      <c r="C524" s="1" t="n">
        <v>46052</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8800-2025</t>
        </is>
      </c>
      <c r="B525" s="1" t="n">
        <v>45712.65671296296</v>
      </c>
      <c r="C525" s="1" t="n">
        <v>46052</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23507-2025</t>
        </is>
      </c>
      <c r="B526" s="1" t="n">
        <v>45792.49023148148</v>
      </c>
      <c r="C526" s="1" t="n">
        <v>46052</v>
      </c>
      <c r="D526" t="inlineStr">
        <is>
          <t>JÄMTLANDS LÄN</t>
        </is>
      </c>
      <c r="E526" t="inlineStr">
        <is>
          <t>RAGUNDA</t>
        </is>
      </c>
      <c r="F526" t="inlineStr">
        <is>
          <t>SCA</t>
        </is>
      </c>
      <c r="G526" t="n">
        <v>16.4</v>
      </c>
      <c r="H526" t="n">
        <v>0</v>
      </c>
      <c r="I526" t="n">
        <v>0</v>
      </c>
      <c r="J526" t="n">
        <v>0</v>
      </c>
      <c r="K526" t="n">
        <v>0</v>
      </c>
      <c r="L526" t="n">
        <v>0</v>
      </c>
      <c r="M526" t="n">
        <v>0</v>
      </c>
      <c r="N526" t="n">
        <v>0</v>
      </c>
      <c r="O526" t="n">
        <v>0</v>
      </c>
      <c r="P526" t="n">
        <v>0</v>
      </c>
      <c r="Q526" t="n">
        <v>0</v>
      </c>
      <c r="R526" s="2" t="inlineStr"/>
    </row>
    <row r="527" ht="15" customHeight="1">
      <c r="A527" t="inlineStr">
        <is>
          <t>A 23840-2025</t>
        </is>
      </c>
      <c r="B527" s="1" t="n">
        <v>45793</v>
      </c>
      <c r="C527" s="1" t="n">
        <v>46052</v>
      </c>
      <c r="D527" t="inlineStr">
        <is>
          <t>JÄMTLANDS LÄN</t>
        </is>
      </c>
      <c r="E527" t="inlineStr">
        <is>
          <t>RAGUNDA</t>
        </is>
      </c>
      <c r="G527" t="n">
        <v>0.8</v>
      </c>
      <c r="H527" t="n">
        <v>0</v>
      </c>
      <c r="I527" t="n">
        <v>0</v>
      </c>
      <c r="J527" t="n">
        <v>0</v>
      </c>
      <c r="K527" t="n">
        <v>0</v>
      </c>
      <c r="L527" t="n">
        <v>0</v>
      </c>
      <c r="M527" t="n">
        <v>0</v>
      </c>
      <c r="N527" t="n">
        <v>0</v>
      </c>
      <c r="O527" t="n">
        <v>0</v>
      </c>
      <c r="P527" t="n">
        <v>0</v>
      </c>
      <c r="Q527" t="n">
        <v>0</v>
      </c>
      <c r="R527" s="2" t="inlineStr"/>
    </row>
    <row r="528" ht="15" customHeight="1">
      <c r="A528" t="inlineStr">
        <is>
          <t>A 23654-2025</t>
        </is>
      </c>
      <c r="B528" s="1" t="n">
        <v>45792.71905092592</v>
      </c>
      <c r="C528" s="1" t="n">
        <v>46052</v>
      </c>
      <c r="D528" t="inlineStr">
        <is>
          <t>JÄMTLANDS LÄN</t>
        </is>
      </c>
      <c r="E528" t="inlineStr">
        <is>
          <t>RAGUNDA</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29265-2024</t>
        </is>
      </c>
      <c r="B529" s="1" t="n">
        <v>45482.9491087963</v>
      </c>
      <c r="C529" s="1" t="n">
        <v>46052</v>
      </c>
      <c r="D529" t="inlineStr">
        <is>
          <t>JÄMTLANDS LÄN</t>
        </is>
      </c>
      <c r="E529" t="inlineStr">
        <is>
          <t>RAGUNDA</t>
        </is>
      </c>
      <c r="F529" t="inlineStr">
        <is>
          <t>SCA</t>
        </is>
      </c>
      <c r="G529" t="n">
        <v>11.6</v>
      </c>
      <c r="H529" t="n">
        <v>0</v>
      </c>
      <c r="I529" t="n">
        <v>0</v>
      </c>
      <c r="J529" t="n">
        <v>0</v>
      </c>
      <c r="K529" t="n">
        <v>0</v>
      </c>
      <c r="L529" t="n">
        <v>0</v>
      </c>
      <c r="M529" t="n">
        <v>0</v>
      </c>
      <c r="N529" t="n">
        <v>0</v>
      </c>
      <c r="O529" t="n">
        <v>0</v>
      </c>
      <c r="P529" t="n">
        <v>0</v>
      </c>
      <c r="Q529" t="n">
        <v>0</v>
      </c>
      <c r="R529" s="2" t="inlineStr"/>
    </row>
    <row r="530" ht="15" customHeight="1">
      <c r="A530" t="inlineStr">
        <is>
          <t>A 27291-2022</t>
        </is>
      </c>
      <c r="B530" s="1" t="n">
        <v>44741.94070601852</v>
      </c>
      <c r="C530" s="1" t="n">
        <v>46052</v>
      </c>
      <c r="D530" t="inlineStr">
        <is>
          <t>JÄMTLANDS LÄN</t>
        </is>
      </c>
      <c r="E530" t="inlineStr">
        <is>
          <t>RAGUNDA</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24196-2024</t>
        </is>
      </c>
      <c r="B531" s="1" t="n">
        <v>45456.96569444444</v>
      </c>
      <c r="C531" s="1" t="n">
        <v>46052</v>
      </c>
      <c r="D531" t="inlineStr">
        <is>
          <t>JÄMTLANDS LÄN</t>
        </is>
      </c>
      <c r="E531" t="inlineStr">
        <is>
          <t>RAGUNDA</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23405-2025</t>
        </is>
      </c>
      <c r="B532" s="1" t="n">
        <v>45792.34527777778</v>
      </c>
      <c r="C532" s="1" t="n">
        <v>46052</v>
      </c>
      <c r="D532" t="inlineStr">
        <is>
          <t>JÄMTLANDS LÄN</t>
        </is>
      </c>
      <c r="E532" t="inlineStr">
        <is>
          <t>RAGUNDA</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8776-2025</t>
        </is>
      </c>
      <c r="B533" s="1" t="n">
        <v>45712.61510416667</v>
      </c>
      <c r="C533" s="1" t="n">
        <v>46052</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21083-2024</t>
        </is>
      </c>
      <c r="B534" s="1" t="n">
        <v>45439.92752314815</v>
      </c>
      <c r="C534" s="1" t="n">
        <v>46052</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462-2023</t>
        </is>
      </c>
      <c r="B535" s="1" t="n">
        <v>44929</v>
      </c>
      <c r="C535" s="1" t="n">
        <v>46052</v>
      </c>
      <c r="D535" t="inlineStr">
        <is>
          <t>JÄMTLANDS LÄN</t>
        </is>
      </c>
      <c r="E535" t="inlineStr">
        <is>
          <t>RAGUNDA</t>
        </is>
      </c>
      <c r="G535" t="n">
        <v>4.5</v>
      </c>
      <c r="H535" t="n">
        <v>0</v>
      </c>
      <c r="I535" t="n">
        <v>0</v>
      </c>
      <c r="J535" t="n">
        <v>0</v>
      </c>
      <c r="K535" t="n">
        <v>0</v>
      </c>
      <c r="L535" t="n">
        <v>0</v>
      </c>
      <c r="M535" t="n">
        <v>0</v>
      </c>
      <c r="N535" t="n">
        <v>0</v>
      </c>
      <c r="O535" t="n">
        <v>0</v>
      </c>
      <c r="P535" t="n">
        <v>0</v>
      </c>
      <c r="Q535" t="n">
        <v>0</v>
      </c>
      <c r="R535" s="2" t="inlineStr"/>
    </row>
    <row r="536" ht="15" customHeight="1">
      <c r="A536" t="inlineStr">
        <is>
          <t>A 12050-2023</t>
        </is>
      </c>
      <c r="B536" s="1" t="n">
        <v>44995.98644675926</v>
      </c>
      <c r="C536" s="1" t="n">
        <v>46052</v>
      </c>
      <c r="D536" t="inlineStr">
        <is>
          <t>JÄMTLANDS LÄN</t>
        </is>
      </c>
      <c r="E536" t="inlineStr">
        <is>
          <t>RAGUNDA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62358-2023</t>
        </is>
      </c>
      <c r="B537" s="1" t="n">
        <v>45267</v>
      </c>
      <c r="C537" s="1" t="n">
        <v>46052</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14821-2025</t>
        </is>
      </c>
      <c r="B538" s="1" t="n">
        <v>45743.36</v>
      </c>
      <c r="C538" s="1" t="n">
        <v>46052</v>
      </c>
      <c r="D538" t="inlineStr">
        <is>
          <t>JÄMTLANDS LÄN</t>
        </is>
      </c>
      <c r="E538" t="inlineStr">
        <is>
          <t>RAGUNDA</t>
        </is>
      </c>
      <c r="F538" t="inlineStr">
        <is>
          <t>Kyrkan</t>
        </is>
      </c>
      <c r="G538" t="n">
        <v>6.4</v>
      </c>
      <c r="H538" t="n">
        <v>0</v>
      </c>
      <c r="I538" t="n">
        <v>0</v>
      </c>
      <c r="J538" t="n">
        <v>0</v>
      </c>
      <c r="K538" t="n">
        <v>0</v>
      </c>
      <c r="L538" t="n">
        <v>0</v>
      </c>
      <c r="M538" t="n">
        <v>0</v>
      </c>
      <c r="N538" t="n">
        <v>0</v>
      </c>
      <c r="O538" t="n">
        <v>0</v>
      </c>
      <c r="P538" t="n">
        <v>0</v>
      </c>
      <c r="Q538" t="n">
        <v>0</v>
      </c>
      <c r="R538" s="2" t="inlineStr"/>
    </row>
    <row r="539" ht="15" customHeight="1">
      <c r="A539" t="inlineStr">
        <is>
          <t>A 18284-2025</t>
        </is>
      </c>
      <c r="B539" s="1" t="n">
        <v>45762.39876157408</v>
      </c>
      <c r="C539" s="1" t="n">
        <v>46052</v>
      </c>
      <c r="D539" t="inlineStr">
        <is>
          <t>JÄMTLANDS LÄN</t>
        </is>
      </c>
      <c r="E539" t="inlineStr">
        <is>
          <t>RAGUNDA</t>
        </is>
      </c>
      <c r="G539" t="n">
        <v>0.2</v>
      </c>
      <c r="H539" t="n">
        <v>0</v>
      </c>
      <c r="I539" t="n">
        <v>0</v>
      </c>
      <c r="J539" t="n">
        <v>0</v>
      </c>
      <c r="K539" t="n">
        <v>0</v>
      </c>
      <c r="L539" t="n">
        <v>0</v>
      </c>
      <c r="M539" t="n">
        <v>0</v>
      </c>
      <c r="N539" t="n">
        <v>0</v>
      </c>
      <c r="O539" t="n">
        <v>0</v>
      </c>
      <c r="P539" t="n">
        <v>0</v>
      </c>
      <c r="Q539" t="n">
        <v>0</v>
      </c>
      <c r="R539" s="2" t="inlineStr"/>
      <c r="U539">
        <f>HYPERLINK("https://klasma.github.io/Logging_2303/knärot/A 18284-2025 karta knärot.png", "A 18284-2025")</f>
        <v/>
      </c>
      <c r="V539">
        <f>HYPERLINK("https://klasma.github.io/Logging_2303/klagomål/A 18284-2025 FSC-klagomål.docx", "A 18284-2025")</f>
        <v/>
      </c>
      <c r="W539">
        <f>HYPERLINK("https://klasma.github.io/Logging_2303/klagomålsmail/A 18284-2025 FSC-klagomål mail.docx", "A 18284-2025")</f>
        <v/>
      </c>
      <c r="X539">
        <f>HYPERLINK("https://klasma.github.io/Logging_2303/tillsyn/A 18284-2025 tillsynsbegäran.docx", "A 18284-2025")</f>
        <v/>
      </c>
      <c r="Y539">
        <f>HYPERLINK("https://klasma.github.io/Logging_2303/tillsynsmail/A 18284-2025 tillsynsbegäran mail.docx", "A 18284-2025")</f>
        <v/>
      </c>
    </row>
    <row r="540" ht="15" customHeight="1">
      <c r="A540" t="inlineStr">
        <is>
          <t>A 18820-2023</t>
        </is>
      </c>
      <c r="B540" s="1" t="n">
        <v>45042</v>
      </c>
      <c r="C540" s="1" t="n">
        <v>46052</v>
      </c>
      <c r="D540" t="inlineStr">
        <is>
          <t>JÄMTLANDS LÄN</t>
        </is>
      </c>
      <c r="E540" t="inlineStr">
        <is>
          <t>RAGUNDA</t>
        </is>
      </c>
      <c r="G540" t="n">
        <v>18.8</v>
      </c>
      <c r="H540" t="n">
        <v>0</v>
      </c>
      <c r="I540" t="n">
        <v>0</v>
      </c>
      <c r="J540" t="n">
        <v>0</v>
      </c>
      <c r="K540" t="n">
        <v>0</v>
      </c>
      <c r="L540" t="n">
        <v>0</v>
      </c>
      <c r="M540" t="n">
        <v>0</v>
      </c>
      <c r="N540" t="n">
        <v>0</v>
      </c>
      <c r="O540" t="n">
        <v>0</v>
      </c>
      <c r="P540" t="n">
        <v>0</v>
      </c>
      <c r="Q540" t="n">
        <v>0</v>
      </c>
      <c r="R540" s="2" t="inlineStr"/>
    </row>
    <row r="541" ht="15" customHeight="1">
      <c r="A541" t="inlineStr">
        <is>
          <t>A 11558-2023</t>
        </is>
      </c>
      <c r="B541" s="1" t="n">
        <v>44993.94958333333</v>
      </c>
      <c r="C541" s="1" t="n">
        <v>46052</v>
      </c>
      <c r="D541" t="inlineStr">
        <is>
          <t>JÄMTLANDS LÄN</t>
        </is>
      </c>
      <c r="E541" t="inlineStr">
        <is>
          <t>RAGUNDA</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36375-2022</t>
        </is>
      </c>
      <c r="B542" s="1" t="n">
        <v>44803.94351851852</v>
      </c>
      <c r="C542" s="1" t="n">
        <v>46052</v>
      </c>
      <c r="D542" t="inlineStr">
        <is>
          <t>JÄMTLANDS LÄN</t>
        </is>
      </c>
      <c r="E542" t="inlineStr">
        <is>
          <t>RAGUNDA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19263-2025</t>
        </is>
      </c>
      <c r="B543" s="1" t="n">
        <v>45769.51075231482</v>
      </c>
      <c r="C543" s="1" t="n">
        <v>46052</v>
      </c>
      <c r="D543" t="inlineStr">
        <is>
          <t>JÄMTLANDS LÄN</t>
        </is>
      </c>
      <c r="E543" t="inlineStr">
        <is>
          <t>RAGUNDA</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24158-2025</t>
        </is>
      </c>
      <c r="B544" s="1" t="n">
        <v>45796</v>
      </c>
      <c r="C544" s="1" t="n">
        <v>46052</v>
      </c>
      <c r="D544" t="inlineStr">
        <is>
          <t>JÄMTLANDS LÄN</t>
        </is>
      </c>
      <c r="E544" t="inlineStr">
        <is>
          <t>RAGUNDA</t>
        </is>
      </c>
      <c r="G544" t="n">
        <v>2.9</v>
      </c>
      <c r="H544" t="n">
        <v>0</v>
      </c>
      <c r="I544" t="n">
        <v>0</v>
      </c>
      <c r="J544" t="n">
        <v>0</v>
      </c>
      <c r="K544" t="n">
        <v>0</v>
      </c>
      <c r="L544" t="n">
        <v>0</v>
      </c>
      <c r="M544" t="n">
        <v>0</v>
      </c>
      <c r="N544" t="n">
        <v>0</v>
      </c>
      <c r="O544" t="n">
        <v>0</v>
      </c>
      <c r="P544" t="n">
        <v>0</v>
      </c>
      <c r="Q544" t="n">
        <v>0</v>
      </c>
      <c r="R544" s="2" t="inlineStr"/>
      <c r="U544">
        <f>HYPERLINK("https://klasma.github.io/Logging_2303/knärot/A 24158-2025 karta knärot.png", "A 24158-2025")</f>
        <v/>
      </c>
      <c r="V544">
        <f>HYPERLINK("https://klasma.github.io/Logging_2303/klagomål/A 24158-2025 FSC-klagomål.docx", "A 24158-2025")</f>
        <v/>
      </c>
      <c r="W544">
        <f>HYPERLINK("https://klasma.github.io/Logging_2303/klagomålsmail/A 24158-2025 FSC-klagomål mail.docx", "A 24158-2025")</f>
        <v/>
      </c>
      <c r="X544">
        <f>HYPERLINK("https://klasma.github.io/Logging_2303/tillsyn/A 24158-2025 tillsynsbegäran.docx", "A 24158-2025")</f>
        <v/>
      </c>
      <c r="Y544">
        <f>HYPERLINK("https://klasma.github.io/Logging_2303/tillsynsmail/A 24158-2025 tillsynsbegäran mail.docx", "A 24158-2025")</f>
        <v/>
      </c>
    </row>
    <row r="545" ht="15" customHeight="1">
      <c r="A545" t="inlineStr">
        <is>
          <t>A 24161-2025</t>
        </is>
      </c>
      <c r="B545" s="1" t="n">
        <v>45796</v>
      </c>
      <c r="C545" s="1" t="n">
        <v>46052</v>
      </c>
      <c r="D545" t="inlineStr">
        <is>
          <t>JÄMTLANDS LÄN</t>
        </is>
      </c>
      <c r="E545" t="inlineStr">
        <is>
          <t>RAGUNDA</t>
        </is>
      </c>
      <c r="G545" t="n">
        <v>2.4</v>
      </c>
      <c r="H545" t="n">
        <v>0</v>
      </c>
      <c r="I545" t="n">
        <v>0</v>
      </c>
      <c r="J545" t="n">
        <v>0</v>
      </c>
      <c r="K545" t="n">
        <v>0</v>
      </c>
      <c r="L545" t="n">
        <v>0</v>
      </c>
      <c r="M545" t="n">
        <v>0</v>
      </c>
      <c r="N545" t="n">
        <v>0</v>
      </c>
      <c r="O545" t="n">
        <v>0</v>
      </c>
      <c r="P545" t="n">
        <v>0</v>
      </c>
      <c r="Q545" t="n">
        <v>0</v>
      </c>
      <c r="R545" s="2" t="inlineStr"/>
    </row>
    <row r="546" ht="15" customHeight="1">
      <c r="A546" t="inlineStr">
        <is>
          <t>A 49648-2023</t>
        </is>
      </c>
      <c r="B546" s="1" t="n">
        <v>45211.95061342593</v>
      </c>
      <c r="C546" s="1" t="n">
        <v>46052</v>
      </c>
      <c r="D546" t="inlineStr">
        <is>
          <t>JÄMTLANDS LÄN</t>
        </is>
      </c>
      <c r="E546" t="inlineStr">
        <is>
          <t>RAGUNDA</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8679-2023</t>
        </is>
      </c>
      <c r="B547" s="1" t="n">
        <v>44977.98670138889</v>
      </c>
      <c r="C547" s="1" t="n">
        <v>46052</v>
      </c>
      <c r="D547" t="inlineStr">
        <is>
          <t>JÄMTLANDS LÄN</t>
        </is>
      </c>
      <c r="E547" t="inlineStr">
        <is>
          <t>RAGUNDA</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51537-2022</t>
        </is>
      </c>
      <c r="B548" s="1" t="n">
        <v>44869</v>
      </c>
      <c r="C548" s="1" t="n">
        <v>46052</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59044-2022</t>
        </is>
      </c>
      <c r="B549" s="1" t="n">
        <v>44903</v>
      </c>
      <c r="C549" s="1" t="n">
        <v>46052</v>
      </c>
      <c r="D549" t="inlineStr">
        <is>
          <t>JÄMTLANDS LÄN</t>
        </is>
      </c>
      <c r="E549" t="inlineStr">
        <is>
          <t>RAGUNDA</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9325-2024</t>
        </is>
      </c>
      <c r="B550" s="1" t="n">
        <v>45358.95813657407</v>
      </c>
      <c r="C550" s="1" t="n">
        <v>46052</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5930-2025</t>
        </is>
      </c>
      <c r="B551" s="1" t="n">
        <v>45695.44724537037</v>
      </c>
      <c r="C551" s="1" t="n">
        <v>46052</v>
      </c>
      <c r="D551" t="inlineStr">
        <is>
          <t>JÄMTLANDS LÄN</t>
        </is>
      </c>
      <c r="E551" t="inlineStr">
        <is>
          <t>RAGUNDA</t>
        </is>
      </c>
      <c r="G551" t="n">
        <v>0.7</v>
      </c>
      <c r="H551" t="n">
        <v>0</v>
      </c>
      <c r="I551" t="n">
        <v>0</v>
      </c>
      <c r="J551" t="n">
        <v>0</v>
      </c>
      <c r="K551" t="n">
        <v>0</v>
      </c>
      <c r="L551" t="n">
        <v>0</v>
      </c>
      <c r="M551" t="n">
        <v>0</v>
      </c>
      <c r="N551" t="n">
        <v>0</v>
      </c>
      <c r="O551" t="n">
        <v>0</v>
      </c>
      <c r="P551" t="n">
        <v>0</v>
      </c>
      <c r="Q551" t="n">
        <v>0</v>
      </c>
      <c r="R551" s="2" t="inlineStr"/>
    </row>
    <row r="552" ht="15" customHeight="1">
      <c r="A552" t="inlineStr">
        <is>
          <t>A 5958-2023</t>
        </is>
      </c>
      <c r="B552" s="1" t="n">
        <v>44963</v>
      </c>
      <c r="C552" s="1" t="n">
        <v>46052</v>
      </c>
      <c r="D552" t="inlineStr">
        <is>
          <t>JÄMTLANDS LÄN</t>
        </is>
      </c>
      <c r="E552" t="inlineStr">
        <is>
          <t>RAGUNDA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24159-2025</t>
        </is>
      </c>
      <c r="B553" s="1" t="n">
        <v>45796</v>
      </c>
      <c r="C553" s="1" t="n">
        <v>46052</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57170-2024</t>
        </is>
      </c>
      <c r="B554" s="1" t="n">
        <v>45629.42759259259</v>
      </c>
      <c r="C554" s="1" t="n">
        <v>46052</v>
      </c>
      <c r="D554" t="inlineStr">
        <is>
          <t>JÄMTLANDS LÄN</t>
        </is>
      </c>
      <c r="E554" t="inlineStr">
        <is>
          <t>RAGUNDA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24391-2025</t>
        </is>
      </c>
      <c r="B555" s="1" t="n">
        <v>45797.63627314815</v>
      </c>
      <c r="C555" s="1" t="n">
        <v>46052</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8779-2025</t>
        </is>
      </c>
      <c r="B556" s="1" t="n">
        <v>45712.61552083334</v>
      </c>
      <c r="C556" s="1" t="n">
        <v>46052</v>
      </c>
      <c r="D556" t="inlineStr">
        <is>
          <t>JÄMTLANDS LÄN</t>
        </is>
      </c>
      <c r="E556" t="inlineStr">
        <is>
          <t>RAGUNDA</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61400-2022</t>
        </is>
      </c>
      <c r="B557" s="1" t="n">
        <v>44915</v>
      </c>
      <c r="C557" s="1" t="n">
        <v>46052</v>
      </c>
      <c r="D557" t="inlineStr">
        <is>
          <t>JÄMTLANDS LÄN</t>
        </is>
      </c>
      <c r="E557" t="inlineStr">
        <is>
          <t>RAGUNDA</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4348-2023</t>
        </is>
      </c>
      <c r="B558" s="1" t="n">
        <v>44953</v>
      </c>
      <c r="C558" s="1" t="n">
        <v>46052</v>
      </c>
      <c r="D558" t="inlineStr">
        <is>
          <t>JÄMTLANDS LÄN</t>
        </is>
      </c>
      <c r="E558" t="inlineStr">
        <is>
          <t>RAGUNDA</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62407-2023</t>
        </is>
      </c>
      <c r="B559" s="1" t="n">
        <v>45266</v>
      </c>
      <c r="C559" s="1" t="n">
        <v>46052</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56286-2023</t>
        </is>
      </c>
      <c r="B560" s="1" t="n">
        <v>45241.95741898148</v>
      </c>
      <c r="C560" s="1" t="n">
        <v>46052</v>
      </c>
      <c r="D560" t="inlineStr">
        <is>
          <t>JÄMTLANDS LÄN</t>
        </is>
      </c>
      <c r="E560" t="inlineStr">
        <is>
          <t>RAGUNDA</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56287-2023</t>
        </is>
      </c>
      <c r="B561" s="1" t="n">
        <v>45241</v>
      </c>
      <c r="C561" s="1" t="n">
        <v>46052</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62135-2024</t>
        </is>
      </c>
      <c r="B562" s="1" t="n">
        <v>45656.64223379629</v>
      </c>
      <c r="C562" s="1" t="n">
        <v>46052</v>
      </c>
      <c r="D562" t="inlineStr">
        <is>
          <t>JÄMTLANDS LÄN</t>
        </is>
      </c>
      <c r="E562" t="inlineStr">
        <is>
          <t>RAGUNDA</t>
        </is>
      </c>
      <c r="G562" t="n">
        <v>1.5</v>
      </c>
      <c r="H562" t="n">
        <v>0</v>
      </c>
      <c r="I562" t="n">
        <v>0</v>
      </c>
      <c r="J562" t="n">
        <v>0</v>
      </c>
      <c r="K562" t="n">
        <v>0</v>
      </c>
      <c r="L562" t="n">
        <v>0</v>
      </c>
      <c r="M562" t="n">
        <v>0</v>
      </c>
      <c r="N562" t="n">
        <v>0</v>
      </c>
      <c r="O562" t="n">
        <v>0</v>
      </c>
      <c r="P562" t="n">
        <v>0</v>
      </c>
      <c r="Q562" t="n">
        <v>0</v>
      </c>
      <c r="R562" s="2" t="inlineStr"/>
    </row>
    <row r="563" ht="15" customHeight="1">
      <c r="A563" t="inlineStr">
        <is>
          <t>A 8795-2022</t>
        </is>
      </c>
      <c r="B563" s="1" t="n">
        <v>44614</v>
      </c>
      <c r="C563" s="1" t="n">
        <v>46052</v>
      </c>
      <c r="D563" t="inlineStr">
        <is>
          <t>JÄMTLANDS LÄN</t>
        </is>
      </c>
      <c r="E563" t="inlineStr">
        <is>
          <t>RAGUNDA</t>
        </is>
      </c>
      <c r="G563" t="n">
        <v>3.9</v>
      </c>
      <c r="H563" t="n">
        <v>0</v>
      </c>
      <c r="I563" t="n">
        <v>0</v>
      </c>
      <c r="J563" t="n">
        <v>0</v>
      </c>
      <c r="K563" t="n">
        <v>0</v>
      </c>
      <c r="L563" t="n">
        <v>0</v>
      </c>
      <c r="M563" t="n">
        <v>0</v>
      </c>
      <c r="N563" t="n">
        <v>0</v>
      </c>
      <c r="O563" t="n">
        <v>0</v>
      </c>
      <c r="P563" t="n">
        <v>0</v>
      </c>
      <c r="Q563" t="n">
        <v>0</v>
      </c>
      <c r="R563" s="2" t="inlineStr"/>
    </row>
    <row r="564" ht="15" customHeight="1">
      <c r="A564" t="inlineStr">
        <is>
          <t>A 21524-2024</t>
        </is>
      </c>
      <c r="B564" s="1" t="n">
        <v>45441</v>
      </c>
      <c r="C564" s="1" t="n">
        <v>46052</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18248-2023</t>
        </is>
      </c>
      <c r="B565" s="1" t="n">
        <v>45040</v>
      </c>
      <c r="C565" s="1" t="n">
        <v>46052</v>
      </c>
      <c r="D565" t="inlineStr">
        <is>
          <t>JÄMTLANDS LÄN</t>
        </is>
      </c>
      <c r="E565" t="inlineStr">
        <is>
          <t>RAGUNDA</t>
        </is>
      </c>
      <c r="G565" t="n">
        <v>4.3</v>
      </c>
      <c r="H565" t="n">
        <v>0</v>
      </c>
      <c r="I565" t="n">
        <v>0</v>
      </c>
      <c r="J565" t="n">
        <v>0</v>
      </c>
      <c r="K565" t="n">
        <v>0</v>
      </c>
      <c r="L565" t="n">
        <v>0</v>
      </c>
      <c r="M565" t="n">
        <v>0</v>
      </c>
      <c r="N565" t="n">
        <v>0</v>
      </c>
      <c r="O565" t="n">
        <v>0</v>
      </c>
      <c r="P565" t="n">
        <v>0</v>
      </c>
      <c r="Q565" t="n">
        <v>0</v>
      </c>
      <c r="R565" s="2" t="inlineStr"/>
    </row>
    <row r="566" ht="15" customHeight="1">
      <c r="A566" t="inlineStr">
        <is>
          <t>A 8802-2022</t>
        </is>
      </c>
      <c r="B566" s="1" t="n">
        <v>44614</v>
      </c>
      <c r="C566" s="1" t="n">
        <v>46052</v>
      </c>
      <c r="D566" t="inlineStr">
        <is>
          <t>JÄMTLANDS LÄN</t>
        </is>
      </c>
      <c r="E566" t="inlineStr">
        <is>
          <t>RAGUNDA</t>
        </is>
      </c>
      <c r="G566" t="n">
        <v>2.8</v>
      </c>
      <c r="H566" t="n">
        <v>0</v>
      </c>
      <c r="I566" t="n">
        <v>0</v>
      </c>
      <c r="J566" t="n">
        <v>0</v>
      </c>
      <c r="K566" t="n">
        <v>0</v>
      </c>
      <c r="L566" t="n">
        <v>0</v>
      </c>
      <c r="M566" t="n">
        <v>0</v>
      </c>
      <c r="N566" t="n">
        <v>0</v>
      </c>
      <c r="O566" t="n">
        <v>0</v>
      </c>
      <c r="P566" t="n">
        <v>0</v>
      </c>
      <c r="Q566" t="n">
        <v>0</v>
      </c>
      <c r="R566" s="2" t="inlineStr"/>
    </row>
    <row r="567" ht="15" customHeight="1">
      <c r="A567" t="inlineStr">
        <is>
          <t>A 38191-2024</t>
        </is>
      </c>
      <c r="B567" s="1" t="n">
        <v>45545.49078703704</v>
      </c>
      <c r="C567" s="1" t="n">
        <v>46052</v>
      </c>
      <c r="D567" t="inlineStr">
        <is>
          <t>JÄMTLANDS LÄN</t>
        </is>
      </c>
      <c r="E567" t="inlineStr">
        <is>
          <t>RAGUNDA</t>
        </is>
      </c>
      <c r="G567" t="n">
        <v>1.6</v>
      </c>
      <c r="H567" t="n">
        <v>0</v>
      </c>
      <c r="I567" t="n">
        <v>0</v>
      </c>
      <c r="J567" t="n">
        <v>0</v>
      </c>
      <c r="K567" t="n">
        <v>0</v>
      </c>
      <c r="L567" t="n">
        <v>0</v>
      </c>
      <c r="M567" t="n">
        <v>0</v>
      </c>
      <c r="N567" t="n">
        <v>0</v>
      </c>
      <c r="O567" t="n">
        <v>0</v>
      </c>
      <c r="P567" t="n">
        <v>0</v>
      </c>
      <c r="Q567" t="n">
        <v>0</v>
      </c>
      <c r="R567" s="2" t="inlineStr"/>
    </row>
    <row r="568" ht="15" customHeight="1">
      <c r="A568" t="inlineStr">
        <is>
          <t>A 35265-2023</t>
        </is>
      </c>
      <c r="B568" s="1" t="n">
        <v>45145.95326388889</v>
      </c>
      <c r="C568" s="1" t="n">
        <v>46052</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5148-2023</t>
        </is>
      </c>
      <c r="B569" s="1" t="n">
        <v>44958</v>
      </c>
      <c r="C569" s="1" t="n">
        <v>46052</v>
      </c>
      <c r="D569" t="inlineStr">
        <is>
          <t>JÄMTLANDS LÄN</t>
        </is>
      </c>
      <c r="E569" t="inlineStr">
        <is>
          <t>RAGUNDA</t>
        </is>
      </c>
      <c r="G569" t="n">
        <v>2.9</v>
      </c>
      <c r="H569" t="n">
        <v>0</v>
      </c>
      <c r="I569" t="n">
        <v>0</v>
      </c>
      <c r="J569" t="n">
        <v>0</v>
      </c>
      <c r="K569" t="n">
        <v>0</v>
      </c>
      <c r="L569" t="n">
        <v>0</v>
      </c>
      <c r="M569" t="n">
        <v>0</v>
      </c>
      <c r="N569" t="n">
        <v>0</v>
      </c>
      <c r="O569" t="n">
        <v>0</v>
      </c>
      <c r="P569" t="n">
        <v>0</v>
      </c>
      <c r="Q569" t="n">
        <v>0</v>
      </c>
      <c r="R569" s="2" t="inlineStr"/>
    </row>
    <row r="570" ht="15" customHeight="1">
      <c r="A570" t="inlineStr">
        <is>
          <t>A 39489-2023</t>
        </is>
      </c>
      <c r="B570" s="1" t="n">
        <v>45166</v>
      </c>
      <c r="C570" s="1" t="n">
        <v>46052</v>
      </c>
      <c r="D570" t="inlineStr">
        <is>
          <t>JÄMTLANDS LÄN</t>
        </is>
      </c>
      <c r="E570" t="inlineStr">
        <is>
          <t>RAGUNDA</t>
        </is>
      </c>
      <c r="G570" t="n">
        <v>5</v>
      </c>
      <c r="H570" t="n">
        <v>0</v>
      </c>
      <c r="I570" t="n">
        <v>0</v>
      </c>
      <c r="J570" t="n">
        <v>0</v>
      </c>
      <c r="K570" t="n">
        <v>0</v>
      </c>
      <c r="L570" t="n">
        <v>0</v>
      </c>
      <c r="M570" t="n">
        <v>0</v>
      </c>
      <c r="N570" t="n">
        <v>0</v>
      </c>
      <c r="O570" t="n">
        <v>0</v>
      </c>
      <c r="P570" t="n">
        <v>0</v>
      </c>
      <c r="Q570" t="n">
        <v>0</v>
      </c>
      <c r="R570" s="2" t="inlineStr"/>
    </row>
    <row r="571" ht="15" customHeight="1">
      <c r="A571" t="inlineStr">
        <is>
          <t>A 66471-2021</t>
        </is>
      </c>
      <c r="B571" s="1" t="n">
        <v>44518</v>
      </c>
      <c r="C571" s="1" t="n">
        <v>46052</v>
      </c>
      <c r="D571" t="inlineStr">
        <is>
          <t>JÄMTLANDS LÄN</t>
        </is>
      </c>
      <c r="E571" t="inlineStr">
        <is>
          <t>RAGUNDA</t>
        </is>
      </c>
      <c r="G571" t="n">
        <v>13.4</v>
      </c>
      <c r="H571" t="n">
        <v>0</v>
      </c>
      <c r="I571" t="n">
        <v>0</v>
      </c>
      <c r="J571" t="n">
        <v>0</v>
      </c>
      <c r="K571" t="n">
        <v>0</v>
      </c>
      <c r="L571" t="n">
        <v>0</v>
      </c>
      <c r="M571" t="n">
        <v>0</v>
      </c>
      <c r="N571" t="n">
        <v>0</v>
      </c>
      <c r="O571" t="n">
        <v>0</v>
      </c>
      <c r="P571" t="n">
        <v>0</v>
      </c>
      <c r="Q571" t="n">
        <v>0</v>
      </c>
      <c r="R571" s="2" t="inlineStr"/>
    </row>
    <row r="572" ht="15" customHeight="1">
      <c r="A572" t="inlineStr">
        <is>
          <t>A 18778-2024</t>
        </is>
      </c>
      <c r="B572" s="1" t="n">
        <v>45426</v>
      </c>
      <c r="C572" s="1" t="n">
        <v>46052</v>
      </c>
      <c r="D572" t="inlineStr">
        <is>
          <t>JÄMTLANDS LÄN</t>
        </is>
      </c>
      <c r="E572" t="inlineStr">
        <is>
          <t>RAGUNDA</t>
        </is>
      </c>
      <c r="G572" t="n">
        <v>0.9</v>
      </c>
      <c r="H572" t="n">
        <v>0</v>
      </c>
      <c r="I572" t="n">
        <v>0</v>
      </c>
      <c r="J572" t="n">
        <v>0</v>
      </c>
      <c r="K572" t="n">
        <v>0</v>
      </c>
      <c r="L572" t="n">
        <v>0</v>
      </c>
      <c r="M572" t="n">
        <v>0</v>
      </c>
      <c r="N572" t="n">
        <v>0</v>
      </c>
      <c r="O572" t="n">
        <v>0</v>
      </c>
      <c r="P572" t="n">
        <v>0</v>
      </c>
      <c r="Q572" t="n">
        <v>0</v>
      </c>
      <c r="R572" s="2" t="inlineStr"/>
    </row>
    <row r="573" ht="15" customHeight="1">
      <c r="A573" t="inlineStr">
        <is>
          <t>A 59556-2024</t>
        </is>
      </c>
      <c r="B573" s="1" t="n">
        <v>45638.63600694444</v>
      </c>
      <c r="C573" s="1" t="n">
        <v>46052</v>
      </c>
      <c r="D573" t="inlineStr">
        <is>
          <t>JÄMTLANDS LÄN</t>
        </is>
      </c>
      <c r="E573" t="inlineStr">
        <is>
          <t>RAGUNDA</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55214-2022</t>
        </is>
      </c>
      <c r="B574" s="1" t="n">
        <v>44886</v>
      </c>
      <c r="C574" s="1" t="n">
        <v>46052</v>
      </c>
      <c r="D574" t="inlineStr">
        <is>
          <t>JÄMTLANDS LÄN</t>
        </is>
      </c>
      <c r="E574" t="inlineStr">
        <is>
          <t>RAGUNDA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25631-2025</t>
        </is>
      </c>
      <c r="B575" s="1" t="n">
        <v>45803.5946875</v>
      </c>
      <c r="C575" s="1" t="n">
        <v>46052</v>
      </c>
      <c r="D575" t="inlineStr">
        <is>
          <t>JÄMTLANDS LÄN</t>
        </is>
      </c>
      <c r="E575" t="inlineStr">
        <is>
          <t>RAGUNDA</t>
        </is>
      </c>
      <c r="G575" t="n">
        <v>1.1</v>
      </c>
      <c r="H575" t="n">
        <v>0</v>
      </c>
      <c r="I575" t="n">
        <v>0</v>
      </c>
      <c r="J575" t="n">
        <v>0</v>
      </c>
      <c r="K575" t="n">
        <v>0</v>
      </c>
      <c r="L575" t="n">
        <v>0</v>
      </c>
      <c r="M575" t="n">
        <v>0</v>
      </c>
      <c r="N575" t="n">
        <v>0</v>
      </c>
      <c r="O575" t="n">
        <v>0</v>
      </c>
      <c r="P575" t="n">
        <v>0</v>
      </c>
      <c r="Q575" t="n">
        <v>0</v>
      </c>
      <c r="R575" s="2" t="inlineStr"/>
    </row>
    <row r="576" ht="15" customHeight="1">
      <c r="A576" t="inlineStr">
        <is>
          <t>A 16529-2022</t>
        </is>
      </c>
      <c r="B576" s="1" t="n">
        <v>44671</v>
      </c>
      <c r="C576" s="1" t="n">
        <v>46052</v>
      </c>
      <c r="D576" t="inlineStr">
        <is>
          <t>JÄMTLANDS LÄN</t>
        </is>
      </c>
      <c r="E576" t="inlineStr">
        <is>
          <t>RAGUNDA</t>
        </is>
      </c>
      <c r="G576" t="n">
        <v>1.5</v>
      </c>
      <c r="H576" t="n">
        <v>0</v>
      </c>
      <c r="I576" t="n">
        <v>0</v>
      </c>
      <c r="J576" t="n">
        <v>0</v>
      </c>
      <c r="K576" t="n">
        <v>0</v>
      </c>
      <c r="L576" t="n">
        <v>0</v>
      </c>
      <c r="M576" t="n">
        <v>0</v>
      </c>
      <c r="N576" t="n">
        <v>0</v>
      </c>
      <c r="O576" t="n">
        <v>0</v>
      </c>
      <c r="P576" t="n">
        <v>0</v>
      </c>
      <c r="Q576" t="n">
        <v>0</v>
      </c>
      <c r="R576" s="2" t="inlineStr"/>
    </row>
    <row r="577" ht="15" customHeight="1">
      <c r="A577" t="inlineStr">
        <is>
          <t>A 25376-2025</t>
        </is>
      </c>
      <c r="B577" s="1" t="n">
        <v>45800.63619212963</v>
      </c>
      <c r="C577" s="1" t="n">
        <v>46052</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25175-2025</t>
        </is>
      </c>
      <c r="B578" s="1" t="n">
        <v>45800.44822916666</v>
      </c>
      <c r="C578" s="1" t="n">
        <v>46052</v>
      </c>
      <c r="D578" t="inlineStr">
        <is>
          <t>JÄMTLANDS LÄN</t>
        </is>
      </c>
      <c r="E578" t="inlineStr">
        <is>
          <t>RAGUNDA</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25177-2025</t>
        </is>
      </c>
      <c r="B579" s="1" t="n">
        <v>45800.44862268519</v>
      </c>
      <c r="C579" s="1" t="n">
        <v>46052</v>
      </c>
      <c r="D579" t="inlineStr">
        <is>
          <t>JÄMTLANDS LÄN</t>
        </is>
      </c>
      <c r="E579" t="inlineStr">
        <is>
          <t>RAGUNDA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61934-2022</t>
        </is>
      </c>
      <c r="B580" s="1" t="n">
        <v>44917</v>
      </c>
      <c r="C580" s="1" t="n">
        <v>46052</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7722-2023</t>
        </is>
      </c>
      <c r="B581" s="1" t="n">
        <v>44972.94140046297</v>
      </c>
      <c r="C581" s="1" t="n">
        <v>46052</v>
      </c>
      <c r="D581" t="inlineStr">
        <is>
          <t>JÄMTLANDS LÄN</t>
        </is>
      </c>
      <c r="E581" t="inlineStr">
        <is>
          <t>RAGUNDA</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25659-2025</t>
        </is>
      </c>
      <c r="B582" s="1" t="n">
        <v>45803.61552083334</v>
      </c>
      <c r="C582" s="1" t="n">
        <v>46052</v>
      </c>
      <c r="D582" t="inlineStr">
        <is>
          <t>JÄMTLANDS LÄN</t>
        </is>
      </c>
      <c r="E582" t="inlineStr">
        <is>
          <t>RAGUNDA</t>
        </is>
      </c>
      <c r="G582" t="n">
        <v>1.5</v>
      </c>
      <c r="H582" t="n">
        <v>0</v>
      </c>
      <c r="I582" t="n">
        <v>0</v>
      </c>
      <c r="J582" t="n">
        <v>0</v>
      </c>
      <c r="K582" t="n">
        <v>0</v>
      </c>
      <c r="L582" t="n">
        <v>0</v>
      </c>
      <c r="M582" t="n">
        <v>0</v>
      </c>
      <c r="N582" t="n">
        <v>0</v>
      </c>
      <c r="O582" t="n">
        <v>0</v>
      </c>
      <c r="P582" t="n">
        <v>0</v>
      </c>
      <c r="Q582" t="n">
        <v>0</v>
      </c>
      <c r="R582" s="2" t="inlineStr"/>
    </row>
    <row r="583" ht="15" customHeight="1">
      <c r="A583" t="inlineStr">
        <is>
          <t>A 25661-2025</t>
        </is>
      </c>
      <c r="B583" s="1" t="n">
        <v>45803.61557870371</v>
      </c>
      <c r="C583" s="1" t="n">
        <v>46052</v>
      </c>
      <c r="D583" t="inlineStr">
        <is>
          <t>JÄMTLANDS LÄN</t>
        </is>
      </c>
      <c r="E583" t="inlineStr">
        <is>
          <t>RAGUNDA</t>
        </is>
      </c>
      <c r="G583" t="n">
        <v>1.4</v>
      </c>
      <c r="H583" t="n">
        <v>0</v>
      </c>
      <c r="I583" t="n">
        <v>0</v>
      </c>
      <c r="J583" t="n">
        <v>0</v>
      </c>
      <c r="K583" t="n">
        <v>0</v>
      </c>
      <c r="L583" t="n">
        <v>0</v>
      </c>
      <c r="M583" t="n">
        <v>0</v>
      </c>
      <c r="N583" t="n">
        <v>0</v>
      </c>
      <c r="O583" t="n">
        <v>0</v>
      </c>
      <c r="P583" t="n">
        <v>0</v>
      </c>
      <c r="Q583" t="n">
        <v>0</v>
      </c>
      <c r="R583" s="2" t="inlineStr"/>
    </row>
    <row r="584" ht="15" customHeight="1">
      <c r="A584" t="inlineStr">
        <is>
          <t>A 8678-2023</t>
        </is>
      </c>
      <c r="B584" s="1" t="n">
        <v>44977.98660879629</v>
      </c>
      <c r="C584" s="1" t="n">
        <v>46052</v>
      </c>
      <c r="D584" t="inlineStr">
        <is>
          <t>JÄMTLANDS LÄN</t>
        </is>
      </c>
      <c r="E584" t="inlineStr">
        <is>
          <t>RAGUNDA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12204-2025</t>
        </is>
      </c>
      <c r="B585" s="1" t="n">
        <v>45729.51074074074</v>
      </c>
      <c r="C585" s="1" t="n">
        <v>46052</v>
      </c>
      <c r="D585" t="inlineStr">
        <is>
          <t>JÄMTLANDS LÄN</t>
        </is>
      </c>
      <c r="E585" t="inlineStr">
        <is>
          <t>RAGUNDA</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25350-2025</t>
        </is>
      </c>
      <c r="B586" s="1" t="n">
        <v>45800</v>
      </c>
      <c r="C586" s="1" t="n">
        <v>46052</v>
      </c>
      <c r="D586" t="inlineStr">
        <is>
          <t>JÄMTLANDS LÄN</t>
        </is>
      </c>
      <c r="E586" t="inlineStr">
        <is>
          <t>RAGUNDA</t>
        </is>
      </c>
      <c r="G586" t="n">
        <v>2.4</v>
      </c>
      <c r="H586" t="n">
        <v>0</v>
      </c>
      <c r="I586" t="n">
        <v>0</v>
      </c>
      <c r="J586" t="n">
        <v>0</v>
      </c>
      <c r="K586" t="n">
        <v>0</v>
      </c>
      <c r="L586" t="n">
        <v>0</v>
      </c>
      <c r="M586" t="n">
        <v>0</v>
      </c>
      <c r="N586" t="n">
        <v>0</v>
      </c>
      <c r="O586" t="n">
        <v>0</v>
      </c>
      <c r="P586" t="n">
        <v>0</v>
      </c>
      <c r="Q586" t="n">
        <v>0</v>
      </c>
      <c r="R586" s="2" t="inlineStr"/>
    </row>
    <row r="587" ht="15" customHeight="1">
      <c r="A587" t="inlineStr">
        <is>
          <t>A 25152-2025</t>
        </is>
      </c>
      <c r="B587" s="1" t="n">
        <v>45800.42743055556</v>
      </c>
      <c r="C587" s="1" t="n">
        <v>46052</v>
      </c>
      <c r="D587" t="inlineStr">
        <is>
          <t>JÄMTLANDS LÄN</t>
        </is>
      </c>
      <c r="E587" t="inlineStr">
        <is>
          <t>RAGUNDA</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28742-2023</t>
        </is>
      </c>
      <c r="B588" s="1" t="n">
        <v>45103</v>
      </c>
      <c r="C588" s="1" t="n">
        <v>46052</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19613-2023</t>
        </is>
      </c>
      <c r="B589" s="1" t="n">
        <v>45050.94020833333</v>
      </c>
      <c r="C589" s="1" t="n">
        <v>46052</v>
      </c>
      <c r="D589" t="inlineStr">
        <is>
          <t>JÄMTLANDS LÄN</t>
        </is>
      </c>
      <c r="E589" t="inlineStr">
        <is>
          <t>RAGUNDA</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17323-2025</t>
        </is>
      </c>
      <c r="B590" s="1" t="n">
        <v>45756.63601851852</v>
      </c>
      <c r="C590" s="1" t="n">
        <v>46052</v>
      </c>
      <c r="D590" t="inlineStr">
        <is>
          <t>JÄMTLANDS LÄN</t>
        </is>
      </c>
      <c r="E590" t="inlineStr">
        <is>
          <t>RAGUNDA</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25814-2025</t>
        </is>
      </c>
      <c r="B591" s="1" t="n">
        <v>45804.42642361111</v>
      </c>
      <c r="C591" s="1" t="n">
        <v>46052</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13299-2024</t>
        </is>
      </c>
      <c r="B592" s="1" t="n">
        <v>45386.68003472222</v>
      </c>
      <c r="C592" s="1" t="n">
        <v>46052</v>
      </c>
      <c r="D592" t="inlineStr">
        <is>
          <t>JÄMTLANDS LÄN</t>
        </is>
      </c>
      <c r="E592" t="inlineStr">
        <is>
          <t>RAGUNDA</t>
        </is>
      </c>
      <c r="G592" t="n">
        <v>1.9</v>
      </c>
      <c r="H592" t="n">
        <v>0</v>
      </c>
      <c r="I592" t="n">
        <v>0</v>
      </c>
      <c r="J592" t="n">
        <v>0</v>
      </c>
      <c r="K592" t="n">
        <v>0</v>
      </c>
      <c r="L592" t="n">
        <v>0</v>
      </c>
      <c r="M592" t="n">
        <v>0</v>
      </c>
      <c r="N592" t="n">
        <v>0</v>
      </c>
      <c r="O592" t="n">
        <v>0</v>
      </c>
      <c r="P592" t="n">
        <v>0</v>
      </c>
      <c r="Q592" t="n">
        <v>0</v>
      </c>
      <c r="R592" s="2" t="inlineStr"/>
    </row>
    <row r="593" ht="15" customHeight="1">
      <c r="A593" t="inlineStr">
        <is>
          <t>A 15024-2022</t>
        </is>
      </c>
      <c r="B593" s="1" t="n">
        <v>44657</v>
      </c>
      <c r="C593" s="1" t="n">
        <v>46052</v>
      </c>
      <c r="D593" t="inlineStr">
        <is>
          <t>JÄMTLANDS LÄN</t>
        </is>
      </c>
      <c r="E593" t="inlineStr">
        <is>
          <t>RAGUNDA</t>
        </is>
      </c>
      <c r="G593" t="n">
        <v>1.8</v>
      </c>
      <c r="H593" t="n">
        <v>0</v>
      </c>
      <c r="I593" t="n">
        <v>0</v>
      </c>
      <c r="J593" t="n">
        <v>0</v>
      </c>
      <c r="K593" t="n">
        <v>0</v>
      </c>
      <c r="L593" t="n">
        <v>0</v>
      </c>
      <c r="M593" t="n">
        <v>0</v>
      </c>
      <c r="N593" t="n">
        <v>0</v>
      </c>
      <c r="O593" t="n">
        <v>0</v>
      </c>
      <c r="P593" t="n">
        <v>0</v>
      </c>
      <c r="Q593" t="n">
        <v>0</v>
      </c>
      <c r="R593" s="2" t="inlineStr"/>
    </row>
    <row r="594" ht="15" customHeight="1">
      <c r="A594" t="inlineStr">
        <is>
          <t>A 25944-2025</t>
        </is>
      </c>
      <c r="B594" s="1" t="n">
        <v>45804.59487268519</v>
      </c>
      <c r="C594" s="1" t="n">
        <v>46052</v>
      </c>
      <c r="D594" t="inlineStr">
        <is>
          <t>JÄMTLANDS LÄN</t>
        </is>
      </c>
      <c r="E594" t="inlineStr">
        <is>
          <t>RAGUNDA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891-2022</t>
        </is>
      </c>
      <c r="B595" s="1" t="n">
        <v>44571</v>
      </c>
      <c r="C595" s="1" t="n">
        <v>46052</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26283-2025</t>
        </is>
      </c>
      <c r="B596" s="1" t="n">
        <v>45805.61495370371</v>
      </c>
      <c r="C596" s="1" t="n">
        <v>46052</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10788-2025</t>
        </is>
      </c>
      <c r="B597" s="1" t="n">
        <v>45722.48982638889</v>
      </c>
      <c r="C597" s="1" t="n">
        <v>46052</v>
      </c>
      <c r="D597" t="inlineStr">
        <is>
          <t>JÄMTLANDS LÄN</t>
        </is>
      </c>
      <c r="E597" t="inlineStr">
        <is>
          <t>RAGUNDA</t>
        </is>
      </c>
      <c r="G597" t="n">
        <v>3.5</v>
      </c>
      <c r="H597" t="n">
        <v>0</v>
      </c>
      <c r="I597" t="n">
        <v>0</v>
      </c>
      <c r="J597" t="n">
        <v>0</v>
      </c>
      <c r="K597" t="n">
        <v>0</v>
      </c>
      <c r="L597" t="n">
        <v>0</v>
      </c>
      <c r="M597" t="n">
        <v>0</v>
      </c>
      <c r="N597" t="n">
        <v>0</v>
      </c>
      <c r="O597" t="n">
        <v>0</v>
      </c>
      <c r="P597" t="n">
        <v>0</v>
      </c>
      <c r="Q597" t="n">
        <v>0</v>
      </c>
      <c r="R597" s="2" t="inlineStr"/>
    </row>
    <row r="598" ht="15" customHeight="1">
      <c r="A598" t="inlineStr">
        <is>
          <t>A 24258-2025</t>
        </is>
      </c>
      <c r="B598" s="1" t="n">
        <v>45797.40800925926</v>
      </c>
      <c r="C598" s="1" t="n">
        <v>46052</v>
      </c>
      <c r="D598" t="inlineStr">
        <is>
          <t>JÄMTLANDS LÄN</t>
        </is>
      </c>
      <c r="E598" t="inlineStr">
        <is>
          <t>RAGUNDA</t>
        </is>
      </c>
      <c r="G598" t="n">
        <v>1.2</v>
      </c>
      <c r="H598" t="n">
        <v>0</v>
      </c>
      <c r="I598" t="n">
        <v>0</v>
      </c>
      <c r="J598" t="n">
        <v>0</v>
      </c>
      <c r="K598" t="n">
        <v>0</v>
      </c>
      <c r="L598" t="n">
        <v>0</v>
      </c>
      <c r="M598" t="n">
        <v>0</v>
      </c>
      <c r="N598" t="n">
        <v>0</v>
      </c>
      <c r="O598" t="n">
        <v>0</v>
      </c>
      <c r="P598" t="n">
        <v>0</v>
      </c>
      <c r="Q598" t="n">
        <v>0</v>
      </c>
      <c r="R598" s="2" t="inlineStr"/>
    </row>
    <row r="599" ht="15" customHeight="1">
      <c r="A599" t="inlineStr">
        <is>
          <t>A 25994-2025</t>
        </is>
      </c>
      <c r="B599" s="1" t="n">
        <v>45804.65672453704</v>
      </c>
      <c r="C599" s="1" t="n">
        <v>46052</v>
      </c>
      <c r="D599" t="inlineStr">
        <is>
          <t>JÄMTLANDS LÄN</t>
        </is>
      </c>
      <c r="E599" t="inlineStr">
        <is>
          <t>RAGUNDA</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16364-2023</t>
        </is>
      </c>
      <c r="B600" s="1" t="n">
        <v>45028</v>
      </c>
      <c r="C600" s="1" t="n">
        <v>46052</v>
      </c>
      <c r="D600" t="inlineStr">
        <is>
          <t>JÄMTLANDS LÄN</t>
        </is>
      </c>
      <c r="E600" t="inlineStr">
        <is>
          <t>RAGUNDA</t>
        </is>
      </c>
      <c r="G600" t="n">
        <v>0.5</v>
      </c>
      <c r="H600" t="n">
        <v>0</v>
      </c>
      <c r="I600" t="n">
        <v>0</v>
      </c>
      <c r="J600" t="n">
        <v>0</v>
      </c>
      <c r="K600" t="n">
        <v>0</v>
      </c>
      <c r="L600" t="n">
        <v>0</v>
      </c>
      <c r="M600" t="n">
        <v>0</v>
      </c>
      <c r="N600" t="n">
        <v>0</v>
      </c>
      <c r="O600" t="n">
        <v>0</v>
      </c>
      <c r="P600" t="n">
        <v>0</v>
      </c>
      <c r="Q600" t="n">
        <v>0</v>
      </c>
      <c r="R600" s="2" t="inlineStr"/>
    </row>
    <row r="601" ht="15" customHeight="1">
      <c r="A601" t="inlineStr">
        <is>
          <t>A 59136-2023</t>
        </is>
      </c>
      <c r="B601" s="1" t="n">
        <v>45251</v>
      </c>
      <c r="C601" s="1" t="n">
        <v>46052</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36371-2023</t>
        </is>
      </c>
      <c r="B602" s="1" t="n">
        <v>45149</v>
      </c>
      <c r="C602" s="1" t="n">
        <v>46052</v>
      </c>
      <c r="D602" t="inlineStr">
        <is>
          <t>JÄMTLANDS LÄN</t>
        </is>
      </c>
      <c r="E602" t="inlineStr">
        <is>
          <t>RAGUNDA</t>
        </is>
      </c>
      <c r="G602" t="n">
        <v>25.7</v>
      </c>
      <c r="H602" t="n">
        <v>0</v>
      </c>
      <c r="I602" t="n">
        <v>0</v>
      </c>
      <c r="J602" t="n">
        <v>0</v>
      </c>
      <c r="K602" t="n">
        <v>0</v>
      </c>
      <c r="L602" t="n">
        <v>0</v>
      </c>
      <c r="M602" t="n">
        <v>0</v>
      </c>
      <c r="N602" t="n">
        <v>0</v>
      </c>
      <c r="O602" t="n">
        <v>0</v>
      </c>
      <c r="P602" t="n">
        <v>0</v>
      </c>
      <c r="Q602" t="n">
        <v>0</v>
      </c>
      <c r="R602" s="2" t="inlineStr"/>
    </row>
    <row r="603" ht="15" customHeight="1">
      <c r="A603" t="inlineStr">
        <is>
          <t>A 56702-2023</t>
        </is>
      </c>
      <c r="B603" s="1" t="n">
        <v>45243</v>
      </c>
      <c r="C603" s="1" t="n">
        <v>46052</v>
      </c>
      <c r="D603" t="inlineStr">
        <is>
          <t>JÄMTLANDS LÄN</t>
        </is>
      </c>
      <c r="E603" t="inlineStr">
        <is>
          <t>RAGUNDA</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26172-2025</t>
        </is>
      </c>
      <c r="B604" s="1" t="n">
        <v>45805.46613425926</v>
      </c>
      <c r="C604" s="1" t="n">
        <v>46052</v>
      </c>
      <c r="D604" t="inlineStr">
        <is>
          <t>JÄMTLANDS LÄN</t>
        </is>
      </c>
      <c r="E604" t="inlineStr">
        <is>
          <t>RAGUNDA</t>
        </is>
      </c>
      <c r="G604" t="n">
        <v>2.1</v>
      </c>
      <c r="H604" t="n">
        <v>0</v>
      </c>
      <c r="I604" t="n">
        <v>0</v>
      </c>
      <c r="J604" t="n">
        <v>0</v>
      </c>
      <c r="K604" t="n">
        <v>0</v>
      </c>
      <c r="L604" t="n">
        <v>0</v>
      </c>
      <c r="M604" t="n">
        <v>0</v>
      </c>
      <c r="N604" t="n">
        <v>0</v>
      </c>
      <c r="O604" t="n">
        <v>0</v>
      </c>
      <c r="P604" t="n">
        <v>0</v>
      </c>
      <c r="Q604" t="n">
        <v>0</v>
      </c>
      <c r="R604" s="2" t="inlineStr"/>
    </row>
    <row r="605" ht="15" customHeight="1">
      <c r="A605" t="inlineStr">
        <is>
          <t>A 26246-2025</t>
        </is>
      </c>
      <c r="B605" s="1" t="n">
        <v>45805.57390046296</v>
      </c>
      <c r="C605" s="1" t="n">
        <v>46052</v>
      </c>
      <c r="D605" t="inlineStr">
        <is>
          <t>JÄMTLANDS LÄN</t>
        </is>
      </c>
      <c r="E605" t="inlineStr">
        <is>
          <t>RAGUNDA</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32259-2024</t>
        </is>
      </c>
      <c r="B606" s="1" t="n">
        <v>45511</v>
      </c>
      <c r="C606" s="1" t="n">
        <v>46052</v>
      </c>
      <c r="D606" t="inlineStr">
        <is>
          <t>JÄMTLANDS LÄN</t>
        </is>
      </c>
      <c r="E606" t="inlineStr">
        <is>
          <t>RAGUNDA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49659-2023</t>
        </is>
      </c>
      <c r="B607" s="1" t="n">
        <v>45211.95134259259</v>
      </c>
      <c r="C607" s="1" t="n">
        <v>46052</v>
      </c>
      <c r="D607" t="inlineStr">
        <is>
          <t>JÄMTLANDS LÄN</t>
        </is>
      </c>
      <c r="E607" t="inlineStr">
        <is>
          <t>RAGUNDA</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73278-2021</t>
        </is>
      </c>
      <c r="B608" s="1" t="n">
        <v>44550.92168981482</v>
      </c>
      <c r="C608" s="1" t="n">
        <v>46052</v>
      </c>
      <c r="D608" t="inlineStr">
        <is>
          <t>JÄMTLANDS LÄN</t>
        </is>
      </c>
      <c r="E608" t="inlineStr">
        <is>
          <t>RAGUNDA</t>
        </is>
      </c>
      <c r="G608" t="n">
        <v>4.4</v>
      </c>
      <c r="H608" t="n">
        <v>0</v>
      </c>
      <c r="I608" t="n">
        <v>0</v>
      </c>
      <c r="J608" t="n">
        <v>0</v>
      </c>
      <c r="K608" t="n">
        <v>0</v>
      </c>
      <c r="L608" t="n">
        <v>0</v>
      </c>
      <c r="M608" t="n">
        <v>0</v>
      </c>
      <c r="N608" t="n">
        <v>0</v>
      </c>
      <c r="O608" t="n">
        <v>0</v>
      </c>
      <c r="P608" t="n">
        <v>0</v>
      </c>
      <c r="Q608" t="n">
        <v>0</v>
      </c>
      <c r="R608" s="2" t="inlineStr"/>
    </row>
    <row r="609" ht="15" customHeight="1">
      <c r="A609" t="inlineStr">
        <is>
          <t>A 50521-2024</t>
        </is>
      </c>
      <c r="B609" s="1" t="n">
        <v>45601.55331018518</v>
      </c>
      <c r="C609" s="1" t="n">
        <v>46052</v>
      </c>
      <c r="D609" t="inlineStr">
        <is>
          <t>JÄMTLANDS LÄN</t>
        </is>
      </c>
      <c r="E609" t="inlineStr">
        <is>
          <t>RAGUNDA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4916-2025</t>
        </is>
      </c>
      <c r="B610" s="1" t="n">
        <v>45688.68196759259</v>
      </c>
      <c r="C610" s="1" t="n">
        <v>46052</v>
      </c>
      <c r="D610" t="inlineStr">
        <is>
          <t>JÄMTLANDS LÄN</t>
        </is>
      </c>
      <c r="E610" t="inlineStr">
        <is>
          <t>RAGUNDA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5313-2025</t>
        </is>
      </c>
      <c r="B611" s="1" t="n">
        <v>45692.51069444444</v>
      </c>
      <c r="C611" s="1" t="n">
        <v>46052</v>
      </c>
      <c r="D611" t="inlineStr">
        <is>
          <t>JÄMTLANDS LÄN</t>
        </is>
      </c>
      <c r="E611" t="inlineStr">
        <is>
          <t>RAGUNDA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5357-2025</t>
        </is>
      </c>
      <c r="B612" s="1" t="n">
        <v>45692.57326388889</v>
      </c>
      <c r="C612" s="1" t="n">
        <v>46052</v>
      </c>
      <c r="D612" t="inlineStr">
        <is>
          <t>JÄMTLANDS LÄN</t>
        </is>
      </c>
      <c r="E612" t="inlineStr">
        <is>
          <t>RAGUNDA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3018-2024</t>
        </is>
      </c>
      <c r="B613" s="1" t="n">
        <v>45315.9492824074</v>
      </c>
      <c r="C613" s="1" t="n">
        <v>46052</v>
      </c>
      <c r="D613" t="inlineStr">
        <is>
          <t>JÄMTLANDS LÄN</t>
        </is>
      </c>
      <c r="E613" t="inlineStr">
        <is>
          <t>RAGUNDA</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59557-2023</t>
        </is>
      </c>
      <c r="B614" s="1" t="n">
        <v>45253</v>
      </c>
      <c r="C614" s="1" t="n">
        <v>46052</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51396-2024</t>
        </is>
      </c>
      <c r="B615" s="1" t="n">
        <v>45604.4190625</v>
      </c>
      <c r="C615" s="1" t="n">
        <v>46052</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44605-2024</t>
        </is>
      </c>
      <c r="B616" s="1" t="n">
        <v>45574.51185185185</v>
      </c>
      <c r="C616" s="1" t="n">
        <v>46052</v>
      </c>
      <c r="D616" t="inlineStr">
        <is>
          <t>JÄMTLANDS LÄN</t>
        </is>
      </c>
      <c r="E616" t="inlineStr">
        <is>
          <t>RAGUNDA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26640-2025</t>
        </is>
      </c>
      <c r="B617" s="1" t="n">
        <v>45810.36495370371</v>
      </c>
      <c r="C617" s="1" t="n">
        <v>46052</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57112-2024</t>
        </is>
      </c>
      <c r="B618" s="1" t="n">
        <v>45629.36486111111</v>
      </c>
      <c r="C618" s="1" t="n">
        <v>46052</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53136-2024</t>
        </is>
      </c>
      <c r="B619" s="1" t="n">
        <v>45611.5953125</v>
      </c>
      <c r="C619" s="1" t="n">
        <v>46052</v>
      </c>
      <c r="D619" t="inlineStr">
        <is>
          <t>JÄMTLANDS LÄN</t>
        </is>
      </c>
      <c r="E619" t="inlineStr">
        <is>
          <t>RAGUNDA</t>
        </is>
      </c>
      <c r="G619" t="n">
        <v>3.8</v>
      </c>
      <c r="H619" t="n">
        <v>0</v>
      </c>
      <c r="I619" t="n">
        <v>0</v>
      </c>
      <c r="J619" t="n">
        <v>0</v>
      </c>
      <c r="K619" t="n">
        <v>0</v>
      </c>
      <c r="L619" t="n">
        <v>0</v>
      </c>
      <c r="M619" t="n">
        <v>0</v>
      </c>
      <c r="N619" t="n">
        <v>0</v>
      </c>
      <c r="O619" t="n">
        <v>0</v>
      </c>
      <c r="P619" t="n">
        <v>0</v>
      </c>
      <c r="Q619" t="n">
        <v>0</v>
      </c>
      <c r="R619" s="2" t="inlineStr"/>
    </row>
    <row r="620" ht="15" customHeight="1">
      <c r="A620" t="inlineStr">
        <is>
          <t>A 20773-2024</t>
        </is>
      </c>
      <c r="B620" s="1" t="n">
        <v>45436.94636574074</v>
      </c>
      <c r="C620" s="1" t="n">
        <v>46052</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34323-2023</t>
        </is>
      </c>
      <c r="B621" s="1" t="n">
        <v>45138.94925925926</v>
      </c>
      <c r="C621" s="1" t="n">
        <v>46052</v>
      </c>
      <c r="D621" t="inlineStr">
        <is>
          <t>JÄMTLANDS LÄN</t>
        </is>
      </c>
      <c r="E621" t="inlineStr">
        <is>
          <t>RAGUNDA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33621-2023</t>
        </is>
      </c>
      <c r="B622" s="1" t="n">
        <v>45119</v>
      </c>
      <c r="C622" s="1" t="n">
        <v>46052</v>
      </c>
      <c r="D622" t="inlineStr">
        <is>
          <t>JÄMTLANDS LÄN</t>
        </is>
      </c>
      <c r="E622" t="inlineStr">
        <is>
          <t>RAGUNDA</t>
        </is>
      </c>
      <c r="G622" t="n">
        <v>0.5</v>
      </c>
      <c r="H622" t="n">
        <v>0</v>
      </c>
      <c r="I622" t="n">
        <v>0</v>
      </c>
      <c r="J622" t="n">
        <v>0</v>
      </c>
      <c r="K622" t="n">
        <v>0</v>
      </c>
      <c r="L622" t="n">
        <v>0</v>
      </c>
      <c r="M622" t="n">
        <v>0</v>
      </c>
      <c r="N622" t="n">
        <v>0</v>
      </c>
      <c r="O622" t="n">
        <v>0</v>
      </c>
      <c r="P622" t="n">
        <v>0</v>
      </c>
      <c r="Q622" t="n">
        <v>0</v>
      </c>
      <c r="R622" s="2" t="inlineStr"/>
    </row>
    <row r="623" ht="15" customHeight="1">
      <c r="A623" t="inlineStr">
        <is>
          <t>A 6694-2024</t>
        </is>
      </c>
      <c r="B623" s="1" t="n">
        <v>45341.95381944445</v>
      </c>
      <c r="C623" s="1" t="n">
        <v>46052</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50486-2023</t>
        </is>
      </c>
      <c r="B624" s="1" t="n">
        <v>45216.92424768519</v>
      </c>
      <c r="C624" s="1" t="n">
        <v>46052</v>
      </c>
      <c r="D624" t="inlineStr">
        <is>
          <t>JÄMTLANDS LÄN</t>
        </is>
      </c>
      <c r="E624" t="inlineStr">
        <is>
          <t>RAGUNDA</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1537-2024</t>
        </is>
      </c>
      <c r="B625" s="1" t="n">
        <v>45306</v>
      </c>
      <c r="C625" s="1" t="n">
        <v>46052</v>
      </c>
      <c r="D625" t="inlineStr">
        <is>
          <t>JÄMTLANDS LÄN</t>
        </is>
      </c>
      <c r="E625" t="inlineStr">
        <is>
          <t>RAGUNDA</t>
        </is>
      </c>
      <c r="G625" t="n">
        <v>0.2</v>
      </c>
      <c r="H625" t="n">
        <v>0</v>
      </c>
      <c r="I625" t="n">
        <v>0</v>
      </c>
      <c r="J625" t="n">
        <v>0</v>
      </c>
      <c r="K625" t="n">
        <v>0</v>
      </c>
      <c r="L625" t="n">
        <v>0</v>
      </c>
      <c r="M625" t="n">
        <v>0</v>
      </c>
      <c r="N625" t="n">
        <v>0</v>
      </c>
      <c r="O625" t="n">
        <v>0</v>
      </c>
      <c r="P625" t="n">
        <v>0</v>
      </c>
      <c r="Q625" t="n">
        <v>0</v>
      </c>
      <c r="R625" s="2" t="inlineStr"/>
    </row>
    <row r="626" ht="15" customHeight="1">
      <c r="A626" t="inlineStr">
        <is>
          <t>A 2001-2025</t>
        </is>
      </c>
      <c r="B626" s="1" t="n">
        <v>45672.44898148148</v>
      </c>
      <c r="C626" s="1" t="n">
        <v>46052</v>
      </c>
      <c r="D626" t="inlineStr">
        <is>
          <t>JÄMTLANDS LÄN</t>
        </is>
      </c>
      <c r="E626" t="inlineStr">
        <is>
          <t>RAGUNDA</t>
        </is>
      </c>
      <c r="F626" t="inlineStr">
        <is>
          <t>SCA</t>
        </is>
      </c>
      <c r="G626" t="n">
        <v>16.2</v>
      </c>
      <c r="H626" t="n">
        <v>0</v>
      </c>
      <c r="I626" t="n">
        <v>0</v>
      </c>
      <c r="J626" t="n">
        <v>0</v>
      </c>
      <c r="K626" t="n">
        <v>0</v>
      </c>
      <c r="L626" t="n">
        <v>0</v>
      </c>
      <c r="M626" t="n">
        <v>0</v>
      </c>
      <c r="N626" t="n">
        <v>0</v>
      </c>
      <c r="O626" t="n">
        <v>0</v>
      </c>
      <c r="P626" t="n">
        <v>0</v>
      </c>
      <c r="Q626" t="n">
        <v>0</v>
      </c>
      <c r="R626" s="2" t="inlineStr"/>
    </row>
    <row r="627" ht="15" customHeight="1">
      <c r="A627" t="inlineStr">
        <is>
          <t>A 60935-2024</t>
        </is>
      </c>
      <c r="B627" s="1" t="n">
        <v>45645.36740740741</v>
      </c>
      <c r="C627" s="1" t="n">
        <v>46052</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53762-2023</t>
        </is>
      </c>
      <c r="B628" s="1" t="n">
        <v>45230.96376157407</v>
      </c>
      <c r="C628" s="1" t="n">
        <v>46052</v>
      </c>
      <c r="D628" t="inlineStr">
        <is>
          <t>JÄMTLANDS LÄN</t>
        </is>
      </c>
      <c r="E628" t="inlineStr">
        <is>
          <t>RAGUNDA</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51538-2022</t>
        </is>
      </c>
      <c r="B629" s="1" t="n">
        <v>44869</v>
      </c>
      <c r="C629" s="1" t="n">
        <v>46052</v>
      </c>
      <c r="D629" t="inlineStr">
        <is>
          <t>JÄMTLANDS LÄN</t>
        </is>
      </c>
      <c r="E629" t="inlineStr">
        <is>
          <t>RAGUNDA</t>
        </is>
      </c>
      <c r="G629" t="n">
        <v>6.8</v>
      </c>
      <c r="H629" t="n">
        <v>0</v>
      </c>
      <c r="I629" t="n">
        <v>0</v>
      </c>
      <c r="J629" t="n">
        <v>0</v>
      </c>
      <c r="K629" t="n">
        <v>0</v>
      </c>
      <c r="L629" t="n">
        <v>0</v>
      </c>
      <c r="M629" t="n">
        <v>0</v>
      </c>
      <c r="N629" t="n">
        <v>0</v>
      </c>
      <c r="O629" t="n">
        <v>0</v>
      </c>
      <c r="P629" t="n">
        <v>0</v>
      </c>
      <c r="Q629" t="n">
        <v>0</v>
      </c>
      <c r="R629" s="2" t="inlineStr"/>
    </row>
    <row r="630" ht="15" customHeight="1">
      <c r="A630" t="inlineStr">
        <is>
          <t>A 19854-2025</t>
        </is>
      </c>
      <c r="B630" s="1" t="n">
        <v>45771.51074074074</v>
      </c>
      <c r="C630" s="1" t="n">
        <v>46052</v>
      </c>
      <c r="D630" t="inlineStr">
        <is>
          <t>JÄMTLANDS LÄN</t>
        </is>
      </c>
      <c r="E630" t="inlineStr">
        <is>
          <t>RAGUNDA</t>
        </is>
      </c>
      <c r="F630" t="inlineStr">
        <is>
          <t>SCA</t>
        </is>
      </c>
      <c r="G630" t="n">
        <v>8.4</v>
      </c>
      <c r="H630" t="n">
        <v>0</v>
      </c>
      <c r="I630" t="n">
        <v>0</v>
      </c>
      <c r="J630" t="n">
        <v>0</v>
      </c>
      <c r="K630" t="n">
        <v>0</v>
      </c>
      <c r="L630" t="n">
        <v>0</v>
      </c>
      <c r="M630" t="n">
        <v>0</v>
      </c>
      <c r="N630" t="n">
        <v>0</v>
      </c>
      <c r="O630" t="n">
        <v>0</v>
      </c>
      <c r="P630" t="n">
        <v>0</v>
      </c>
      <c r="Q630" t="n">
        <v>0</v>
      </c>
      <c r="R630" s="2" t="inlineStr"/>
    </row>
    <row r="631" ht="15" customHeight="1">
      <c r="A631" t="inlineStr">
        <is>
          <t>A 19089-2024</t>
        </is>
      </c>
      <c r="B631" s="1" t="n">
        <v>45428.00471064815</v>
      </c>
      <c r="C631" s="1" t="n">
        <v>46052</v>
      </c>
      <c r="D631" t="inlineStr">
        <is>
          <t>JÄMTLANDS LÄN</t>
        </is>
      </c>
      <c r="E631" t="inlineStr">
        <is>
          <t>RAGUNDA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6257-2025</t>
        </is>
      </c>
      <c r="B632" s="1" t="n">
        <v>45698.59409722222</v>
      </c>
      <c r="C632" s="1" t="n">
        <v>46052</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14074-2023</t>
        </is>
      </c>
      <c r="B633" s="1" t="n">
        <v>45009.089375</v>
      </c>
      <c r="C633" s="1" t="n">
        <v>46052</v>
      </c>
      <c r="D633" t="inlineStr">
        <is>
          <t>JÄMTLANDS LÄN</t>
        </is>
      </c>
      <c r="E633" t="inlineStr">
        <is>
          <t>RAGUNDA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37265-2024</t>
        </is>
      </c>
      <c r="B634" s="1" t="n">
        <v>45540.38564814815</v>
      </c>
      <c r="C634" s="1" t="n">
        <v>46052</v>
      </c>
      <c r="D634" t="inlineStr">
        <is>
          <t>JÄMTLANDS LÄN</t>
        </is>
      </c>
      <c r="E634" t="inlineStr">
        <is>
          <t>RAGUNDA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50503-2024</t>
        </is>
      </c>
      <c r="B635" s="1" t="n">
        <v>45601.5315625</v>
      </c>
      <c r="C635" s="1" t="n">
        <v>46052</v>
      </c>
      <c r="D635" t="inlineStr">
        <is>
          <t>JÄMTLANDS LÄN</t>
        </is>
      </c>
      <c r="E635" t="inlineStr">
        <is>
          <t>RAGUNDA</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39192-2025</t>
        </is>
      </c>
      <c r="B636" s="1" t="n">
        <v>45888.6775</v>
      </c>
      <c r="C636" s="1" t="n">
        <v>46052</v>
      </c>
      <c r="D636" t="inlineStr">
        <is>
          <t>JÄMTLANDS LÄN</t>
        </is>
      </c>
      <c r="E636" t="inlineStr">
        <is>
          <t>RAGUNDA</t>
        </is>
      </c>
      <c r="F636" t="inlineStr">
        <is>
          <t>Naturvårdsverket</t>
        </is>
      </c>
      <c r="G636" t="n">
        <v>2.3</v>
      </c>
      <c r="H636" t="n">
        <v>0</v>
      </c>
      <c r="I636" t="n">
        <v>0</v>
      </c>
      <c r="J636" t="n">
        <v>0</v>
      </c>
      <c r="K636" t="n">
        <v>0</v>
      </c>
      <c r="L636" t="n">
        <v>0</v>
      </c>
      <c r="M636" t="n">
        <v>0</v>
      </c>
      <c r="N636" t="n">
        <v>0</v>
      </c>
      <c r="O636" t="n">
        <v>0</v>
      </c>
      <c r="P636" t="n">
        <v>0</v>
      </c>
      <c r="Q636" t="n">
        <v>0</v>
      </c>
      <c r="R636" s="2" t="inlineStr"/>
    </row>
    <row r="637" ht="15" customHeight="1">
      <c r="A637" t="inlineStr">
        <is>
          <t>A 27510-2025</t>
        </is>
      </c>
      <c r="B637" s="1" t="n">
        <v>45813.42790509259</v>
      </c>
      <c r="C637" s="1" t="n">
        <v>46052</v>
      </c>
      <c r="D637" t="inlineStr">
        <is>
          <t>JÄMTLANDS LÄN</t>
        </is>
      </c>
      <c r="E637" t="inlineStr">
        <is>
          <t>RAGUNDA</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19404-2025</t>
        </is>
      </c>
      <c r="B638" s="1" t="n">
        <v>45769.67802083334</v>
      </c>
      <c r="C638" s="1" t="n">
        <v>46052</v>
      </c>
      <c r="D638" t="inlineStr">
        <is>
          <t>JÄMTLANDS LÄN</t>
        </is>
      </c>
      <c r="E638" t="inlineStr">
        <is>
          <t>RAGUNDA</t>
        </is>
      </c>
      <c r="F638" t="inlineStr">
        <is>
          <t>SCA</t>
        </is>
      </c>
      <c r="G638" t="n">
        <v>3</v>
      </c>
      <c r="H638" t="n">
        <v>0</v>
      </c>
      <c r="I638" t="n">
        <v>0</v>
      </c>
      <c r="J638" t="n">
        <v>0</v>
      </c>
      <c r="K638" t="n">
        <v>0</v>
      </c>
      <c r="L638" t="n">
        <v>0</v>
      </c>
      <c r="M638" t="n">
        <v>0</v>
      </c>
      <c r="N638" t="n">
        <v>0</v>
      </c>
      <c r="O638" t="n">
        <v>0</v>
      </c>
      <c r="P638" t="n">
        <v>0</v>
      </c>
      <c r="Q638" t="n">
        <v>0</v>
      </c>
      <c r="R638" s="2" t="inlineStr"/>
      <c r="U638">
        <f>HYPERLINK("https://klasma.github.io/Logging_2303/knärot/A 19404-2025 karta knärot.png", "A 19404-2025")</f>
        <v/>
      </c>
      <c r="V638">
        <f>HYPERLINK("https://klasma.github.io/Logging_2303/klagomål/A 19404-2025 FSC-klagomål.docx", "A 19404-2025")</f>
        <v/>
      </c>
      <c r="W638">
        <f>HYPERLINK("https://klasma.github.io/Logging_2303/klagomålsmail/A 19404-2025 FSC-klagomål mail.docx", "A 19404-2025")</f>
        <v/>
      </c>
      <c r="X638">
        <f>HYPERLINK("https://klasma.github.io/Logging_2303/tillsyn/A 19404-2025 tillsynsbegäran.docx", "A 19404-2025")</f>
        <v/>
      </c>
      <c r="Y638">
        <f>HYPERLINK("https://klasma.github.io/Logging_2303/tillsynsmail/A 19404-2025 tillsynsbegäran mail.docx", "A 19404-2025")</f>
        <v/>
      </c>
    </row>
    <row r="639" ht="15" customHeight="1">
      <c r="A639" t="inlineStr">
        <is>
          <t>A 18777-2024</t>
        </is>
      </c>
      <c r="B639" s="1" t="n">
        <v>45426</v>
      </c>
      <c r="C639" s="1" t="n">
        <v>46052</v>
      </c>
      <c r="D639" t="inlineStr">
        <is>
          <t>JÄMTLANDS LÄN</t>
        </is>
      </c>
      <c r="E639" t="inlineStr">
        <is>
          <t>RAGUNDA</t>
        </is>
      </c>
      <c r="G639" t="n">
        <v>1.9</v>
      </c>
      <c r="H639" t="n">
        <v>0</v>
      </c>
      <c r="I639" t="n">
        <v>0</v>
      </c>
      <c r="J639" t="n">
        <v>0</v>
      </c>
      <c r="K639" t="n">
        <v>0</v>
      </c>
      <c r="L639" t="n">
        <v>0</v>
      </c>
      <c r="M639" t="n">
        <v>0</v>
      </c>
      <c r="N639" t="n">
        <v>0</v>
      </c>
      <c r="O639" t="n">
        <v>0</v>
      </c>
      <c r="P639" t="n">
        <v>0</v>
      </c>
      <c r="Q639" t="n">
        <v>0</v>
      </c>
      <c r="R639" s="2" t="inlineStr"/>
    </row>
    <row r="640" ht="15" customHeight="1">
      <c r="A640" t="inlineStr">
        <is>
          <t>A 58564-2024</t>
        </is>
      </c>
      <c r="B640" s="1" t="n">
        <v>45635.47243055556</v>
      </c>
      <c r="C640" s="1" t="n">
        <v>46052</v>
      </c>
      <c r="D640" t="inlineStr">
        <is>
          <t>JÄMTLANDS LÄN</t>
        </is>
      </c>
      <c r="E640" t="inlineStr">
        <is>
          <t>RAGUNDA</t>
        </is>
      </c>
      <c r="G640" t="n">
        <v>2.6</v>
      </c>
      <c r="H640" t="n">
        <v>0</v>
      </c>
      <c r="I640" t="n">
        <v>0</v>
      </c>
      <c r="J640" t="n">
        <v>0</v>
      </c>
      <c r="K640" t="n">
        <v>0</v>
      </c>
      <c r="L640" t="n">
        <v>0</v>
      </c>
      <c r="M640" t="n">
        <v>0</v>
      </c>
      <c r="N640" t="n">
        <v>0</v>
      </c>
      <c r="O640" t="n">
        <v>0</v>
      </c>
      <c r="P640" t="n">
        <v>0</v>
      </c>
      <c r="Q640" t="n">
        <v>0</v>
      </c>
      <c r="R640" s="2" t="inlineStr"/>
    </row>
    <row r="641" ht="15" customHeight="1">
      <c r="A641" t="inlineStr">
        <is>
          <t>A 8243-2024</t>
        </is>
      </c>
      <c r="B641" s="1" t="n">
        <v>45351.98532407408</v>
      </c>
      <c r="C641" s="1" t="n">
        <v>46052</v>
      </c>
      <c r="D641" t="inlineStr">
        <is>
          <t>JÄMTLANDS LÄN</t>
        </is>
      </c>
      <c r="E641" t="inlineStr">
        <is>
          <t>RAGUNDA</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10610-2024</t>
        </is>
      </c>
      <c r="B642" s="1" t="n">
        <v>45367.04693287037</v>
      </c>
      <c r="C642" s="1" t="n">
        <v>46052</v>
      </c>
      <c r="D642" t="inlineStr">
        <is>
          <t>JÄMTLANDS LÄN</t>
        </is>
      </c>
      <c r="E642" t="inlineStr">
        <is>
          <t>RAGUNDA</t>
        </is>
      </c>
      <c r="F642" t="inlineStr">
        <is>
          <t>SCA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1325-2025</t>
        </is>
      </c>
      <c r="B643" s="1" t="n">
        <v>45667.57342592593</v>
      </c>
      <c r="C643" s="1" t="n">
        <v>46052</v>
      </c>
      <c r="D643" t="inlineStr">
        <is>
          <t>JÄMTLANDS LÄN</t>
        </is>
      </c>
      <c r="E643" t="inlineStr">
        <is>
          <t>RAGUNDA</t>
        </is>
      </c>
      <c r="F643" t="inlineStr">
        <is>
          <t>SCA</t>
        </is>
      </c>
      <c r="G643" t="n">
        <v>20.2</v>
      </c>
      <c r="H643" t="n">
        <v>0</v>
      </c>
      <c r="I643" t="n">
        <v>0</v>
      </c>
      <c r="J643" t="n">
        <v>0</v>
      </c>
      <c r="K643" t="n">
        <v>0</v>
      </c>
      <c r="L643" t="n">
        <v>0</v>
      </c>
      <c r="M643" t="n">
        <v>0</v>
      </c>
      <c r="N643" t="n">
        <v>0</v>
      </c>
      <c r="O643" t="n">
        <v>0</v>
      </c>
      <c r="P643" t="n">
        <v>0</v>
      </c>
      <c r="Q643" t="n">
        <v>0</v>
      </c>
      <c r="R643" s="2" t="inlineStr"/>
    </row>
    <row r="644" ht="15" customHeight="1">
      <c r="A644" t="inlineStr">
        <is>
          <t>A 18159-2023</t>
        </is>
      </c>
      <c r="B644" s="1" t="n">
        <v>45040.94277777777</v>
      </c>
      <c r="C644" s="1" t="n">
        <v>46052</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10706-2023</t>
        </is>
      </c>
      <c r="B645" s="1" t="n">
        <v>44984</v>
      </c>
      <c r="C645" s="1" t="n">
        <v>46052</v>
      </c>
      <c r="D645" t="inlineStr">
        <is>
          <t>JÄMTLANDS LÄN</t>
        </is>
      </c>
      <c r="E645" t="inlineStr">
        <is>
          <t>RAGUNDA</t>
        </is>
      </c>
      <c r="G645" t="n">
        <v>7.7</v>
      </c>
      <c r="H645" t="n">
        <v>0</v>
      </c>
      <c r="I645" t="n">
        <v>0</v>
      </c>
      <c r="J645" t="n">
        <v>0</v>
      </c>
      <c r="K645" t="n">
        <v>0</v>
      </c>
      <c r="L645" t="n">
        <v>0</v>
      </c>
      <c r="M645" t="n">
        <v>0</v>
      </c>
      <c r="N645" t="n">
        <v>0</v>
      </c>
      <c r="O645" t="n">
        <v>0</v>
      </c>
      <c r="P645" t="n">
        <v>0</v>
      </c>
      <c r="Q645" t="n">
        <v>0</v>
      </c>
      <c r="R645" s="2" t="inlineStr"/>
    </row>
    <row r="646" ht="15" customHeight="1">
      <c r="A646" t="inlineStr">
        <is>
          <t>A 18989-2025</t>
        </is>
      </c>
      <c r="B646" s="1" t="n">
        <v>45764</v>
      </c>
      <c r="C646" s="1" t="n">
        <v>46052</v>
      </c>
      <c r="D646" t="inlineStr">
        <is>
          <t>JÄMTLANDS LÄN</t>
        </is>
      </c>
      <c r="E646" t="inlineStr">
        <is>
          <t>RAGUNDA</t>
        </is>
      </c>
      <c r="G646" t="n">
        <v>0.9</v>
      </c>
      <c r="H646" t="n">
        <v>0</v>
      </c>
      <c r="I646" t="n">
        <v>0</v>
      </c>
      <c r="J646" t="n">
        <v>0</v>
      </c>
      <c r="K646" t="n">
        <v>0</v>
      </c>
      <c r="L646" t="n">
        <v>0</v>
      </c>
      <c r="M646" t="n">
        <v>0</v>
      </c>
      <c r="N646" t="n">
        <v>0</v>
      </c>
      <c r="O646" t="n">
        <v>0</v>
      </c>
      <c r="P646" t="n">
        <v>0</v>
      </c>
      <c r="Q646" t="n">
        <v>0</v>
      </c>
      <c r="R646" s="2" t="inlineStr"/>
    </row>
    <row r="647" ht="15" customHeight="1">
      <c r="A647" t="inlineStr">
        <is>
          <t>A 63708-2023</t>
        </is>
      </c>
      <c r="B647" s="1" t="n">
        <v>45275.95060185185</v>
      </c>
      <c r="C647" s="1" t="n">
        <v>46052</v>
      </c>
      <c r="D647" t="inlineStr">
        <is>
          <t>JÄMTLANDS LÄN</t>
        </is>
      </c>
      <c r="E647" t="inlineStr">
        <is>
          <t>RAGUNDA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16250-2022</t>
        </is>
      </c>
      <c r="B648" s="1" t="n">
        <v>44670</v>
      </c>
      <c r="C648" s="1" t="n">
        <v>46052</v>
      </c>
      <c r="D648" t="inlineStr">
        <is>
          <t>JÄMTLANDS LÄN</t>
        </is>
      </c>
      <c r="E648" t="inlineStr">
        <is>
          <t>RAGUNDA</t>
        </is>
      </c>
      <c r="G648" t="n">
        <v>1</v>
      </c>
      <c r="H648" t="n">
        <v>0</v>
      </c>
      <c r="I648" t="n">
        <v>0</v>
      </c>
      <c r="J648" t="n">
        <v>0</v>
      </c>
      <c r="K648" t="n">
        <v>0</v>
      </c>
      <c r="L648" t="n">
        <v>0</v>
      </c>
      <c r="M648" t="n">
        <v>0</v>
      </c>
      <c r="N648" t="n">
        <v>0</v>
      </c>
      <c r="O648" t="n">
        <v>0</v>
      </c>
      <c r="P648" t="n">
        <v>0</v>
      </c>
      <c r="Q648" t="n">
        <v>0</v>
      </c>
      <c r="R648" s="2" t="inlineStr"/>
    </row>
    <row r="649" ht="15" customHeight="1">
      <c r="A649" t="inlineStr">
        <is>
          <t>A 60663-2022</t>
        </is>
      </c>
      <c r="B649" s="1" t="n">
        <v>44911.93846064815</v>
      </c>
      <c r="C649" s="1" t="n">
        <v>46052</v>
      </c>
      <c r="D649" t="inlineStr">
        <is>
          <t>JÄMTLANDS LÄN</t>
        </is>
      </c>
      <c r="E649" t="inlineStr">
        <is>
          <t>RAGUNDA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19486-2024</t>
        </is>
      </c>
      <c r="B650" s="1" t="n">
        <v>45429</v>
      </c>
      <c r="C650" s="1" t="n">
        <v>46052</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1326-2025</t>
        </is>
      </c>
      <c r="B651" s="1" t="n">
        <v>45667.57347222222</v>
      </c>
      <c r="C651" s="1" t="n">
        <v>46052</v>
      </c>
      <c r="D651" t="inlineStr">
        <is>
          <t>JÄMTLANDS LÄN</t>
        </is>
      </c>
      <c r="E651" t="inlineStr">
        <is>
          <t>RAGUNDA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30642-2024</t>
        </is>
      </c>
      <c r="B652" s="1" t="n">
        <v>45495.57677083334</v>
      </c>
      <c r="C652" s="1" t="n">
        <v>46052</v>
      </c>
      <c r="D652" t="inlineStr">
        <is>
          <t>JÄMTLANDS LÄN</t>
        </is>
      </c>
      <c r="E652" t="inlineStr">
        <is>
          <t>RAGUNDA</t>
        </is>
      </c>
      <c r="G652" t="n">
        <v>2.7</v>
      </c>
      <c r="H652" t="n">
        <v>0</v>
      </c>
      <c r="I652" t="n">
        <v>0</v>
      </c>
      <c r="J652" t="n">
        <v>0</v>
      </c>
      <c r="K652" t="n">
        <v>0</v>
      </c>
      <c r="L652" t="n">
        <v>0</v>
      </c>
      <c r="M652" t="n">
        <v>0</v>
      </c>
      <c r="N652" t="n">
        <v>0</v>
      </c>
      <c r="O652" t="n">
        <v>0</v>
      </c>
      <c r="P652" t="n">
        <v>0</v>
      </c>
      <c r="Q652" t="n">
        <v>0</v>
      </c>
      <c r="R652" s="2" t="inlineStr"/>
    </row>
    <row r="653" ht="15" customHeight="1">
      <c r="A653" t="inlineStr">
        <is>
          <t>A 58847-2024</t>
        </is>
      </c>
      <c r="B653" s="1" t="n">
        <v>45636.3864699074</v>
      </c>
      <c r="C653" s="1" t="n">
        <v>46052</v>
      </c>
      <c r="D653" t="inlineStr">
        <is>
          <t>JÄMTLANDS LÄN</t>
        </is>
      </c>
      <c r="E653" t="inlineStr">
        <is>
          <t>RAGUNDA</t>
        </is>
      </c>
      <c r="F653" t="inlineStr">
        <is>
          <t>SCA</t>
        </is>
      </c>
      <c r="G653" t="n">
        <v>8</v>
      </c>
      <c r="H653" t="n">
        <v>0</v>
      </c>
      <c r="I653" t="n">
        <v>0</v>
      </c>
      <c r="J653" t="n">
        <v>0</v>
      </c>
      <c r="K653" t="n">
        <v>0</v>
      </c>
      <c r="L653" t="n">
        <v>0</v>
      </c>
      <c r="M653" t="n">
        <v>0</v>
      </c>
      <c r="N653" t="n">
        <v>0</v>
      </c>
      <c r="O653" t="n">
        <v>0</v>
      </c>
      <c r="P653" t="n">
        <v>0</v>
      </c>
      <c r="Q653" t="n">
        <v>0</v>
      </c>
      <c r="R653" s="2" t="inlineStr"/>
    </row>
    <row r="654" ht="15" customHeight="1">
      <c r="A654" t="inlineStr">
        <is>
          <t>A 27777-2022</t>
        </is>
      </c>
      <c r="B654" s="1" t="n">
        <v>44743</v>
      </c>
      <c r="C654" s="1" t="n">
        <v>46052</v>
      </c>
      <c r="D654" t="inlineStr">
        <is>
          <t>JÄMTLANDS LÄN</t>
        </is>
      </c>
      <c r="E654" t="inlineStr">
        <is>
          <t>RAGUNDA</t>
        </is>
      </c>
      <c r="G654" t="n">
        <v>1.5</v>
      </c>
      <c r="H654" t="n">
        <v>0</v>
      </c>
      <c r="I654" t="n">
        <v>0</v>
      </c>
      <c r="J654" t="n">
        <v>0</v>
      </c>
      <c r="K654" t="n">
        <v>0</v>
      </c>
      <c r="L654" t="n">
        <v>0</v>
      </c>
      <c r="M654" t="n">
        <v>0</v>
      </c>
      <c r="N654" t="n">
        <v>0</v>
      </c>
      <c r="O654" t="n">
        <v>0</v>
      </c>
      <c r="P654" t="n">
        <v>0</v>
      </c>
      <c r="Q654" t="n">
        <v>0</v>
      </c>
      <c r="R654" s="2" t="inlineStr"/>
    </row>
    <row r="655" ht="15" customHeight="1">
      <c r="A655" t="inlineStr">
        <is>
          <t>A 993-2025</t>
        </is>
      </c>
      <c r="B655" s="1" t="n">
        <v>45666.44943287037</v>
      </c>
      <c r="C655" s="1" t="n">
        <v>46052</v>
      </c>
      <c r="D655" t="inlineStr">
        <is>
          <t>JÄMTLANDS LÄN</t>
        </is>
      </c>
      <c r="E655" t="inlineStr">
        <is>
          <t>RAGUNDA</t>
        </is>
      </c>
      <c r="G655" t="n">
        <v>11.3</v>
      </c>
      <c r="H655" t="n">
        <v>0</v>
      </c>
      <c r="I655" t="n">
        <v>0</v>
      </c>
      <c r="J655" t="n">
        <v>0</v>
      </c>
      <c r="K655" t="n">
        <v>0</v>
      </c>
      <c r="L655" t="n">
        <v>0</v>
      </c>
      <c r="M655" t="n">
        <v>0</v>
      </c>
      <c r="N655" t="n">
        <v>0</v>
      </c>
      <c r="O655" t="n">
        <v>0</v>
      </c>
      <c r="P655" t="n">
        <v>0</v>
      </c>
      <c r="Q655" t="n">
        <v>0</v>
      </c>
      <c r="R655" s="2" t="inlineStr"/>
    </row>
    <row r="656" ht="15" customHeight="1">
      <c r="A656" t="inlineStr">
        <is>
          <t>A 58193-2022</t>
        </is>
      </c>
      <c r="B656" s="1" t="n">
        <v>44900.95700231481</v>
      </c>
      <c r="C656" s="1" t="n">
        <v>46052</v>
      </c>
      <c r="D656" t="inlineStr">
        <is>
          <t>JÄMTLANDS LÄN</t>
        </is>
      </c>
      <c r="E656" t="inlineStr">
        <is>
          <t>RAGUNDA</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42875-2024</t>
        </is>
      </c>
      <c r="B657" s="1" t="n">
        <v>45566.68125</v>
      </c>
      <c r="C657" s="1" t="n">
        <v>46052</v>
      </c>
      <c r="D657" t="inlineStr">
        <is>
          <t>JÄMTLANDS LÄN</t>
        </is>
      </c>
      <c r="E657" t="inlineStr">
        <is>
          <t>RAGUNDA</t>
        </is>
      </c>
      <c r="G657" t="n">
        <v>0.5</v>
      </c>
      <c r="H657" t="n">
        <v>0</v>
      </c>
      <c r="I657" t="n">
        <v>0</v>
      </c>
      <c r="J657" t="n">
        <v>0</v>
      </c>
      <c r="K657" t="n">
        <v>0</v>
      </c>
      <c r="L657" t="n">
        <v>0</v>
      </c>
      <c r="M657" t="n">
        <v>0</v>
      </c>
      <c r="N657" t="n">
        <v>0</v>
      </c>
      <c r="O657" t="n">
        <v>0</v>
      </c>
      <c r="P657" t="n">
        <v>0</v>
      </c>
      <c r="Q657" t="n">
        <v>0</v>
      </c>
      <c r="R657" s="2" t="inlineStr"/>
    </row>
    <row r="658" ht="15" customHeight="1">
      <c r="A658" t="inlineStr">
        <is>
          <t>A 28081-2022</t>
        </is>
      </c>
      <c r="B658" s="1" t="n">
        <v>44746</v>
      </c>
      <c r="C658" s="1" t="n">
        <v>46052</v>
      </c>
      <c r="D658" t="inlineStr">
        <is>
          <t>JÄMTLANDS LÄN</t>
        </is>
      </c>
      <c r="E658" t="inlineStr">
        <is>
          <t>RAGUNDA</t>
        </is>
      </c>
      <c r="G658" t="n">
        <v>7.2</v>
      </c>
      <c r="H658" t="n">
        <v>0</v>
      </c>
      <c r="I658" t="n">
        <v>0</v>
      </c>
      <c r="J658" t="n">
        <v>0</v>
      </c>
      <c r="K658" t="n">
        <v>0</v>
      </c>
      <c r="L658" t="n">
        <v>0</v>
      </c>
      <c r="M658" t="n">
        <v>0</v>
      </c>
      <c r="N658" t="n">
        <v>0</v>
      </c>
      <c r="O658" t="n">
        <v>0</v>
      </c>
      <c r="P658" t="n">
        <v>0</v>
      </c>
      <c r="Q658" t="n">
        <v>0</v>
      </c>
      <c r="R658" s="2" t="inlineStr"/>
    </row>
    <row r="659" ht="15" customHeight="1">
      <c r="A659" t="inlineStr">
        <is>
          <t>A 53935-2022</t>
        </is>
      </c>
      <c r="B659" s="1" t="n">
        <v>44880</v>
      </c>
      <c r="C659" s="1" t="n">
        <v>46052</v>
      </c>
      <c r="D659" t="inlineStr">
        <is>
          <t>JÄMTLANDS LÄN</t>
        </is>
      </c>
      <c r="E659" t="inlineStr">
        <is>
          <t>RAGUNDA</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28637-2025</t>
        </is>
      </c>
      <c r="B660" s="1" t="n">
        <v>45819.6359375</v>
      </c>
      <c r="C660" s="1" t="n">
        <v>46052</v>
      </c>
      <c r="D660" t="inlineStr">
        <is>
          <t>JÄMTLANDS LÄN</t>
        </is>
      </c>
      <c r="E660" t="inlineStr">
        <is>
          <t>RAGUNDA</t>
        </is>
      </c>
      <c r="F660" t="inlineStr">
        <is>
          <t>SCA</t>
        </is>
      </c>
      <c r="G660" t="n">
        <v>6.6</v>
      </c>
      <c r="H660" t="n">
        <v>0</v>
      </c>
      <c r="I660" t="n">
        <v>0</v>
      </c>
      <c r="J660" t="n">
        <v>0</v>
      </c>
      <c r="K660" t="n">
        <v>0</v>
      </c>
      <c r="L660" t="n">
        <v>0</v>
      </c>
      <c r="M660" t="n">
        <v>0</v>
      </c>
      <c r="N660" t="n">
        <v>0</v>
      </c>
      <c r="O660" t="n">
        <v>0</v>
      </c>
      <c r="P660" t="n">
        <v>0</v>
      </c>
      <c r="Q660" t="n">
        <v>0</v>
      </c>
      <c r="R660" s="2" t="inlineStr"/>
    </row>
    <row r="661" ht="15" customHeight="1">
      <c r="A661" t="inlineStr">
        <is>
          <t>A 51049-2024</t>
        </is>
      </c>
      <c r="B661" s="1" t="n">
        <v>45603.44644675926</v>
      </c>
      <c r="C661" s="1" t="n">
        <v>46052</v>
      </c>
      <c r="D661" t="inlineStr">
        <is>
          <t>JÄMTLANDS LÄN</t>
        </is>
      </c>
      <c r="E661" t="inlineStr">
        <is>
          <t>RAGUNDA</t>
        </is>
      </c>
      <c r="F661" t="inlineStr">
        <is>
          <t>SCA</t>
        </is>
      </c>
      <c r="G661" t="n">
        <v>6.9</v>
      </c>
      <c r="H661" t="n">
        <v>0</v>
      </c>
      <c r="I661" t="n">
        <v>0</v>
      </c>
      <c r="J661" t="n">
        <v>0</v>
      </c>
      <c r="K661" t="n">
        <v>0</v>
      </c>
      <c r="L661" t="n">
        <v>0</v>
      </c>
      <c r="M661" t="n">
        <v>0</v>
      </c>
      <c r="N661" t="n">
        <v>0</v>
      </c>
      <c r="O661" t="n">
        <v>0</v>
      </c>
      <c r="P661" t="n">
        <v>0</v>
      </c>
      <c r="Q661" t="n">
        <v>0</v>
      </c>
      <c r="R661" s="2" t="inlineStr"/>
    </row>
    <row r="662" ht="15" customHeight="1">
      <c r="A662" t="inlineStr">
        <is>
          <t>A 41262-2021</t>
        </is>
      </c>
      <c r="B662" s="1" t="n">
        <v>44424</v>
      </c>
      <c r="C662" s="1" t="n">
        <v>46052</v>
      </c>
      <c r="D662" t="inlineStr">
        <is>
          <t>JÄMTLANDS LÄN</t>
        </is>
      </c>
      <c r="E662" t="inlineStr">
        <is>
          <t>RAGUNDA</t>
        </is>
      </c>
      <c r="G662" t="n">
        <v>2.6</v>
      </c>
      <c r="H662" t="n">
        <v>0</v>
      </c>
      <c r="I662" t="n">
        <v>0</v>
      </c>
      <c r="J662" t="n">
        <v>0</v>
      </c>
      <c r="K662" t="n">
        <v>0</v>
      </c>
      <c r="L662" t="n">
        <v>0</v>
      </c>
      <c r="M662" t="n">
        <v>0</v>
      </c>
      <c r="N662" t="n">
        <v>0</v>
      </c>
      <c r="O662" t="n">
        <v>0</v>
      </c>
      <c r="P662" t="n">
        <v>0</v>
      </c>
      <c r="Q662" t="n">
        <v>0</v>
      </c>
      <c r="R662" s="2" t="inlineStr"/>
    </row>
    <row r="663" ht="15" customHeight="1">
      <c r="A663" t="inlineStr">
        <is>
          <t>A 44759-2024</t>
        </is>
      </c>
      <c r="B663" s="1" t="n">
        <v>45574.61634259259</v>
      </c>
      <c r="C663" s="1" t="n">
        <v>46052</v>
      </c>
      <c r="D663" t="inlineStr">
        <is>
          <t>JÄMTLANDS LÄN</t>
        </is>
      </c>
      <c r="E663" t="inlineStr">
        <is>
          <t>RAGUNDA</t>
        </is>
      </c>
      <c r="G663" t="n">
        <v>1.9</v>
      </c>
      <c r="H663" t="n">
        <v>0</v>
      </c>
      <c r="I663" t="n">
        <v>0</v>
      </c>
      <c r="J663" t="n">
        <v>0</v>
      </c>
      <c r="K663" t="n">
        <v>0</v>
      </c>
      <c r="L663" t="n">
        <v>0</v>
      </c>
      <c r="M663" t="n">
        <v>0</v>
      </c>
      <c r="N663" t="n">
        <v>0</v>
      </c>
      <c r="O663" t="n">
        <v>0</v>
      </c>
      <c r="P663" t="n">
        <v>0</v>
      </c>
      <c r="Q663" t="n">
        <v>0</v>
      </c>
      <c r="R663" s="2" t="inlineStr"/>
    </row>
    <row r="664" ht="15" customHeight="1">
      <c r="A664" t="inlineStr">
        <is>
          <t>A 37324-2022</t>
        </is>
      </c>
      <c r="B664" s="1" t="n">
        <v>44806</v>
      </c>
      <c r="C664" s="1" t="n">
        <v>46052</v>
      </c>
      <c r="D664" t="inlineStr">
        <is>
          <t>JÄMTLANDS LÄN</t>
        </is>
      </c>
      <c r="E664" t="inlineStr">
        <is>
          <t>RAGUNDA</t>
        </is>
      </c>
      <c r="G664" t="n">
        <v>2.3</v>
      </c>
      <c r="H664" t="n">
        <v>0</v>
      </c>
      <c r="I664" t="n">
        <v>0</v>
      </c>
      <c r="J664" t="n">
        <v>0</v>
      </c>
      <c r="K664" t="n">
        <v>0</v>
      </c>
      <c r="L664" t="n">
        <v>0</v>
      </c>
      <c r="M664" t="n">
        <v>0</v>
      </c>
      <c r="N664" t="n">
        <v>0</v>
      </c>
      <c r="O664" t="n">
        <v>0</v>
      </c>
      <c r="P664" t="n">
        <v>0</v>
      </c>
      <c r="Q664" t="n">
        <v>0</v>
      </c>
      <c r="R664" s="2" t="inlineStr"/>
    </row>
    <row r="665" ht="15" customHeight="1">
      <c r="A665" t="inlineStr">
        <is>
          <t>A 20221-2025</t>
        </is>
      </c>
      <c r="B665" s="1" t="n">
        <v>45772.6565625</v>
      </c>
      <c r="C665" s="1" t="n">
        <v>46052</v>
      </c>
      <c r="D665" t="inlineStr">
        <is>
          <t>JÄMTLANDS LÄN</t>
        </is>
      </c>
      <c r="E665" t="inlineStr">
        <is>
          <t>RAGUNDA</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28973-2025</t>
        </is>
      </c>
      <c r="B666" s="1" t="n">
        <v>45821.34513888889</v>
      </c>
      <c r="C666" s="1" t="n">
        <v>46052</v>
      </c>
      <c r="D666" t="inlineStr">
        <is>
          <t>JÄMTLANDS LÄN</t>
        </is>
      </c>
      <c r="E666" t="inlineStr">
        <is>
          <t>RAGUNDA</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41343-2024</t>
        </is>
      </c>
      <c r="B667" s="1" t="n">
        <v>45559.67745370371</v>
      </c>
      <c r="C667" s="1" t="n">
        <v>46052</v>
      </c>
      <c r="D667" t="inlineStr">
        <is>
          <t>JÄMTLANDS LÄN</t>
        </is>
      </c>
      <c r="E667" t="inlineStr">
        <is>
          <t>RAGUNDA</t>
        </is>
      </c>
      <c r="F667" t="inlineStr">
        <is>
          <t>SCA</t>
        </is>
      </c>
      <c r="G667" t="n">
        <v>25.1</v>
      </c>
      <c r="H667" t="n">
        <v>0</v>
      </c>
      <c r="I667" t="n">
        <v>0</v>
      </c>
      <c r="J667" t="n">
        <v>0</v>
      </c>
      <c r="K667" t="n">
        <v>0</v>
      </c>
      <c r="L667" t="n">
        <v>0</v>
      </c>
      <c r="M667" t="n">
        <v>0</v>
      </c>
      <c r="N667" t="n">
        <v>0</v>
      </c>
      <c r="O667" t="n">
        <v>0</v>
      </c>
      <c r="P667" t="n">
        <v>0</v>
      </c>
      <c r="Q667" t="n">
        <v>0</v>
      </c>
      <c r="R667" s="2" t="inlineStr"/>
    </row>
    <row r="668" ht="15" customHeight="1">
      <c r="A668" t="inlineStr">
        <is>
          <t>A 4015-2022</t>
        </is>
      </c>
      <c r="B668" s="1" t="n">
        <v>44587.92149305555</v>
      </c>
      <c r="C668" s="1" t="n">
        <v>46052</v>
      </c>
      <c r="D668" t="inlineStr">
        <is>
          <t>JÄMTLANDS LÄN</t>
        </is>
      </c>
      <c r="E668" t="inlineStr">
        <is>
          <t>RAGUNDA</t>
        </is>
      </c>
      <c r="G668" t="n">
        <v>3.9</v>
      </c>
      <c r="H668" t="n">
        <v>0</v>
      </c>
      <c r="I668" t="n">
        <v>0</v>
      </c>
      <c r="J668" t="n">
        <v>0</v>
      </c>
      <c r="K668" t="n">
        <v>0</v>
      </c>
      <c r="L668" t="n">
        <v>0</v>
      </c>
      <c r="M668" t="n">
        <v>0</v>
      </c>
      <c r="N668" t="n">
        <v>0</v>
      </c>
      <c r="O668" t="n">
        <v>0</v>
      </c>
      <c r="P668" t="n">
        <v>0</v>
      </c>
      <c r="Q668" t="n">
        <v>0</v>
      </c>
      <c r="R668" s="2" t="inlineStr"/>
    </row>
    <row r="669" ht="15" customHeight="1">
      <c r="A669" t="inlineStr">
        <is>
          <t>A 45953-2023</t>
        </is>
      </c>
      <c r="B669" s="1" t="n">
        <v>45195.94672453704</v>
      </c>
      <c r="C669" s="1" t="n">
        <v>46052</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16982-2024</t>
        </is>
      </c>
      <c r="B670" s="1" t="n">
        <v>45412.02506944445</v>
      </c>
      <c r="C670" s="1" t="n">
        <v>46052</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49650-2024</t>
        </is>
      </c>
      <c r="B671" s="1" t="n">
        <v>45596.61569444444</v>
      </c>
      <c r="C671" s="1" t="n">
        <v>46052</v>
      </c>
      <c r="D671" t="inlineStr">
        <is>
          <t>JÄMTLANDS LÄN</t>
        </is>
      </c>
      <c r="E671" t="inlineStr">
        <is>
          <t>RAGUNDA</t>
        </is>
      </c>
      <c r="F671" t="inlineStr">
        <is>
          <t>Naturvårdsverket</t>
        </is>
      </c>
      <c r="G671" t="n">
        <v>3</v>
      </c>
      <c r="H671" t="n">
        <v>0</v>
      </c>
      <c r="I671" t="n">
        <v>0</v>
      </c>
      <c r="J671" t="n">
        <v>0</v>
      </c>
      <c r="K671" t="n">
        <v>0</v>
      </c>
      <c r="L671" t="n">
        <v>0</v>
      </c>
      <c r="M671" t="n">
        <v>0</v>
      </c>
      <c r="N671" t="n">
        <v>0</v>
      </c>
      <c r="O671" t="n">
        <v>0</v>
      </c>
      <c r="P671" t="n">
        <v>0</v>
      </c>
      <c r="Q671" t="n">
        <v>0</v>
      </c>
      <c r="R671" s="2" t="inlineStr"/>
    </row>
    <row r="672" ht="15" customHeight="1">
      <c r="A672" t="inlineStr">
        <is>
          <t>A 49651-2024</t>
        </is>
      </c>
      <c r="B672" s="1" t="n">
        <v>45596.61582175926</v>
      </c>
      <c r="C672" s="1" t="n">
        <v>46052</v>
      </c>
      <c r="D672" t="inlineStr">
        <is>
          <t>JÄMTLANDS LÄN</t>
        </is>
      </c>
      <c r="E672" t="inlineStr">
        <is>
          <t>RAGUNDA</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8416-2023</t>
        </is>
      </c>
      <c r="B673" s="1" t="n">
        <v>44977.44373842593</v>
      </c>
      <c r="C673" s="1" t="n">
        <v>46052</v>
      </c>
      <c r="D673" t="inlineStr">
        <is>
          <t>JÄMTLANDS LÄN</t>
        </is>
      </c>
      <c r="E673" t="inlineStr">
        <is>
          <t>RAGUNDA</t>
        </is>
      </c>
      <c r="G673" t="n">
        <v>0.7</v>
      </c>
      <c r="H673" t="n">
        <v>0</v>
      </c>
      <c r="I673" t="n">
        <v>0</v>
      </c>
      <c r="J673" t="n">
        <v>0</v>
      </c>
      <c r="K673" t="n">
        <v>0</v>
      </c>
      <c r="L673" t="n">
        <v>0</v>
      </c>
      <c r="M673" t="n">
        <v>0</v>
      </c>
      <c r="N673" t="n">
        <v>0</v>
      </c>
      <c r="O673" t="n">
        <v>0</v>
      </c>
      <c r="P673" t="n">
        <v>0</v>
      </c>
      <c r="Q673" t="n">
        <v>0</v>
      </c>
      <c r="R673" s="2" t="inlineStr"/>
    </row>
    <row r="674" ht="15" customHeight="1">
      <c r="A674" t="inlineStr">
        <is>
          <t>A 45253-2023</t>
        </is>
      </c>
      <c r="B674" s="1" t="n">
        <v>45187</v>
      </c>
      <c r="C674" s="1" t="n">
        <v>46052</v>
      </c>
      <c r="D674" t="inlineStr">
        <is>
          <t>JÄMTLANDS LÄN</t>
        </is>
      </c>
      <c r="E674" t="inlineStr">
        <is>
          <t>RAGUNDA</t>
        </is>
      </c>
      <c r="G674" t="n">
        <v>3.3</v>
      </c>
      <c r="H674" t="n">
        <v>0</v>
      </c>
      <c r="I674" t="n">
        <v>0</v>
      </c>
      <c r="J674" t="n">
        <v>0</v>
      </c>
      <c r="K674" t="n">
        <v>0</v>
      </c>
      <c r="L674" t="n">
        <v>0</v>
      </c>
      <c r="M674" t="n">
        <v>0</v>
      </c>
      <c r="N674" t="n">
        <v>0</v>
      </c>
      <c r="O674" t="n">
        <v>0</v>
      </c>
      <c r="P674" t="n">
        <v>0</v>
      </c>
      <c r="Q674" t="n">
        <v>0</v>
      </c>
      <c r="R674" s="2" t="inlineStr"/>
    </row>
    <row r="675" ht="15" customHeight="1">
      <c r="A675" t="inlineStr">
        <is>
          <t>A 29731-2025</t>
        </is>
      </c>
      <c r="B675" s="1" t="n">
        <v>45825.58252314815</v>
      </c>
      <c r="C675" s="1" t="n">
        <v>46052</v>
      </c>
      <c r="D675" t="inlineStr">
        <is>
          <t>JÄMTLANDS LÄN</t>
        </is>
      </c>
      <c r="E675" t="inlineStr">
        <is>
          <t>RAGUNDA</t>
        </is>
      </c>
      <c r="G675" t="n">
        <v>2.3</v>
      </c>
      <c r="H675" t="n">
        <v>0</v>
      </c>
      <c r="I675" t="n">
        <v>0</v>
      </c>
      <c r="J675" t="n">
        <v>0</v>
      </c>
      <c r="K675" t="n">
        <v>0</v>
      </c>
      <c r="L675" t="n">
        <v>0</v>
      </c>
      <c r="M675" t="n">
        <v>0</v>
      </c>
      <c r="N675" t="n">
        <v>0</v>
      </c>
      <c r="O675" t="n">
        <v>0</v>
      </c>
      <c r="P675" t="n">
        <v>0</v>
      </c>
      <c r="Q675" t="n">
        <v>0</v>
      </c>
      <c r="R675" s="2" t="inlineStr"/>
    </row>
    <row r="676" ht="15" customHeight="1">
      <c r="A676" t="inlineStr">
        <is>
          <t>A 14369-2024</t>
        </is>
      </c>
      <c r="B676" s="1" t="n">
        <v>45393.94459490741</v>
      </c>
      <c r="C676" s="1" t="n">
        <v>46052</v>
      </c>
      <c r="D676" t="inlineStr">
        <is>
          <t>JÄMTLANDS LÄN</t>
        </is>
      </c>
      <c r="E676" t="inlineStr">
        <is>
          <t>RAGUNDA</t>
        </is>
      </c>
      <c r="F676" t="inlineStr">
        <is>
          <t>Naturvårdsverket</t>
        </is>
      </c>
      <c r="G676" t="n">
        <v>1.8</v>
      </c>
      <c r="H676" t="n">
        <v>0</v>
      </c>
      <c r="I676" t="n">
        <v>0</v>
      </c>
      <c r="J676" t="n">
        <v>0</v>
      </c>
      <c r="K676" t="n">
        <v>0</v>
      </c>
      <c r="L676" t="n">
        <v>0</v>
      </c>
      <c r="M676" t="n">
        <v>0</v>
      </c>
      <c r="N676" t="n">
        <v>0</v>
      </c>
      <c r="O676" t="n">
        <v>0</v>
      </c>
      <c r="P676" t="n">
        <v>0</v>
      </c>
      <c r="Q676" t="n">
        <v>0</v>
      </c>
      <c r="R676" s="2" t="inlineStr"/>
    </row>
    <row r="677" ht="15" customHeight="1">
      <c r="A677" t="inlineStr">
        <is>
          <t>A 64264-2023</t>
        </is>
      </c>
      <c r="B677" s="1" t="n">
        <v>45279.94564814815</v>
      </c>
      <c r="C677" s="1" t="n">
        <v>46052</v>
      </c>
      <c r="D677" t="inlineStr">
        <is>
          <t>JÄMTLANDS LÄN</t>
        </is>
      </c>
      <c r="E677" t="inlineStr">
        <is>
          <t>RAGUNDA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29723-2025</t>
        </is>
      </c>
      <c r="B678" s="1" t="n">
        <v>45825.57675925926</v>
      </c>
      <c r="C678" s="1" t="n">
        <v>46052</v>
      </c>
      <c r="D678" t="inlineStr">
        <is>
          <t>JÄMTLANDS LÄN</t>
        </is>
      </c>
      <c r="E678" t="inlineStr">
        <is>
          <t>RAGUNDA</t>
        </is>
      </c>
      <c r="G678" t="n">
        <v>3.1</v>
      </c>
      <c r="H678" t="n">
        <v>0</v>
      </c>
      <c r="I678" t="n">
        <v>0</v>
      </c>
      <c r="J678" t="n">
        <v>0</v>
      </c>
      <c r="K678" t="n">
        <v>0</v>
      </c>
      <c r="L678" t="n">
        <v>0</v>
      </c>
      <c r="M678" t="n">
        <v>0</v>
      </c>
      <c r="N678" t="n">
        <v>0</v>
      </c>
      <c r="O678" t="n">
        <v>0</v>
      </c>
      <c r="P678" t="n">
        <v>0</v>
      </c>
      <c r="Q678" t="n">
        <v>0</v>
      </c>
      <c r="R678" s="2" t="inlineStr"/>
    </row>
    <row r="679" ht="15" customHeight="1">
      <c r="A679" t="inlineStr">
        <is>
          <t>A 39384-2025</t>
        </is>
      </c>
      <c r="B679" s="1" t="n">
        <v>45889.61517361111</v>
      </c>
      <c r="C679" s="1" t="n">
        <v>46052</v>
      </c>
      <c r="D679" t="inlineStr">
        <is>
          <t>JÄMTLANDS LÄN</t>
        </is>
      </c>
      <c r="E679" t="inlineStr">
        <is>
          <t>RAGUNDA</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42893-2022</t>
        </is>
      </c>
      <c r="B680" s="1" t="n">
        <v>44832</v>
      </c>
      <c r="C680" s="1" t="n">
        <v>46052</v>
      </c>
      <c r="D680" t="inlineStr">
        <is>
          <t>JÄMTLANDS LÄN</t>
        </is>
      </c>
      <c r="E680" t="inlineStr">
        <is>
          <t>RAGUNDA</t>
        </is>
      </c>
      <c r="F680" t="inlineStr">
        <is>
          <t>SCA</t>
        </is>
      </c>
      <c r="G680" t="n">
        <v>28.4</v>
      </c>
      <c r="H680" t="n">
        <v>0</v>
      </c>
      <c r="I680" t="n">
        <v>0</v>
      </c>
      <c r="J680" t="n">
        <v>0</v>
      </c>
      <c r="K680" t="n">
        <v>0</v>
      </c>
      <c r="L680" t="n">
        <v>0</v>
      </c>
      <c r="M680" t="n">
        <v>0</v>
      </c>
      <c r="N680" t="n">
        <v>0</v>
      </c>
      <c r="O680" t="n">
        <v>0</v>
      </c>
      <c r="P680" t="n">
        <v>0</v>
      </c>
      <c r="Q680" t="n">
        <v>0</v>
      </c>
      <c r="R680" s="2" t="inlineStr"/>
    </row>
    <row r="681" ht="15" customHeight="1">
      <c r="A681" t="inlineStr">
        <is>
          <t>A 182-2023</t>
        </is>
      </c>
      <c r="B681" s="1" t="n">
        <v>44922</v>
      </c>
      <c r="C681" s="1" t="n">
        <v>46052</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30088-2025</t>
        </is>
      </c>
      <c r="B682" s="1" t="n">
        <v>45826.65759259259</v>
      </c>
      <c r="C682" s="1" t="n">
        <v>46052</v>
      </c>
      <c r="D682" t="inlineStr">
        <is>
          <t>JÄMTLANDS LÄN</t>
        </is>
      </c>
      <c r="E682" t="inlineStr">
        <is>
          <t>RAGUNDA</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30348-2025</t>
        </is>
      </c>
      <c r="B683" s="1" t="n">
        <v>45827.53178240741</v>
      </c>
      <c r="C683" s="1" t="n">
        <v>46052</v>
      </c>
      <c r="D683" t="inlineStr">
        <is>
          <t>JÄMTLANDS LÄN</t>
        </is>
      </c>
      <c r="E683" t="inlineStr">
        <is>
          <t>RAGUNDA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6490-2022</t>
        </is>
      </c>
      <c r="B684" s="1" t="n">
        <v>44601</v>
      </c>
      <c r="C684" s="1" t="n">
        <v>46052</v>
      </c>
      <c r="D684" t="inlineStr">
        <is>
          <t>JÄMTLANDS LÄN</t>
        </is>
      </c>
      <c r="E684" t="inlineStr">
        <is>
          <t>RAGUNDA</t>
        </is>
      </c>
      <c r="G684" t="n">
        <v>3.8</v>
      </c>
      <c r="H684" t="n">
        <v>0</v>
      </c>
      <c r="I684" t="n">
        <v>0</v>
      </c>
      <c r="J684" t="n">
        <v>0</v>
      </c>
      <c r="K684" t="n">
        <v>0</v>
      </c>
      <c r="L684" t="n">
        <v>0</v>
      </c>
      <c r="M684" t="n">
        <v>0</v>
      </c>
      <c r="N684" t="n">
        <v>0</v>
      </c>
      <c r="O684" t="n">
        <v>0</v>
      </c>
      <c r="P684" t="n">
        <v>0</v>
      </c>
      <c r="Q684" t="n">
        <v>0</v>
      </c>
      <c r="R684" s="2" t="inlineStr"/>
    </row>
    <row r="685" ht="15" customHeight="1">
      <c r="A685" t="inlineStr">
        <is>
          <t>A 6802-2021</t>
        </is>
      </c>
      <c r="B685" s="1" t="n">
        <v>44236</v>
      </c>
      <c r="C685" s="1" t="n">
        <v>46052</v>
      </c>
      <c r="D685" t="inlineStr">
        <is>
          <t>JÄMTLANDS LÄN</t>
        </is>
      </c>
      <c r="E685" t="inlineStr">
        <is>
          <t>RAGUNDA</t>
        </is>
      </c>
      <c r="G685" t="n">
        <v>11.2</v>
      </c>
      <c r="H685" t="n">
        <v>0</v>
      </c>
      <c r="I685" t="n">
        <v>0</v>
      </c>
      <c r="J685" t="n">
        <v>0</v>
      </c>
      <c r="K685" t="n">
        <v>0</v>
      </c>
      <c r="L685" t="n">
        <v>0</v>
      </c>
      <c r="M685" t="n">
        <v>0</v>
      </c>
      <c r="N685" t="n">
        <v>0</v>
      </c>
      <c r="O685" t="n">
        <v>0</v>
      </c>
      <c r="P685" t="n">
        <v>0</v>
      </c>
      <c r="Q685" t="n">
        <v>0</v>
      </c>
      <c r="R685" s="2" t="inlineStr"/>
    </row>
    <row r="686" ht="15" customHeight="1">
      <c r="A686" t="inlineStr">
        <is>
          <t>A 6477-2024</t>
        </is>
      </c>
      <c r="B686" s="1" t="n">
        <v>45338.95405092592</v>
      </c>
      <c r="C686" s="1" t="n">
        <v>46052</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30434-2025</t>
        </is>
      </c>
      <c r="B687" s="1" t="n">
        <v>45827.63582175926</v>
      </c>
      <c r="C687" s="1" t="n">
        <v>46052</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29940-2023</t>
        </is>
      </c>
      <c r="B688" s="1" t="n">
        <v>45107</v>
      </c>
      <c r="C688" s="1" t="n">
        <v>46052</v>
      </c>
      <c r="D688" t="inlineStr">
        <is>
          <t>JÄMTLANDS LÄN</t>
        </is>
      </c>
      <c r="E688" t="inlineStr">
        <is>
          <t>RAGUNDA</t>
        </is>
      </c>
      <c r="G688" t="n">
        <v>13.5</v>
      </c>
      <c r="H688" t="n">
        <v>0</v>
      </c>
      <c r="I688" t="n">
        <v>0</v>
      </c>
      <c r="J688" t="n">
        <v>0</v>
      </c>
      <c r="K688" t="n">
        <v>0</v>
      </c>
      <c r="L688" t="n">
        <v>0</v>
      </c>
      <c r="M688" t="n">
        <v>0</v>
      </c>
      <c r="N688" t="n">
        <v>0</v>
      </c>
      <c r="O688" t="n">
        <v>0</v>
      </c>
      <c r="P688" t="n">
        <v>0</v>
      </c>
      <c r="Q688" t="n">
        <v>0</v>
      </c>
      <c r="R688" s="2" t="inlineStr"/>
    </row>
    <row r="689" ht="15" customHeight="1">
      <c r="A689" t="inlineStr">
        <is>
          <t>A 31463-2024</t>
        </is>
      </c>
      <c r="B689" s="1" t="n">
        <v>45505</v>
      </c>
      <c r="C689" s="1" t="n">
        <v>46052</v>
      </c>
      <c r="D689" t="inlineStr">
        <is>
          <t>JÄMTLANDS LÄN</t>
        </is>
      </c>
      <c r="E689" t="inlineStr">
        <is>
          <t>RAGUNDA</t>
        </is>
      </c>
      <c r="F689" t="inlineStr">
        <is>
          <t>SCA</t>
        </is>
      </c>
      <c r="G689" t="n">
        <v>20.3</v>
      </c>
      <c r="H689" t="n">
        <v>0</v>
      </c>
      <c r="I689" t="n">
        <v>0</v>
      </c>
      <c r="J689" t="n">
        <v>0</v>
      </c>
      <c r="K689" t="n">
        <v>0</v>
      </c>
      <c r="L689" t="n">
        <v>0</v>
      </c>
      <c r="M689" t="n">
        <v>0</v>
      </c>
      <c r="N689" t="n">
        <v>0</v>
      </c>
      <c r="O689" t="n">
        <v>0</v>
      </c>
      <c r="P689" t="n">
        <v>0</v>
      </c>
      <c r="Q689" t="n">
        <v>0</v>
      </c>
      <c r="R689" s="2" t="inlineStr"/>
    </row>
    <row r="690" ht="15" customHeight="1">
      <c r="A690" t="inlineStr">
        <is>
          <t>A 28216-2025</t>
        </is>
      </c>
      <c r="B690" s="1" t="n">
        <v>45818.46898148148</v>
      </c>
      <c r="C690" s="1" t="n">
        <v>46052</v>
      </c>
      <c r="D690" t="inlineStr">
        <is>
          <t>JÄMTLANDS LÄN</t>
        </is>
      </c>
      <c r="E690" t="inlineStr">
        <is>
          <t>RAGUNDA</t>
        </is>
      </c>
      <c r="G690" t="n">
        <v>6.6</v>
      </c>
      <c r="H690" t="n">
        <v>0</v>
      </c>
      <c r="I690" t="n">
        <v>0</v>
      </c>
      <c r="J690" t="n">
        <v>0</v>
      </c>
      <c r="K690" t="n">
        <v>0</v>
      </c>
      <c r="L690" t="n">
        <v>0</v>
      </c>
      <c r="M690" t="n">
        <v>0</v>
      </c>
      <c r="N690" t="n">
        <v>0</v>
      </c>
      <c r="O690" t="n">
        <v>0</v>
      </c>
      <c r="P690" t="n">
        <v>0</v>
      </c>
      <c r="Q690" t="n">
        <v>0</v>
      </c>
      <c r="R690" s="2" t="inlineStr"/>
    </row>
    <row r="691" ht="15" customHeight="1">
      <c r="A691" t="inlineStr">
        <is>
          <t>A 18193-2022</t>
        </is>
      </c>
      <c r="B691" s="1" t="n">
        <v>44684.94032407407</v>
      </c>
      <c r="C691" s="1" t="n">
        <v>46052</v>
      </c>
      <c r="D691" t="inlineStr">
        <is>
          <t>JÄMTLANDS LÄN</t>
        </is>
      </c>
      <c r="E691" t="inlineStr">
        <is>
          <t>RAGUNDA</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23303-2024</t>
        </is>
      </c>
      <c r="B692" s="1" t="n">
        <v>45453.4444212963</v>
      </c>
      <c r="C692" s="1" t="n">
        <v>46052</v>
      </c>
      <c r="D692" t="inlineStr">
        <is>
          <t>JÄMTLANDS LÄN</t>
        </is>
      </c>
      <c r="E692" t="inlineStr">
        <is>
          <t>RAGUNDA</t>
        </is>
      </c>
      <c r="G692" t="n">
        <v>0.7</v>
      </c>
      <c r="H692" t="n">
        <v>0</v>
      </c>
      <c r="I692" t="n">
        <v>0</v>
      </c>
      <c r="J692" t="n">
        <v>0</v>
      </c>
      <c r="K692" t="n">
        <v>0</v>
      </c>
      <c r="L692" t="n">
        <v>0</v>
      </c>
      <c r="M692" t="n">
        <v>0</v>
      </c>
      <c r="N692" t="n">
        <v>0</v>
      </c>
      <c r="O692" t="n">
        <v>0</v>
      </c>
      <c r="P692" t="n">
        <v>0</v>
      </c>
      <c r="Q692" t="n">
        <v>0</v>
      </c>
      <c r="R692" s="2" t="inlineStr"/>
    </row>
    <row r="693" ht="15" customHeight="1">
      <c r="A693" t="inlineStr">
        <is>
          <t>A 11551-2024</t>
        </is>
      </c>
      <c r="B693" s="1" t="n">
        <v>45372.95762731481</v>
      </c>
      <c r="C693" s="1" t="n">
        <v>46052</v>
      </c>
      <c r="D693" t="inlineStr">
        <is>
          <t>JÄMTLANDS LÄN</t>
        </is>
      </c>
      <c r="E693" t="inlineStr">
        <is>
          <t>RAGUNDA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179-2025</t>
        </is>
      </c>
      <c r="B694" s="1" t="n">
        <v>45659.69822916666</v>
      </c>
      <c r="C694" s="1" t="n">
        <v>46052</v>
      </c>
      <c r="D694" t="inlineStr">
        <is>
          <t>JÄMTLANDS LÄN</t>
        </is>
      </c>
      <c r="E694" t="inlineStr">
        <is>
          <t>RAGUNDA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49647-2024</t>
        </is>
      </c>
      <c r="B695" s="1" t="n">
        <v>45596.61533564814</v>
      </c>
      <c r="C695" s="1" t="n">
        <v>46052</v>
      </c>
      <c r="D695" t="inlineStr">
        <is>
          <t>JÄMTLANDS LÄN</t>
        </is>
      </c>
      <c r="E695" t="inlineStr">
        <is>
          <t>RAGUNDA</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30887-2025</t>
        </is>
      </c>
      <c r="B696" s="1" t="n">
        <v>45832.3459375</v>
      </c>
      <c r="C696" s="1" t="n">
        <v>46052</v>
      </c>
      <c r="D696" t="inlineStr">
        <is>
          <t>JÄMTLANDS LÄN</t>
        </is>
      </c>
      <c r="E696" t="inlineStr">
        <is>
          <t>RAGUNDA</t>
        </is>
      </c>
      <c r="F696" t="inlineStr">
        <is>
          <t>SCA</t>
        </is>
      </c>
      <c r="G696" t="n">
        <v>10.1</v>
      </c>
      <c r="H696" t="n">
        <v>0</v>
      </c>
      <c r="I696" t="n">
        <v>0</v>
      </c>
      <c r="J696" t="n">
        <v>0</v>
      </c>
      <c r="K696" t="n">
        <v>0</v>
      </c>
      <c r="L696" t="n">
        <v>0</v>
      </c>
      <c r="M696" t="n">
        <v>0</v>
      </c>
      <c r="N696" t="n">
        <v>0</v>
      </c>
      <c r="O696" t="n">
        <v>0</v>
      </c>
      <c r="P696" t="n">
        <v>0</v>
      </c>
      <c r="Q696" t="n">
        <v>0</v>
      </c>
      <c r="R696" s="2" t="inlineStr"/>
    </row>
    <row r="697" ht="15" customHeight="1">
      <c r="A697" t="inlineStr">
        <is>
          <t>A 22412-2024</t>
        </is>
      </c>
      <c r="B697" s="1" t="n">
        <v>45446.68947916666</v>
      </c>
      <c r="C697" s="1" t="n">
        <v>46052</v>
      </c>
      <c r="D697" t="inlineStr">
        <is>
          <t>JÄMTLANDS LÄN</t>
        </is>
      </c>
      <c r="E697" t="inlineStr">
        <is>
          <t>RAGUNDA</t>
        </is>
      </c>
      <c r="G697" t="n">
        <v>0.8</v>
      </c>
      <c r="H697" t="n">
        <v>0</v>
      </c>
      <c r="I697" t="n">
        <v>0</v>
      </c>
      <c r="J697" t="n">
        <v>0</v>
      </c>
      <c r="K697" t="n">
        <v>0</v>
      </c>
      <c r="L697" t="n">
        <v>0</v>
      </c>
      <c r="M697" t="n">
        <v>0</v>
      </c>
      <c r="N697" t="n">
        <v>0</v>
      </c>
      <c r="O697" t="n">
        <v>0</v>
      </c>
      <c r="P697" t="n">
        <v>0</v>
      </c>
      <c r="Q697" t="n">
        <v>0</v>
      </c>
      <c r="R697" s="2" t="inlineStr"/>
    </row>
    <row r="698" ht="15" customHeight="1">
      <c r="A698" t="inlineStr">
        <is>
          <t>A 30883-2025</t>
        </is>
      </c>
      <c r="B698" s="1" t="n">
        <v>45832.34552083333</v>
      </c>
      <c r="C698" s="1" t="n">
        <v>46052</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53264-2024</t>
        </is>
      </c>
      <c r="B699" s="1" t="n">
        <v>45614.34545138889</v>
      </c>
      <c r="C699" s="1" t="n">
        <v>46052</v>
      </c>
      <c r="D699" t="inlineStr">
        <is>
          <t>JÄMTLANDS LÄN</t>
        </is>
      </c>
      <c r="E699" t="inlineStr">
        <is>
          <t>RAGUNDA</t>
        </is>
      </c>
      <c r="G699" t="n">
        <v>1.4</v>
      </c>
      <c r="H699" t="n">
        <v>0</v>
      </c>
      <c r="I699" t="n">
        <v>0</v>
      </c>
      <c r="J699" t="n">
        <v>0</v>
      </c>
      <c r="K699" t="n">
        <v>0</v>
      </c>
      <c r="L699" t="n">
        <v>0</v>
      </c>
      <c r="M699" t="n">
        <v>0</v>
      </c>
      <c r="N699" t="n">
        <v>0</v>
      </c>
      <c r="O699" t="n">
        <v>0</v>
      </c>
      <c r="P699" t="n">
        <v>0</v>
      </c>
      <c r="Q699" t="n">
        <v>0</v>
      </c>
      <c r="R699" s="2" t="inlineStr"/>
    </row>
    <row r="700" ht="15" customHeight="1">
      <c r="A700" t="inlineStr">
        <is>
          <t>A 13334-2024</t>
        </is>
      </c>
      <c r="B700" s="1" t="n">
        <v>45386</v>
      </c>
      <c r="C700" s="1" t="n">
        <v>46052</v>
      </c>
      <c r="D700" t="inlineStr">
        <is>
          <t>JÄMTLANDS LÄN</t>
        </is>
      </c>
      <c r="E700" t="inlineStr">
        <is>
          <t>RAGUNDA</t>
        </is>
      </c>
      <c r="G700" t="n">
        <v>8.6</v>
      </c>
      <c r="H700" t="n">
        <v>0</v>
      </c>
      <c r="I700" t="n">
        <v>0</v>
      </c>
      <c r="J700" t="n">
        <v>0</v>
      </c>
      <c r="K700" t="n">
        <v>0</v>
      </c>
      <c r="L700" t="n">
        <v>0</v>
      </c>
      <c r="M700" t="n">
        <v>0</v>
      </c>
      <c r="N700" t="n">
        <v>0</v>
      </c>
      <c r="O700" t="n">
        <v>0</v>
      </c>
      <c r="P700" t="n">
        <v>0</v>
      </c>
      <c r="Q700" t="n">
        <v>0</v>
      </c>
      <c r="R700" s="2" t="inlineStr"/>
    </row>
    <row r="701" ht="15" customHeight="1">
      <c r="A701" t="inlineStr">
        <is>
          <t>A 60443-2023</t>
        </is>
      </c>
      <c r="B701" s="1" t="n">
        <v>45258</v>
      </c>
      <c r="C701" s="1" t="n">
        <v>46052</v>
      </c>
      <c r="D701" t="inlineStr">
        <is>
          <t>JÄMTLANDS LÄN</t>
        </is>
      </c>
      <c r="E701" t="inlineStr">
        <is>
          <t>RAGUNDA</t>
        </is>
      </c>
      <c r="G701" t="n">
        <v>2.9</v>
      </c>
      <c r="H701" t="n">
        <v>0</v>
      </c>
      <c r="I701" t="n">
        <v>0</v>
      </c>
      <c r="J701" t="n">
        <v>0</v>
      </c>
      <c r="K701" t="n">
        <v>0</v>
      </c>
      <c r="L701" t="n">
        <v>0</v>
      </c>
      <c r="M701" t="n">
        <v>0</v>
      </c>
      <c r="N701" t="n">
        <v>0</v>
      </c>
      <c r="O701" t="n">
        <v>0</v>
      </c>
      <c r="P701" t="n">
        <v>0</v>
      </c>
      <c r="Q701" t="n">
        <v>0</v>
      </c>
      <c r="R701" s="2" t="inlineStr"/>
    </row>
    <row r="702" ht="15" customHeight="1">
      <c r="A702" t="inlineStr">
        <is>
          <t>A 13389-2025</t>
        </is>
      </c>
      <c r="B702" s="1" t="n">
        <v>45735.69842592593</v>
      </c>
      <c r="C702" s="1" t="n">
        <v>46052</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21726-2023</t>
        </is>
      </c>
      <c r="B703" s="1" t="n">
        <v>45065.42894675926</v>
      </c>
      <c r="C703" s="1" t="n">
        <v>46052</v>
      </c>
      <c r="D703" t="inlineStr">
        <is>
          <t>JÄMTLANDS LÄN</t>
        </is>
      </c>
      <c r="E703" t="inlineStr">
        <is>
          <t>RAGUNDA</t>
        </is>
      </c>
      <c r="G703" t="n">
        <v>0.4</v>
      </c>
      <c r="H703" t="n">
        <v>0</v>
      </c>
      <c r="I703" t="n">
        <v>0</v>
      </c>
      <c r="J703" t="n">
        <v>0</v>
      </c>
      <c r="K703" t="n">
        <v>0</v>
      </c>
      <c r="L703" t="n">
        <v>0</v>
      </c>
      <c r="M703" t="n">
        <v>0</v>
      </c>
      <c r="N703" t="n">
        <v>0</v>
      </c>
      <c r="O703" t="n">
        <v>0</v>
      </c>
      <c r="P703" t="n">
        <v>0</v>
      </c>
      <c r="Q703" t="n">
        <v>0</v>
      </c>
      <c r="R703" s="2" t="inlineStr"/>
    </row>
    <row r="704" ht="15" customHeight="1">
      <c r="A704" t="inlineStr">
        <is>
          <t>A 30880-2025</t>
        </is>
      </c>
      <c r="B704" s="1" t="n">
        <v>45832.34524305556</v>
      </c>
      <c r="C704" s="1" t="n">
        <v>46052</v>
      </c>
      <c r="D704" t="inlineStr">
        <is>
          <t>JÄMTLANDS LÄN</t>
        </is>
      </c>
      <c r="E704" t="inlineStr">
        <is>
          <t>RAGUNDA</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45952-2023</t>
        </is>
      </c>
      <c r="B705" s="1" t="n">
        <v>45195</v>
      </c>
      <c r="C705" s="1" t="n">
        <v>46052</v>
      </c>
      <c r="D705" t="inlineStr">
        <is>
          <t>JÄMTLANDS LÄN</t>
        </is>
      </c>
      <c r="E705" t="inlineStr">
        <is>
          <t>RAGUNDA</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45954-2023</t>
        </is>
      </c>
      <c r="B706" s="1" t="n">
        <v>45195.94679398148</v>
      </c>
      <c r="C706" s="1" t="n">
        <v>46052</v>
      </c>
      <c r="D706" t="inlineStr">
        <is>
          <t>JÄMTLANDS LÄN</t>
        </is>
      </c>
      <c r="E706" t="inlineStr">
        <is>
          <t>RAGUNDA</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45955-2023</t>
        </is>
      </c>
      <c r="B707" s="1" t="n">
        <v>45195.94685185186</v>
      </c>
      <c r="C707" s="1" t="n">
        <v>46052</v>
      </c>
      <c r="D707" t="inlineStr">
        <is>
          <t>JÄMTLANDS LÄN</t>
        </is>
      </c>
      <c r="E707" t="inlineStr">
        <is>
          <t>RAGUNDA</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45631-2024</t>
        </is>
      </c>
      <c r="B708" s="1" t="n">
        <v>45579.47052083333</v>
      </c>
      <c r="C708" s="1" t="n">
        <v>46052</v>
      </c>
      <c r="D708" t="inlineStr">
        <is>
          <t>JÄMTLANDS LÄN</t>
        </is>
      </c>
      <c r="E708" t="inlineStr">
        <is>
          <t>RAGUNDA</t>
        </is>
      </c>
      <c r="G708" t="n">
        <v>15.1</v>
      </c>
      <c r="H708" t="n">
        <v>0</v>
      </c>
      <c r="I708" t="n">
        <v>0</v>
      </c>
      <c r="J708" t="n">
        <v>0</v>
      </c>
      <c r="K708" t="n">
        <v>0</v>
      </c>
      <c r="L708" t="n">
        <v>0</v>
      </c>
      <c r="M708" t="n">
        <v>0</v>
      </c>
      <c r="N708" t="n">
        <v>0</v>
      </c>
      <c r="O708" t="n">
        <v>0</v>
      </c>
      <c r="P708" t="n">
        <v>0</v>
      </c>
      <c r="Q708" t="n">
        <v>0</v>
      </c>
      <c r="R708" s="2" t="inlineStr"/>
    </row>
    <row r="709" ht="15" customHeight="1">
      <c r="A709" t="inlineStr">
        <is>
          <t>A 60456-2023</t>
        </is>
      </c>
      <c r="B709" s="1" t="n">
        <v>45258</v>
      </c>
      <c r="C709" s="1" t="n">
        <v>46052</v>
      </c>
      <c r="D709" t="inlineStr">
        <is>
          <t>JÄMTLANDS LÄN</t>
        </is>
      </c>
      <c r="E709" t="inlineStr">
        <is>
          <t>RAGUNDA</t>
        </is>
      </c>
      <c r="G709" t="n">
        <v>1.8</v>
      </c>
      <c r="H709" t="n">
        <v>0</v>
      </c>
      <c r="I709" t="n">
        <v>0</v>
      </c>
      <c r="J709" t="n">
        <v>0</v>
      </c>
      <c r="K709" t="n">
        <v>0</v>
      </c>
      <c r="L709" t="n">
        <v>0</v>
      </c>
      <c r="M709" t="n">
        <v>0</v>
      </c>
      <c r="N709" t="n">
        <v>0</v>
      </c>
      <c r="O709" t="n">
        <v>0</v>
      </c>
      <c r="P709" t="n">
        <v>0</v>
      </c>
      <c r="Q709" t="n">
        <v>0</v>
      </c>
      <c r="R709" s="2" t="inlineStr"/>
    </row>
    <row r="710" ht="15" customHeight="1">
      <c r="A710" t="inlineStr">
        <is>
          <t>A 16334-2025</t>
        </is>
      </c>
      <c r="B710" s="1" t="n">
        <v>45751.36490740741</v>
      </c>
      <c r="C710" s="1" t="n">
        <v>46052</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58438-2022</t>
        </is>
      </c>
      <c r="B711" s="1" t="n">
        <v>44901</v>
      </c>
      <c r="C711" s="1" t="n">
        <v>46052</v>
      </c>
      <c r="D711" t="inlineStr">
        <is>
          <t>JÄMTLANDS LÄN</t>
        </is>
      </c>
      <c r="E711" t="inlineStr">
        <is>
          <t>RAGUNDA</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58442-2022</t>
        </is>
      </c>
      <c r="B712" s="1" t="n">
        <v>44901</v>
      </c>
      <c r="C712" s="1" t="n">
        <v>46052</v>
      </c>
      <c r="D712" t="inlineStr">
        <is>
          <t>JÄMTLANDS LÄN</t>
        </is>
      </c>
      <c r="E712" t="inlineStr">
        <is>
          <t>RAGUNDA</t>
        </is>
      </c>
      <c r="F712" t="inlineStr">
        <is>
          <t>SCA</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5806-2025</t>
        </is>
      </c>
      <c r="B713" s="1" t="n">
        <v>45694.69826388889</v>
      </c>
      <c r="C713" s="1" t="n">
        <v>46052</v>
      </c>
      <c r="D713" t="inlineStr">
        <is>
          <t>JÄMTLANDS LÄN</t>
        </is>
      </c>
      <c r="E713" t="inlineStr">
        <is>
          <t>RAGUNDA</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32096-2025</t>
        </is>
      </c>
      <c r="B714" s="1" t="n">
        <v>45835.46334490741</v>
      </c>
      <c r="C714" s="1" t="n">
        <v>46052</v>
      </c>
      <c r="D714" t="inlineStr">
        <is>
          <t>JÄMTLANDS LÄN</t>
        </is>
      </c>
      <c r="E714" t="inlineStr">
        <is>
          <t>RAGUNDA</t>
        </is>
      </c>
      <c r="G714" t="n">
        <v>0.9</v>
      </c>
      <c r="H714" t="n">
        <v>0</v>
      </c>
      <c r="I714" t="n">
        <v>0</v>
      </c>
      <c r="J714" t="n">
        <v>0</v>
      </c>
      <c r="K714" t="n">
        <v>0</v>
      </c>
      <c r="L714" t="n">
        <v>0</v>
      </c>
      <c r="M714" t="n">
        <v>0</v>
      </c>
      <c r="N714" t="n">
        <v>0</v>
      </c>
      <c r="O714" t="n">
        <v>0</v>
      </c>
      <c r="P714" t="n">
        <v>0</v>
      </c>
      <c r="Q714" t="n">
        <v>0</v>
      </c>
      <c r="R714" s="2" t="inlineStr"/>
    </row>
    <row r="715" ht="15" customHeight="1">
      <c r="A715" t="inlineStr">
        <is>
          <t>A 32151-2025</t>
        </is>
      </c>
      <c r="B715" s="1" t="n">
        <v>45835.53166666667</v>
      </c>
      <c r="C715" s="1" t="n">
        <v>46052</v>
      </c>
      <c r="D715" t="inlineStr">
        <is>
          <t>JÄMTLANDS LÄN</t>
        </is>
      </c>
      <c r="E715" t="inlineStr">
        <is>
          <t>RAGUNDA</t>
        </is>
      </c>
      <c r="F715" t="inlineStr">
        <is>
          <t>SCA</t>
        </is>
      </c>
      <c r="G715" t="n">
        <v>12.3</v>
      </c>
      <c r="H715" t="n">
        <v>0</v>
      </c>
      <c r="I715" t="n">
        <v>0</v>
      </c>
      <c r="J715" t="n">
        <v>0</v>
      </c>
      <c r="K715" t="n">
        <v>0</v>
      </c>
      <c r="L715" t="n">
        <v>0</v>
      </c>
      <c r="M715" t="n">
        <v>0</v>
      </c>
      <c r="N715" t="n">
        <v>0</v>
      </c>
      <c r="O715" t="n">
        <v>0</v>
      </c>
      <c r="P715" t="n">
        <v>0</v>
      </c>
      <c r="Q715" t="n">
        <v>0</v>
      </c>
      <c r="R715" s="2" t="inlineStr"/>
    </row>
    <row r="716" ht="15" customHeight="1">
      <c r="A716" t="inlineStr">
        <is>
          <t>A 41179-2022</t>
        </is>
      </c>
      <c r="B716" s="1" t="n">
        <v>44825</v>
      </c>
      <c r="C716" s="1" t="n">
        <v>46052</v>
      </c>
      <c r="D716" t="inlineStr">
        <is>
          <t>JÄMTLANDS LÄN</t>
        </is>
      </c>
      <c r="E716" t="inlineStr">
        <is>
          <t>RAGUNDA</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32306-2025</t>
        </is>
      </c>
      <c r="B717" s="1" t="n">
        <v>45835.72046296296</v>
      </c>
      <c r="C717" s="1" t="n">
        <v>46052</v>
      </c>
      <c r="D717" t="inlineStr">
        <is>
          <t>JÄMTLANDS LÄN</t>
        </is>
      </c>
      <c r="E717" t="inlineStr">
        <is>
          <t>RAGUNDA</t>
        </is>
      </c>
      <c r="G717" t="n">
        <v>10.2</v>
      </c>
      <c r="H717" t="n">
        <v>0</v>
      </c>
      <c r="I717" t="n">
        <v>0</v>
      </c>
      <c r="J717" t="n">
        <v>0</v>
      </c>
      <c r="K717" t="n">
        <v>0</v>
      </c>
      <c r="L717" t="n">
        <v>0</v>
      </c>
      <c r="M717" t="n">
        <v>0</v>
      </c>
      <c r="N717" t="n">
        <v>0</v>
      </c>
      <c r="O717" t="n">
        <v>0</v>
      </c>
      <c r="P717" t="n">
        <v>0</v>
      </c>
      <c r="Q717" t="n">
        <v>0</v>
      </c>
      <c r="R717" s="2" t="inlineStr"/>
    </row>
    <row r="718" ht="15" customHeight="1">
      <c r="A718" t="inlineStr">
        <is>
          <t>A 55701-2021</t>
        </is>
      </c>
      <c r="B718" s="1" t="n">
        <v>44475</v>
      </c>
      <c r="C718" s="1" t="n">
        <v>46052</v>
      </c>
      <c r="D718" t="inlineStr">
        <is>
          <t>JÄMTLANDS LÄN</t>
        </is>
      </c>
      <c r="E718" t="inlineStr">
        <is>
          <t>RAGUNDA</t>
        </is>
      </c>
      <c r="G718" t="n">
        <v>5.6</v>
      </c>
      <c r="H718" t="n">
        <v>0</v>
      </c>
      <c r="I718" t="n">
        <v>0</v>
      </c>
      <c r="J718" t="n">
        <v>0</v>
      </c>
      <c r="K718" t="n">
        <v>0</v>
      </c>
      <c r="L718" t="n">
        <v>0</v>
      </c>
      <c r="M718" t="n">
        <v>0</v>
      </c>
      <c r="N718" t="n">
        <v>0</v>
      </c>
      <c r="O718" t="n">
        <v>0</v>
      </c>
      <c r="P718" t="n">
        <v>0</v>
      </c>
      <c r="Q718" t="n">
        <v>0</v>
      </c>
      <c r="R718" s="2" t="inlineStr"/>
    </row>
    <row r="719" ht="15" customHeight="1">
      <c r="A719" t="inlineStr">
        <is>
          <t>A 32021-2025</t>
        </is>
      </c>
      <c r="B719" s="1" t="n">
        <v>45835.40668981482</v>
      </c>
      <c r="C719" s="1" t="n">
        <v>46052</v>
      </c>
      <c r="D719" t="inlineStr">
        <is>
          <t>JÄMTLANDS LÄN</t>
        </is>
      </c>
      <c r="E719" t="inlineStr">
        <is>
          <t>RAGUNDA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31882-2025</t>
        </is>
      </c>
      <c r="B720" s="1" t="n">
        <v>45834.65662037037</v>
      </c>
      <c r="C720" s="1" t="n">
        <v>46052</v>
      </c>
      <c r="D720" t="inlineStr">
        <is>
          <t>JÄMTLANDS LÄN</t>
        </is>
      </c>
      <c r="E720" t="inlineStr">
        <is>
          <t>RAGUNDA</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61598-2024</t>
        </is>
      </c>
      <c r="B721" s="1" t="n">
        <v>45646.63605324074</v>
      </c>
      <c r="C721" s="1" t="n">
        <v>46052</v>
      </c>
      <c r="D721" t="inlineStr">
        <is>
          <t>JÄMTLANDS LÄN</t>
        </is>
      </c>
      <c r="E721" t="inlineStr">
        <is>
          <t>RAGUNDA</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17667-2025</t>
        </is>
      </c>
      <c r="B722" s="1" t="n">
        <v>45758.36487268518</v>
      </c>
      <c r="C722" s="1" t="n">
        <v>46052</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32796-2025</t>
        </is>
      </c>
      <c r="B723" s="1" t="n">
        <v>45839.49082175926</v>
      </c>
      <c r="C723" s="1" t="n">
        <v>46052</v>
      </c>
      <c r="D723" t="inlineStr">
        <is>
          <t>JÄMTLANDS LÄN</t>
        </is>
      </c>
      <c r="E723" t="inlineStr">
        <is>
          <t>RAGUNDA</t>
        </is>
      </c>
      <c r="G723" t="n">
        <v>1.7</v>
      </c>
      <c r="H723" t="n">
        <v>0</v>
      </c>
      <c r="I723" t="n">
        <v>0</v>
      </c>
      <c r="J723" t="n">
        <v>0</v>
      </c>
      <c r="K723" t="n">
        <v>0</v>
      </c>
      <c r="L723" t="n">
        <v>0</v>
      </c>
      <c r="M723" t="n">
        <v>0</v>
      </c>
      <c r="N723" t="n">
        <v>0</v>
      </c>
      <c r="O723" t="n">
        <v>0</v>
      </c>
      <c r="P723" t="n">
        <v>0</v>
      </c>
      <c r="Q723" t="n">
        <v>0</v>
      </c>
      <c r="R723" s="2" t="inlineStr"/>
    </row>
    <row r="724" ht="15" customHeight="1">
      <c r="A724" t="inlineStr">
        <is>
          <t>A 32655-2025</t>
        </is>
      </c>
      <c r="B724" s="1" t="n">
        <v>45838.67800925926</v>
      </c>
      <c r="C724" s="1" t="n">
        <v>46052</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32751-2025</t>
        </is>
      </c>
      <c r="B725" s="1" t="n">
        <v>45839.42864583333</v>
      </c>
      <c r="C725" s="1" t="n">
        <v>46052</v>
      </c>
      <c r="D725" t="inlineStr">
        <is>
          <t>JÄMTLANDS LÄN</t>
        </is>
      </c>
      <c r="E725" t="inlineStr">
        <is>
          <t>RAGUNDA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30484-2024</t>
        </is>
      </c>
      <c r="B726" s="1" t="n">
        <v>45491</v>
      </c>
      <c r="C726" s="1" t="n">
        <v>46052</v>
      </c>
      <c r="D726" t="inlineStr">
        <is>
          <t>JÄMTLANDS LÄN</t>
        </is>
      </c>
      <c r="E726" t="inlineStr">
        <is>
          <t>RAGUNDA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12405-2025</t>
        </is>
      </c>
      <c r="B727" s="1" t="n">
        <v>45730.42738425926</v>
      </c>
      <c r="C727" s="1" t="n">
        <v>46052</v>
      </c>
      <c r="D727" t="inlineStr">
        <is>
          <t>JÄMTLANDS LÄN</t>
        </is>
      </c>
      <c r="E727" t="inlineStr">
        <is>
          <t>RAGUNDA</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32777-2025</t>
        </is>
      </c>
      <c r="B728" s="1" t="n">
        <v>45839.46915509259</v>
      </c>
      <c r="C728" s="1" t="n">
        <v>46052</v>
      </c>
      <c r="D728" t="inlineStr">
        <is>
          <t>JÄMTLANDS LÄN</t>
        </is>
      </c>
      <c r="E728" t="inlineStr">
        <is>
          <t>RAGUNDA</t>
        </is>
      </c>
      <c r="F728" t="inlineStr">
        <is>
          <t>SCA</t>
        </is>
      </c>
      <c r="G728" t="n">
        <v>21.7</v>
      </c>
      <c r="H728" t="n">
        <v>0</v>
      </c>
      <c r="I728" t="n">
        <v>0</v>
      </c>
      <c r="J728" t="n">
        <v>0</v>
      </c>
      <c r="K728" t="n">
        <v>0</v>
      </c>
      <c r="L728" t="n">
        <v>0</v>
      </c>
      <c r="M728" t="n">
        <v>0</v>
      </c>
      <c r="N728" t="n">
        <v>0</v>
      </c>
      <c r="O728" t="n">
        <v>0</v>
      </c>
      <c r="P728" t="n">
        <v>0</v>
      </c>
      <c r="Q728" t="n">
        <v>0</v>
      </c>
      <c r="R728" s="2" t="inlineStr"/>
    </row>
    <row r="729" ht="15" customHeight="1">
      <c r="A729" t="inlineStr">
        <is>
          <t>A 32430-2025</t>
        </is>
      </c>
      <c r="B729" s="1" t="n">
        <v>45838.36532407408</v>
      </c>
      <c r="C729" s="1" t="n">
        <v>46052</v>
      </c>
      <c r="D729" t="inlineStr">
        <is>
          <t>JÄMTLANDS LÄN</t>
        </is>
      </c>
      <c r="E729" t="inlineStr">
        <is>
          <t>RAGUNDA</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36986-2023</t>
        </is>
      </c>
      <c r="B730" s="1" t="n">
        <v>45154.95525462963</v>
      </c>
      <c r="C730" s="1" t="n">
        <v>46052</v>
      </c>
      <c r="D730" t="inlineStr">
        <is>
          <t>JÄMTLANDS LÄN</t>
        </is>
      </c>
      <c r="E730" t="inlineStr">
        <is>
          <t>RAGUNDA</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32747-2025</t>
        </is>
      </c>
      <c r="B731" s="1" t="n">
        <v>45839.42810185185</v>
      </c>
      <c r="C731" s="1" t="n">
        <v>46052</v>
      </c>
      <c r="D731" t="inlineStr">
        <is>
          <t>JÄMTLANDS LÄN</t>
        </is>
      </c>
      <c r="E731" t="inlineStr">
        <is>
          <t>RAGUNDA</t>
        </is>
      </c>
      <c r="F731" t="inlineStr">
        <is>
          <t>SCA</t>
        </is>
      </c>
      <c r="G731" t="n">
        <v>4.5</v>
      </c>
      <c r="H731" t="n">
        <v>0</v>
      </c>
      <c r="I731" t="n">
        <v>0</v>
      </c>
      <c r="J731" t="n">
        <v>0</v>
      </c>
      <c r="K731" t="n">
        <v>0</v>
      </c>
      <c r="L731" t="n">
        <v>0</v>
      </c>
      <c r="M731" t="n">
        <v>0</v>
      </c>
      <c r="N731" t="n">
        <v>0</v>
      </c>
      <c r="O731" t="n">
        <v>0</v>
      </c>
      <c r="P731" t="n">
        <v>0</v>
      </c>
      <c r="Q731" t="n">
        <v>0</v>
      </c>
      <c r="R731" s="2" t="inlineStr"/>
    </row>
    <row r="732" ht="15" customHeight="1">
      <c r="A732" t="inlineStr">
        <is>
          <t>A 32757-2025</t>
        </is>
      </c>
      <c r="B732" s="1" t="n">
        <v>45838</v>
      </c>
      <c r="C732" s="1" t="n">
        <v>46052</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32846-2025</t>
        </is>
      </c>
      <c r="B733" s="1" t="n">
        <v>45839.57331018519</v>
      </c>
      <c r="C733" s="1" t="n">
        <v>46052</v>
      </c>
      <c r="D733" t="inlineStr">
        <is>
          <t>JÄMTLANDS LÄN</t>
        </is>
      </c>
      <c r="E733" t="inlineStr">
        <is>
          <t>RAGUNDA</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32748-2025</t>
        </is>
      </c>
      <c r="B734" s="1" t="n">
        <v>45839.42822916667</v>
      </c>
      <c r="C734" s="1" t="n">
        <v>46052</v>
      </c>
      <c r="D734" t="inlineStr">
        <is>
          <t>JÄMTLANDS LÄN</t>
        </is>
      </c>
      <c r="E734" t="inlineStr">
        <is>
          <t>RAGUNDA</t>
        </is>
      </c>
      <c r="F734" t="inlineStr">
        <is>
          <t>SCA</t>
        </is>
      </c>
      <c r="G734" t="n">
        <v>4.4</v>
      </c>
      <c r="H734" t="n">
        <v>0</v>
      </c>
      <c r="I734" t="n">
        <v>0</v>
      </c>
      <c r="J734" t="n">
        <v>0</v>
      </c>
      <c r="K734" t="n">
        <v>0</v>
      </c>
      <c r="L734" t="n">
        <v>0</v>
      </c>
      <c r="M734" t="n">
        <v>0</v>
      </c>
      <c r="N734" t="n">
        <v>0</v>
      </c>
      <c r="O734" t="n">
        <v>0</v>
      </c>
      <c r="P734" t="n">
        <v>0</v>
      </c>
      <c r="Q734" t="n">
        <v>0</v>
      </c>
      <c r="R734" s="2" t="inlineStr"/>
    </row>
    <row r="735" ht="15" customHeight="1">
      <c r="A735" t="inlineStr">
        <is>
          <t>A 32762-2025</t>
        </is>
      </c>
      <c r="B735" s="1" t="n">
        <v>45838</v>
      </c>
      <c r="C735" s="1" t="n">
        <v>46052</v>
      </c>
      <c r="D735" t="inlineStr">
        <is>
          <t>JÄMTLANDS LÄN</t>
        </is>
      </c>
      <c r="E735" t="inlineStr">
        <is>
          <t>RAGUNDA</t>
        </is>
      </c>
      <c r="G735" t="n">
        <v>0.6</v>
      </c>
      <c r="H735" t="n">
        <v>0</v>
      </c>
      <c r="I735" t="n">
        <v>0</v>
      </c>
      <c r="J735" t="n">
        <v>0</v>
      </c>
      <c r="K735" t="n">
        <v>0</v>
      </c>
      <c r="L735" t="n">
        <v>0</v>
      </c>
      <c r="M735" t="n">
        <v>0</v>
      </c>
      <c r="N735" t="n">
        <v>0</v>
      </c>
      <c r="O735" t="n">
        <v>0</v>
      </c>
      <c r="P735" t="n">
        <v>0</v>
      </c>
      <c r="Q735" t="n">
        <v>0</v>
      </c>
      <c r="R735" s="2" t="inlineStr"/>
    </row>
    <row r="736" ht="15" customHeight="1">
      <c r="A736" t="inlineStr">
        <is>
          <t>A 32660-2025</t>
        </is>
      </c>
      <c r="B736" s="1" t="n">
        <v>45838.67887731481</v>
      </c>
      <c r="C736" s="1" t="n">
        <v>46052</v>
      </c>
      <c r="D736" t="inlineStr">
        <is>
          <t>JÄMTLANDS LÄN</t>
        </is>
      </c>
      <c r="E736" t="inlineStr">
        <is>
          <t>RAGUNDA</t>
        </is>
      </c>
      <c r="F736" t="inlineStr">
        <is>
          <t>SCA</t>
        </is>
      </c>
      <c r="G736" t="n">
        <v>10.3</v>
      </c>
      <c r="H736" t="n">
        <v>0</v>
      </c>
      <c r="I736" t="n">
        <v>0</v>
      </c>
      <c r="J736" t="n">
        <v>0</v>
      </c>
      <c r="K736" t="n">
        <v>0</v>
      </c>
      <c r="L736" t="n">
        <v>0</v>
      </c>
      <c r="M736" t="n">
        <v>0</v>
      </c>
      <c r="N736" t="n">
        <v>0</v>
      </c>
      <c r="O736" t="n">
        <v>0</v>
      </c>
      <c r="P736" t="n">
        <v>0</v>
      </c>
      <c r="Q736" t="n">
        <v>0</v>
      </c>
      <c r="R736" s="2" t="inlineStr"/>
    </row>
    <row r="737" ht="15" customHeight="1">
      <c r="A737" t="inlineStr">
        <is>
          <t>A 14513-2025</t>
        </is>
      </c>
      <c r="B737" s="1" t="n">
        <v>45741.63675925926</v>
      </c>
      <c r="C737" s="1" t="n">
        <v>46052</v>
      </c>
      <c r="D737" t="inlineStr">
        <is>
          <t>JÄMTLANDS LÄN</t>
        </is>
      </c>
      <c r="E737" t="inlineStr">
        <is>
          <t>RAGUNDA</t>
        </is>
      </c>
      <c r="F737" t="inlineStr">
        <is>
          <t>SCA</t>
        </is>
      </c>
      <c r="G737" t="n">
        <v>6.8</v>
      </c>
      <c r="H737" t="n">
        <v>0</v>
      </c>
      <c r="I737" t="n">
        <v>0</v>
      </c>
      <c r="J737" t="n">
        <v>0</v>
      </c>
      <c r="K737" t="n">
        <v>0</v>
      </c>
      <c r="L737" t="n">
        <v>0</v>
      </c>
      <c r="M737" t="n">
        <v>0</v>
      </c>
      <c r="N737" t="n">
        <v>0</v>
      </c>
      <c r="O737" t="n">
        <v>0</v>
      </c>
      <c r="P737" t="n">
        <v>0</v>
      </c>
      <c r="Q737" t="n">
        <v>0</v>
      </c>
      <c r="R737" s="2" t="inlineStr"/>
    </row>
    <row r="738" ht="15" customHeight="1">
      <c r="A738" t="inlineStr">
        <is>
          <t>A 32527-2025</t>
        </is>
      </c>
      <c r="B738" s="1" t="n">
        <v>45838.48996527777</v>
      </c>
      <c r="C738" s="1" t="n">
        <v>46052</v>
      </c>
      <c r="D738" t="inlineStr">
        <is>
          <t>JÄMTLANDS LÄN</t>
        </is>
      </c>
      <c r="E738" t="inlineStr">
        <is>
          <t>RAGUNDA</t>
        </is>
      </c>
      <c r="G738" t="n">
        <v>5</v>
      </c>
      <c r="H738" t="n">
        <v>0</v>
      </c>
      <c r="I738" t="n">
        <v>0</v>
      </c>
      <c r="J738" t="n">
        <v>0</v>
      </c>
      <c r="K738" t="n">
        <v>0</v>
      </c>
      <c r="L738" t="n">
        <v>0</v>
      </c>
      <c r="M738" t="n">
        <v>0</v>
      </c>
      <c r="N738" t="n">
        <v>0</v>
      </c>
      <c r="O738" t="n">
        <v>0</v>
      </c>
      <c r="P738" t="n">
        <v>0</v>
      </c>
      <c r="Q738" t="n">
        <v>0</v>
      </c>
      <c r="R738" s="2" t="inlineStr"/>
    </row>
    <row r="739" ht="15" customHeight="1">
      <c r="A739" t="inlineStr">
        <is>
          <t>A 55904-2022</t>
        </is>
      </c>
      <c r="B739" s="1" t="n">
        <v>44888</v>
      </c>
      <c r="C739" s="1" t="n">
        <v>46052</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7281-2025</t>
        </is>
      </c>
      <c r="B740" s="1" t="n">
        <v>45702.63572916666</v>
      </c>
      <c r="C740" s="1" t="n">
        <v>46052</v>
      </c>
      <c r="D740" t="inlineStr">
        <is>
          <t>JÄMTLANDS LÄN</t>
        </is>
      </c>
      <c r="E740" t="inlineStr">
        <is>
          <t>RAGUNDA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33140-2025</t>
        </is>
      </c>
      <c r="B741" s="1" t="n">
        <v>45840.52225694444</v>
      </c>
      <c r="C741" s="1" t="n">
        <v>46052</v>
      </c>
      <c r="D741" t="inlineStr">
        <is>
          <t>JÄMTLANDS LÄN</t>
        </is>
      </c>
      <c r="E741" t="inlineStr">
        <is>
          <t>RAGUNDA</t>
        </is>
      </c>
      <c r="G741" t="n">
        <v>2</v>
      </c>
      <c r="H741" t="n">
        <v>0</v>
      </c>
      <c r="I741" t="n">
        <v>0</v>
      </c>
      <c r="J741" t="n">
        <v>0</v>
      </c>
      <c r="K741" t="n">
        <v>0</v>
      </c>
      <c r="L741" t="n">
        <v>0</v>
      </c>
      <c r="M741" t="n">
        <v>0</v>
      </c>
      <c r="N741" t="n">
        <v>0</v>
      </c>
      <c r="O741" t="n">
        <v>0</v>
      </c>
      <c r="P741" t="n">
        <v>0</v>
      </c>
      <c r="Q741" t="n">
        <v>0</v>
      </c>
      <c r="R741" s="2" t="inlineStr"/>
    </row>
    <row r="742" ht="15" customHeight="1">
      <c r="A742" t="inlineStr">
        <is>
          <t>A 48192-2024</t>
        </is>
      </c>
      <c r="B742" s="1" t="n">
        <v>45590</v>
      </c>
      <c r="C742" s="1" t="n">
        <v>46052</v>
      </c>
      <c r="D742" t="inlineStr">
        <is>
          <t>JÄMTLANDS LÄN</t>
        </is>
      </c>
      <c r="E742" t="inlineStr">
        <is>
          <t>RAGUNDA</t>
        </is>
      </c>
      <c r="G742" t="n">
        <v>2.3</v>
      </c>
      <c r="H742" t="n">
        <v>0</v>
      </c>
      <c r="I742" t="n">
        <v>0</v>
      </c>
      <c r="J742" t="n">
        <v>0</v>
      </c>
      <c r="K742" t="n">
        <v>0</v>
      </c>
      <c r="L742" t="n">
        <v>0</v>
      </c>
      <c r="M742" t="n">
        <v>0</v>
      </c>
      <c r="N742" t="n">
        <v>0</v>
      </c>
      <c r="O742" t="n">
        <v>0</v>
      </c>
      <c r="P742" t="n">
        <v>0</v>
      </c>
      <c r="Q742" t="n">
        <v>0</v>
      </c>
      <c r="R742" s="2" t="inlineStr"/>
    </row>
    <row r="743" ht="15" customHeight="1">
      <c r="A743" t="inlineStr">
        <is>
          <t>A 2224-2024</t>
        </is>
      </c>
      <c r="B743" s="1" t="n">
        <v>45309.92524305556</v>
      </c>
      <c r="C743" s="1" t="n">
        <v>46052</v>
      </c>
      <c r="D743" t="inlineStr">
        <is>
          <t>JÄMTLANDS LÄN</t>
        </is>
      </c>
      <c r="E743" t="inlineStr">
        <is>
          <t>RAGUNDA</t>
        </is>
      </c>
      <c r="G743" t="n">
        <v>0.9</v>
      </c>
      <c r="H743" t="n">
        <v>0</v>
      </c>
      <c r="I743" t="n">
        <v>0</v>
      </c>
      <c r="J743" t="n">
        <v>0</v>
      </c>
      <c r="K743" t="n">
        <v>0</v>
      </c>
      <c r="L743" t="n">
        <v>0</v>
      </c>
      <c r="M743" t="n">
        <v>0</v>
      </c>
      <c r="N743" t="n">
        <v>0</v>
      </c>
      <c r="O743" t="n">
        <v>0</v>
      </c>
      <c r="P743" t="n">
        <v>0</v>
      </c>
      <c r="Q743" t="n">
        <v>0</v>
      </c>
      <c r="R743" s="2" t="inlineStr"/>
    </row>
    <row r="744" ht="15" customHeight="1">
      <c r="A744" t="inlineStr">
        <is>
          <t>A 33556-2025</t>
        </is>
      </c>
      <c r="B744" s="1" t="n">
        <v>45841.57427083333</v>
      </c>
      <c r="C744" s="1" t="n">
        <v>46052</v>
      </c>
      <c r="D744" t="inlineStr">
        <is>
          <t>JÄMTLANDS LÄN</t>
        </is>
      </c>
      <c r="E744" t="inlineStr">
        <is>
          <t>RAGUNDA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1523-2024</t>
        </is>
      </c>
      <c r="B745" s="1" t="n">
        <v>45306</v>
      </c>
      <c r="C745" s="1" t="n">
        <v>46052</v>
      </c>
      <c r="D745" t="inlineStr">
        <is>
          <t>JÄMTLANDS LÄN</t>
        </is>
      </c>
      <c r="E745" t="inlineStr">
        <is>
          <t>RAGUNDA</t>
        </is>
      </c>
      <c r="G745" t="n">
        <v>4.1</v>
      </c>
      <c r="H745" t="n">
        <v>0</v>
      </c>
      <c r="I745" t="n">
        <v>0</v>
      </c>
      <c r="J745" t="n">
        <v>0</v>
      </c>
      <c r="K745" t="n">
        <v>0</v>
      </c>
      <c r="L745" t="n">
        <v>0</v>
      </c>
      <c r="M745" t="n">
        <v>0</v>
      </c>
      <c r="N745" t="n">
        <v>0</v>
      </c>
      <c r="O745" t="n">
        <v>0</v>
      </c>
      <c r="P745" t="n">
        <v>0</v>
      </c>
      <c r="Q745" t="n">
        <v>0</v>
      </c>
      <c r="R745" s="2" t="inlineStr"/>
    </row>
    <row r="746" ht="15" customHeight="1">
      <c r="A746" t="inlineStr">
        <is>
          <t>A 2599-2023</t>
        </is>
      </c>
      <c r="B746" s="1" t="n">
        <v>44943.94802083333</v>
      </c>
      <c r="C746" s="1" t="n">
        <v>46052</v>
      </c>
      <c r="D746" t="inlineStr">
        <is>
          <t>JÄMTLANDS LÄN</t>
        </is>
      </c>
      <c r="E746" t="inlineStr">
        <is>
          <t>RAGUNDA</t>
        </is>
      </c>
      <c r="F746" t="inlineStr">
        <is>
          <t>SCA</t>
        </is>
      </c>
      <c r="G746" t="n">
        <v>5.9</v>
      </c>
      <c r="H746" t="n">
        <v>0</v>
      </c>
      <c r="I746" t="n">
        <v>0</v>
      </c>
      <c r="J746" t="n">
        <v>0</v>
      </c>
      <c r="K746" t="n">
        <v>0</v>
      </c>
      <c r="L746" t="n">
        <v>0</v>
      </c>
      <c r="M746" t="n">
        <v>0</v>
      </c>
      <c r="N746" t="n">
        <v>0</v>
      </c>
      <c r="O746" t="n">
        <v>0</v>
      </c>
      <c r="P746" t="n">
        <v>0</v>
      </c>
      <c r="Q746" t="n">
        <v>0</v>
      </c>
      <c r="R746" s="2" t="inlineStr"/>
    </row>
    <row r="747" ht="15" customHeight="1">
      <c r="A747" t="inlineStr">
        <is>
          <t>A 48249-2024</t>
        </is>
      </c>
      <c r="B747" s="1" t="n">
        <v>45590.40675925926</v>
      </c>
      <c r="C747" s="1" t="n">
        <v>46052</v>
      </c>
      <c r="D747" t="inlineStr">
        <is>
          <t>JÄMTLANDS LÄN</t>
        </is>
      </c>
      <c r="E747" t="inlineStr">
        <is>
          <t>RAGUNDA</t>
        </is>
      </c>
      <c r="F747" t="inlineStr">
        <is>
          <t>SCA</t>
        </is>
      </c>
      <c r="G747" t="n">
        <v>14.4</v>
      </c>
      <c r="H747" t="n">
        <v>0</v>
      </c>
      <c r="I747" t="n">
        <v>0</v>
      </c>
      <c r="J747" t="n">
        <v>0</v>
      </c>
      <c r="K747" t="n">
        <v>0</v>
      </c>
      <c r="L747" t="n">
        <v>0</v>
      </c>
      <c r="M747" t="n">
        <v>0</v>
      </c>
      <c r="N747" t="n">
        <v>0</v>
      </c>
      <c r="O747" t="n">
        <v>0</v>
      </c>
      <c r="P747" t="n">
        <v>0</v>
      </c>
      <c r="Q747" t="n">
        <v>0</v>
      </c>
      <c r="R747" s="2" t="inlineStr"/>
    </row>
    <row r="748" ht="15" customHeight="1">
      <c r="A748" t="inlineStr">
        <is>
          <t>A 64265-2023</t>
        </is>
      </c>
      <c r="B748" s="1" t="n">
        <v>45279.94572916667</v>
      </c>
      <c r="C748" s="1" t="n">
        <v>46052</v>
      </c>
      <c r="D748" t="inlineStr">
        <is>
          <t>JÄMTLANDS LÄN</t>
        </is>
      </c>
      <c r="E748" t="inlineStr">
        <is>
          <t>RAGUNDA</t>
        </is>
      </c>
      <c r="F748" t="inlineStr">
        <is>
          <t>SCA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58630-2024</t>
        </is>
      </c>
      <c r="B749" s="1" t="n">
        <v>45635.57331018519</v>
      </c>
      <c r="C749" s="1" t="n">
        <v>46052</v>
      </c>
      <c r="D749" t="inlineStr">
        <is>
          <t>JÄMTLANDS LÄN</t>
        </is>
      </c>
      <c r="E749" t="inlineStr">
        <is>
          <t>RAGUNDA</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46549-2023</t>
        </is>
      </c>
      <c r="B750" s="1" t="n">
        <v>45197.94171296297</v>
      </c>
      <c r="C750" s="1" t="n">
        <v>46052</v>
      </c>
      <c r="D750" t="inlineStr">
        <is>
          <t>JÄMTLANDS LÄN</t>
        </is>
      </c>
      <c r="E750" t="inlineStr">
        <is>
          <t>RAGUNDA</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66706-2021</t>
        </is>
      </c>
      <c r="B751" s="1" t="n">
        <v>44519.94440972222</v>
      </c>
      <c r="C751" s="1" t="n">
        <v>46052</v>
      </c>
      <c r="D751" t="inlineStr">
        <is>
          <t>JÄMTLANDS LÄN</t>
        </is>
      </c>
      <c r="E751" t="inlineStr">
        <is>
          <t>RAGUNDA</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32258-2024</t>
        </is>
      </c>
      <c r="B752" s="1" t="n">
        <v>45511</v>
      </c>
      <c r="C752" s="1" t="n">
        <v>46052</v>
      </c>
      <c r="D752" t="inlineStr">
        <is>
          <t>JÄMTLANDS LÄN</t>
        </is>
      </c>
      <c r="E752" t="inlineStr">
        <is>
          <t>RAGUNDA</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38270-2021</t>
        </is>
      </c>
      <c r="B753" s="1" t="n">
        <v>44405.92065972222</v>
      </c>
      <c r="C753" s="1" t="n">
        <v>46052</v>
      </c>
      <c r="D753" t="inlineStr">
        <is>
          <t>JÄMTLANDS LÄN</t>
        </is>
      </c>
      <c r="E753" t="inlineStr">
        <is>
          <t>RAGUNDA</t>
        </is>
      </c>
      <c r="G753" t="n">
        <v>1.3</v>
      </c>
      <c r="H753" t="n">
        <v>0</v>
      </c>
      <c r="I753" t="n">
        <v>0</v>
      </c>
      <c r="J753" t="n">
        <v>0</v>
      </c>
      <c r="K753" t="n">
        <v>0</v>
      </c>
      <c r="L753" t="n">
        <v>0</v>
      </c>
      <c r="M753" t="n">
        <v>0</v>
      </c>
      <c r="N753" t="n">
        <v>0</v>
      </c>
      <c r="O753" t="n">
        <v>0</v>
      </c>
      <c r="P753" t="n">
        <v>0</v>
      </c>
      <c r="Q753" t="n">
        <v>0</v>
      </c>
      <c r="R753" s="2" t="inlineStr"/>
    </row>
    <row r="754" ht="15" customHeight="1">
      <c r="A754" t="inlineStr">
        <is>
          <t>A 29257-2024</t>
        </is>
      </c>
      <c r="B754" s="1" t="n">
        <v>45482.94815972223</v>
      </c>
      <c r="C754" s="1" t="n">
        <v>46052</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27373-2023</t>
        </is>
      </c>
      <c r="B755" s="1" t="n">
        <v>45096.93866898148</v>
      </c>
      <c r="C755" s="1" t="n">
        <v>46052</v>
      </c>
      <c r="D755" t="inlineStr">
        <is>
          <t>JÄMTLANDS LÄN</t>
        </is>
      </c>
      <c r="E755" t="inlineStr">
        <is>
          <t>RAGUNDA</t>
        </is>
      </c>
      <c r="F755" t="inlineStr">
        <is>
          <t>SCA</t>
        </is>
      </c>
      <c r="G755" t="n">
        <v>6.9</v>
      </c>
      <c r="H755" t="n">
        <v>0</v>
      </c>
      <c r="I755" t="n">
        <v>0</v>
      </c>
      <c r="J755" t="n">
        <v>0</v>
      </c>
      <c r="K755" t="n">
        <v>0</v>
      </c>
      <c r="L755" t="n">
        <v>0</v>
      </c>
      <c r="M755" t="n">
        <v>0</v>
      </c>
      <c r="N755" t="n">
        <v>0</v>
      </c>
      <c r="O755" t="n">
        <v>0</v>
      </c>
      <c r="P755" t="n">
        <v>0</v>
      </c>
      <c r="Q755" t="n">
        <v>0</v>
      </c>
      <c r="R755" s="2" t="inlineStr"/>
    </row>
    <row r="756" ht="15" customHeight="1">
      <c r="A756" t="inlineStr">
        <is>
          <t>A 62115-2024</t>
        </is>
      </c>
      <c r="B756" s="1" t="n">
        <v>45656</v>
      </c>
      <c r="C756" s="1" t="n">
        <v>46052</v>
      </c>
      <c r="D756" t="inlineStr">
        <is>
          <t>JÄMTLANDS LÄN</t>
        </is>
      </c>
      <c r="E756" t="inlineStr">
        <is>
          <t>RAGUNDA</t>
        </is>
      </c>
      <c r="G756" t="n">
        <v>3.3</v>
      </c>
      <c r="H756" t="n">
        <v>0</v>
      </c>
      <c r="I756" t="n">
        <v>0</v>
      </c>
      <c r="J756" t="n">
        <v>0</v>
      </c>
      <c r="K756" t="n">
        <v>0</v>
      </c>
      <c r="L756" t="n">
        <v>0</v>
      </c>
      <c r="M756" t="n">
        <v>0</v>
      </c>
      <c r="N756" t="n">
        <v>0</v>
      </c>
      <c r="O756" t="n">
        <v>0</v>
      </c>
      <c r="P756" t="n">
        <v>0</v>
      </c>
      <c r="Q756" t="n">
        <v>0</v>
      </c>
      <c r="R756" s="2" t="inlineStr"/>
    </row>
    <row r="757" ht="15" customHeight="1">
      <c r="A757" t="inlineStr">
        <is>
          <t>A 12653-2024</t>
        </is>
      </c>
      <c r="B757" s="1" t="n">
        <v>45384</v>
      </c>
      <c r="C757" s="1" t="n">
        <v>46052</v>
      </c>
      <c r="D757" t="inlineStr">
        <is>
          <t>JÄMTLANDS LÄN</t>
        </is>
      </c>
      <c r="E757" t="inlineStr">
        <is>
          <t>RAGUNDA</t>
        </is>
      </c>
      <c r="G757" t="n">
        <v>1.1</v>
      </c>
      <c r="H757" t="n">
        <v>0</v>
      </c>
      <c r="I757" t="n">
        <v>0</v>
      </c>
      <c r="J757" t="n">
        <v>0</v>
      </c>
      <c r="K757" t="n">
        <v>0</v>
      </c>
      <c r="L757" t="n">
        <v>0</v>
      </c>
      <c r="M757" t="n">
        <v>0</v>
      </c>
      <c r="N757" t="n">
        <v>0</v>
      </c>
      <c r="O757" t="n">
        <v>0</v>
      </c>
      <c r="P757" t="n">
        <v>0</v>
      </c>
      <c r="Q757" t="n">
        <v>0</v>
      </c>
      <c r="R757" s="2" t="inlineStr"/>
    </row>
    <row r="758" ht="15" customHeight="1">
      <c r="A758" t="inlineStr">
        <is>
          <t>A 50211-2023</t>
        </is>
      </c>
      <c r="B758" s="1" t="n">
        <v>45215.94657407407</v>
      </c>
      <c r="C758" s="1" t="n">
        <v>46052</v>
      </c>
      <c r="D758" t="inlineStr">
        <is>
          <t>JÄMTLANDS LÄN</t>
        </is>
      </c>
      <c r="E758" t="inlineStr">
        <is>
          <t>RAGUNDA</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55222-2024</t>
        </is>
      </c>
      <c r="B759" s="1" t="n">
        <v>45621.57395833333</v>
      </c>
      <c r="C759" s="1" t="n">
        <v>46052</v>
      </c>
      <c r="D759" t="inlineStr">
        <is>
          <t>JÄMTLANDS LÄN</t>
        </is>
      </c>
      <c r="E759" t="inlineStr">
        <is>
          <t>RAGUNDA</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46211-2024</t>
        </is>
      </c>
      <c r="B760" s="1" t="n">
        <v>45581.55260416667</v>
      </c>
      <c r="C760" s="1" t="n">
        <v>46052</v>
      </c>
      <c r="D760" t="inlineStr">
        <is>
          <t>JÄMTLANDS LÄN</t>
        </is>
      </c>
      <c r="E760" t="inlineStr">
        <is>
          <t>RAGUNDA</t>
        </is>
      </c>
      <c r="G760" t="n">
        <v>7.3</v>
      </c>
      <c r="H760" t="n">
        <v>0</v>
      </c>
      <c r="I760" t="n">
        <v>0</v>
      </c>
      <c r="J760" t="n">
        <v>0</v>
      </c>
      <c r="K760" t="n">
        <v>0</v>
      </c>
      <c r="L760" t="n">
        <v>0</v>
      </c>
      <c r="M760" t="n">
        <v>0</v>
      </c>
      <c r="N760" t="n">
        <v>0</v>
      </c>
      <c r="O760" t="n">
        <v>0</v>
      </c>
      <c r="P760" t="n">
        <v>0</v>
      </c>
      <c r="Q760" t="n">
        <v>0</v>
      </c>
      <c r="R760" s="2" t="inlineStr"/>
    </row>
    <row r="761" ht="15" customHeight="1">
      <c r="A761" t="inlineStr">
        <is>
          <t>A 31435-2022</t>
        </is>
      </c>
      <c r="B761" s="1" t="n">
        <v>44774</v>
      </c>
      <c r="C761" s="1" t="n">
        <v>46052</v>
      </c>
      <c r="D761" t="inlineStr">
        <is>
          <t>JÄMTLANDS LÄN</t>
        </is>
      </c>
      <c r="E761" t="inlineStr">
        <is>
          <t>RAGUNDA</t>
        </is>
      </c>
      <c r="G761" t="n">
        <v>1.6</v>
      </c>
      <c r="H761" t="n">
        <v>0</v>
      </c>
      <c r="I761" t="n">
        <v>0</v>
      </c>
      <c r="J761" t="n">
        <v>0</v>
      </c>
      <c r="K761" t="n">
        <v>0</v>
      </c>
      <c r="L761" t="n">
        <v>0</v>
      </c>
      <c r="M761" t="n">
        <v>0</v>
      </c>
      <c r="N761" t="n">
        <v>0</v>
      </c>
      <c r="O761" t="n">
        <v>0</v>
      </c>
      <c r="P761" t="n">
        <v>0</v>
      </c>
      <c r="Q761" t="n">
        <v>0</v>
      </c>
      <c r="R761" s="2" t="inlineStr"/>
    </row>
    <row r="762" ht="15" customHeight="1">
      <c r="A762" t="inlineStr">
        <is>
          <t>A 9232-2025</t>
        </is>
      </c>
      <c r="B762" s="1" t="n">
        <v>45714.55064814815</v>
      </c>
      <c r="C762" s="1" t="n">
        <v>46052</v>
      </c>
      <c r="D762" t="inlineStr">
        <is>
          <t>JÄMTLANDS LÄN</t>
        </is>
      </c>
      <c r="E762" t="inlineStr">
        <is>
          <t>RAGUNDA</t>
        </is>
      </c>
      <c r="G762" t="n">
        <v>1.9</v>
      </c>
      <c r="H762" t="n">
        <v>0</v>
      </c>
      <c r="I762" t="n">
        <v>0</v>
      </c>
      <c r="J762" t="n">
        <v>0</v>
      </c>
      <c r="K762" t="n">
        <v>0</v>
      </c>
      <c r="L762" t="n">
        <v>0</v>
      </c>
      <c r="M762" t="n">
        <v>0</v>
      </c>
      <c r="N762" t="n">
        <v>0</v>
      </c>
      <c r="O762" t="n">
        <v>0</v>
      </c>
      <c r="P762" t="n">
        <v>0</v>
      </c>
      <c r="Q762" t="n">
        <v>0</v>
      </c>
      <c r="R762" s="2" t="inlineStr"/>
    </row>
    <row r="763" ht="15" customHeight="1">
      <c r="A763" t="inlineStr">
        <is>
          <t>A 39608-2024</t>
        </is>
      </c>
      <c r="B763" s="1" t="n">
        <v>45552.39113425926</v>
      </c>
      <c r="C763" s="1" t="n">
        <v>46052</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39626-2024</t>
        </is>
      </c>
      <c r="B764" s="1" t="n">
        <v>45552.44096064815</v>
      </c>
      <c r="C764" s="1" t="n">
        <v>46052</v>
      </c>
      <c r="D764" t="inlineStr">
        <is>
          <t>JÄMTLANDS LÄN</t>
        </is>
      </c>
      <c r="E764" t="inlineStr">
        <is>
          <t>RAGUNDA</t>
        </is>
      </c>
      <c r="G764" t="n">
        <v>23.5</v>
      </c>
      <c r="H764" t="n">
        <v>0</v>
      </c>
      <c r="I764" t="n">
        <v>0</v>
      </c>
      <c r="J764" t="n">
        <v>0</v>
      </c>
      <c r="K764" t="n">
        <v>0</v>
      </c>
      <c r="L764" t="n">
        <v>0</v>
      </c>
      <c r="M764" t="n">
        <v>0</v>
      </c>
      <c r="N764" t="n">
        <v>0</v>
      </c>
      <c r="O764" t="n">
        <v>0</v>
      </c>
      <c r="P764" t="n">
        <v>0</v>
      </c>
      <c r="Q764" t="n">
        <v>0</v>
      </c>
      <c r="R764" s="2" t="inlineStr"/>
    </row>
    <row r="765" ht="15" customHeight="1">
      <c r="A765" t="inlineStr">
        <is>
          <t>A 29775-2023</t>
        </is>
      </c>
      <c r="B765" s="1" t="n">
        <v>45098</v>
      </c>
      <c r="C765" s="1" t="n">
        <v>46052</v>
      </c>
      <c r="D765" t="inlineStr">
        <is>
          <t>JÄMTLANDS LÄN</t>
        </is>
      </c>
      <c r="E765" t="inlineStr">
        <is>
          <t>RAGUNDA</t>
        </is>
      </c>
      <c r="G765" t="n">
        <v>3.6</v>
      </c>
      <c r="H765" t="n">
        <v>0</v>
      </c>
      <c r="I765" t="n">
        <v>0</v>
      </c>
      <c r="J765" t="n">
        <v>0</v>
      </c>
      <c r="K765" t="n">
        <v>0</v>
      </c>
      <c r="L765" t="n">
        <v>0</v>
      </c>
      <c r="M765" t="n">
        <v>0</v>
      </c>
      <c r="N765" t="n">
        <v>0</v>
      </c>
      <c r="O765" t="n">
        <v>0</v>
      </c>
      <c r="P765" t="n">
        <v>0</v>
      </c>
      <c r="Q765" t="n">
        <v>0</v>
      </c>
      <c r="R765" s="2" t="inlineStr"/>
    </row>
    <row r="766" ht="15" customHeight="1">
      <c r="A766" t="inlineStr">
        <is>
          <t>A 33790-2025</t>
        </is>
      </c>
      <c r="B766" s="1" t="n">
        <v>45842.42608796297</v>
      </c>
      <c r="C766" s="1" t="n">
        <v>46052</v>
      </c>
      <c r="D766" t="inlineStr">
        <is>
          <t>JÄMTLANDS LÄN</t>
        </is>
      </c>
      <c r="E766" t="inlineStr">
        <is>
          <t>RAGUNDA</t>
        </is>
      </c>
      <c r="G766" t="n">
        <v>0.3</v>
      </c>
      <c r="H766" t="n">
        <v>0</v>
      </c>
      <c r="I766" t="n">
        <v>0</v>
      </c>
      <c r="J766" t="n">
        <v>0</v>
      </c>
      <c r="K766" t="n">
        <v>0</v>
      </c>
      <c r="L766" t="n">
        <v>0</v>
      </c>
      <c r="M766" t="n">
        <v>0</v>
      </c>
      <c r="N766" t="n">
        <v>0</v>
      </c>
      <c r="O766" t="n">
        <v>0</v>
      </c>
      <c r="P766" t="n">
        <v>0</v>
      </c>
      <c r="Q766" t="n">
        <v>0</v>
      </c>
      <c r="R766" s="2" t="inlineStr"/>
    </row>
    <row r="767" ht="15" customHeight="1">
      <c r="A767" t="inlineStr">
        <is>
          <t>A 34607-2025</t>
        </is>
      </c>
      <c r="B767" s="1" t="n">
        <v>45847.65703703704</v>
      </c>
      <c r="C767" s="1" t="n">
        <v>46052</v>
      </c>
      <c r="D767" t="inlineStr">
        <is>
          <t>JÄMTLANDS LÄN</t>
        </is>
      </c>
      <c r="E767" t="inlineStr">
        <is>
          <t>RAGUNDA</t>
        </is>
      </c>
      <c r="F767" t="inlineStr">
        <is>
          <t>SCA</t>
        </is>
      </c>
      <c r="G767" t="n">
        <v>31.4</v>
      </c>
      <c r="H767" t="n">
        <v>0</v>
      </c>
      <c r="I767" t="n">
        <v>0</v>
      </c>
      <c r="J767" t="n">
        <v>0</v>
      </c>
      <c r="K767" t="n">
        <v>0</v>
      </c>
      <c r="L767" t="n">
        <v>0</v>
      </c>
      <c r="M767" t="n">
        <v>0</v>
      </c>
      <c r="N767" t="n">
        <v>0</v>
      </c>
      <c r="O767" t="n">
        <v>0</v>
      </c>
      <c r="P767" t="n">
        <v>0</v>
      </c>
      <c r="Q767" t="n">
        <v>0</v>
      </c>
      <c r="R767" s="2" t="inlineStr"/>
    </row>
    <row r="768" ht="15" customHeight="1">
      <c r="A768" t="inlineStr">
        <is>
          <t>A 34461-2025</t>
        </is>
      </c>
      <c r="B768" s="1" t="n">
        <v>45847.34474537037</v>
      </c>
      <c r="C768" s="1" t="n">
        <v>46052</v>
      </c>
      <c r="D768" t="inlineStr">
        <is>
          <t>JÄMTLANDS LÄN</t>
        </is>
      </c>
      <c r="E768" t="inlineStr">
        <is>
          <t>RAGUNDA</t>
        </is>
      </c>
      <c r="F768" t="inlineStr">
        <is>
          <t>SCA</t>
        </is>
      </c>
      <c r="G768" t="n">
        <v>44.8</v>
      </c>
      <c r="H768" t="n">
        <v>0</v>
      </c>
      <c r="I768" t="n">
        <v>0</v>
      </c>
      <c r="J768" t="n">
        <v>0</v>
      </c>
      <c r="K768" t="n">
        <v>0</v>
      </c>
      <c r="L768" t="n">
        <v>0</v>
      </c>
      <c r="M768" t="n">
        <v>0</v>
      </c>
      <c r="N768" t="n">
        <v>0</v>
      </c>
      <c r="O768" t="n">
        <v>0</v>
      </c>
      <c r="P768" t="n">
        <v>0</v>
      </c>
      <c r="Q768" t="n">
        <v>0</v>
      </c>
      <c r="R768" s="2" t="inlineStr"/>
    </row>
    <row r="769" ht="15" customHeight="1">
      <c r="A769" t="inlineStr">
        <is>
          <t>A 34464-2025</t>
        </is>
      </c>
      <c r="B769" s="1" t="n">
        <v>45847.34528935186</v>
      </c>
      <c r="C769" s="1" t="n">
        <v>46052</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56984-2022</t>
        </is>
      </c>
      <c r="B770" s="1" t="n">
        <v>44894.79018518519</v>
      </c>
      <c r="C770" s="1" t="n">
        <v>46052</v>
      </c>
      <c r="D770" t="inlineStr">
        <is>
          <t>JÄMTLANDS LÄN</t>
        </is>
      </c>
      <c r="E770" t="inlineStr">
        <is>
          <t>RAGUNDA</t>
        </is>
      </c>
      <c r="G770" t="n">
        <v>1.4</v>
      </c>
      <c r="H770" t="n">
        <v>0</v>
      </c>
      <c r="I770" t="n">
        <v>0</v>
      </c>
      <c r="J770" t="n">
        <v>0</v>
      </c>
      <c r="K770" t="n">
        <v>0</v>
      </c>
      <c r="L770" t="n">
        <v>0</v>
      </c>
      <c r="M770" t="n">
        <v>0</v>
      </c>
      <c r="N770" t="n">
        <v>0</v>
      </c>
      <c r="O770" t="n">
        <v>0</v>
      </c>
      <c r="P770" t="n">
        <v>0</v>
      </c>
      <c r="Q770" t="n">
        <v>0</v>
      </c>
      <c r="R770" s="2" t="inlineStr"/>
    </row>
    <row r="771" ht="15" customHeight="1">
      <c r="A771" t="inlineStr">
        <is>
          <t>A 34468-2025</t>
        </is>
      </c>
      <c r="B771" s="1" t="n">
        <v>45847.34597222223</v>
      </c>
      <c r="C771" s="1" t="n">
        <v>46052</v>
      </c>
      <c r="D771" t="inlineStr">
        <is>
          <t>JÄMTLANDS LÄN</t>
        </is>
      </c>
      <c r="E771" t="inlineStr">
        <is>
          <t>RAGUNDA</t>
        </is>
      </c>
      <c r="F771" t="inlineStr">
        <is>
          <t>SCA</t>
        </is>
      </c>
      <c r="G771" t="n">
        <v>10</v>
      </c>
      <c r="H771" t="n">
        <v>0</v>
      </c>
      <c r="I771" t="n">
        <v>0</v>
      </c>
      <c r="J771" t="n">
        <v>0</v>
      </c>
      <c r="K771" t="n">
        <v>0</v>
      </c>
      <c r="L771" t="n">
        <v>0</v>
      </c>
      <c r="M771" t="n">
        <v>0</v>
      </c>
      <c r="N771" t="n">
        <v>0</v>
      </c>
      <c r="O771" t="n">
        <v>0</v>
      </c>
      <c r="P771" t="n">
        <v>0</v>
      </c>
      <c r="Q771" t="n">
        <v>0</v>
      </c>
      <c r="R771" s="2" t="inlineStr"/>
    </row>
    <row r="772" ht="15" customHeight="1">
      <c r="A772" t="inlineStr">
        <is>
          <t>A 44494-2024</t>
        </is>
      </c>
      <c r="B772" s="1" t="n">
        <v>45574.39081018518</v>
      </c>
      <c r="C772" s="1" t="n">
        <v>46052</v>
      </c>
      <c r="D772" t="inlineStr">
        <is>
          <t>JÄMTLANDS LÄN</t>
        </is>
      </c>
      <c r="E772" t="inlineStr">
        <is>
          <t>RAGUNDA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34466-2025</t>
        </is>
      </c>
      <c r="B773" s="1" t="n">
        <v>45847.34565972222</v>
      </c>
      <c r="C773" s="1" t="n">
        <v>46052</v>
      </c>
      <c r="D773" t="inlineStr">
        <is>
          <t>JÄMTLANDS LÄN</t>
        </is>
      </c>
      <c r="E773" t="inlineStr">
        <is>
          <t>RAGUNDA</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34463-2025</t>
        </is>
      </c>
      <c r="B774" s="1" t="n">
        <v>45847.34515046296</v>
      </c>
      <c r="C774" s="1" t="n">
        <v>46052</v>
      </c>
      <c r="D774" t="inlineStr">
        <is>
          <t>JÄMTLANDS LÄN</t>
        </is>
      </c>
      <c r="E774" t="inlineStr">
        <is>
          <t>RAGUNDA</t>
        </is>
      </c>
      <c r="F774" t="inlineStr">
        <is>
          <t>SCA</t>
        </is>
      </c>
      <c r="G774" t="n">
        <v>6.1</v>
      </c>
      <c r="H774" t="n">
        <v>0</v>
      </c>
      <c r="I774" t="n">
        <v>0</v>
      </c>
      <c r="J774" t="n">
        <v>0</v>
      </c>
      <c r="K774" t="n">
        <v>0</v>
      </c>
      <c r="L774" t="n">
        <v>0</v>
      </c>
      <c r="M774" t="n">
        <v>0</v>
      </c>
      <c r="N774" t="n">
        <v>0</v>
      </c>
      <c r="O774" t="n">
        <v>0</v>
      </c>
      <c r="P774" t="n">
        <v>0</v>
      </c>
      <c r="Q774" t="n">
        <v>0</v>
      </c>
      <c r="R774" s="2" t="inlineStr"/>
    </row>
    <row r="775" ht="15" customHeight="1">
      <c r="A775" t="inlineStr">
        <is>
          <t>A 13898-2023</t>
        </is>
      </c>
      <c r="B775" s="1" t="n">
        <v>45008.01408564814</v>
      </c>
      <c r="C775" s="1" t="n">
        <v>46052</v>
      </c>
      <c r="D775" t="inlineStr">
        <is>
          <t>JÄMTLANDS LÄN</t>
        </is>
      </c>
      <c r="E775" t="inlineStr">
        <is>
          <t>RAGUNDA</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34586-2025</t>
        </is>
      </c>
      <c r="B776" s="1" t="n">
        <v>45847.61513888889</v>
      </c>
      <c r="C776" s="1" t="n">
        <v>46052</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34588-2025</t>
        </is>
      </c>
      <c r="B777" s="1" t="n">
        <v>45847.61548611111</v>
      </c>
      <c r="C777" s="1" t="n">
        <v>46052</v>
      </c>
      <c r="D777" t="inlineStr">
        <is>
          <t>JÄMTLANDS LÄN</t>
        </is>
      </c>
      <c r="E777" t="inlineStr">
        <is>
          <t>RAGUNDA</t>
        </is>
      </c>
      <c r="G777" t="n">
        <v>32.3</v>
      </c>
      <c r="H777" t="n">
        <v>0</v>
      </c>
      <c r="I777" t="n">
        <v>0</v>
      </c>
      <c r="J777" t="n">
        <v>0</v>
      </c>
      <c r="K777" t="n">
        <v>0</v>
      </c>
      <c r="L777" t="n">
        <v>0</v>
      </c>
      <c r="M777" t="n">
        <v>0</v>
      </c>
      <c r="N777" t="n">
        <v>0</v>
      </c>
      <c r="O777" t="n">
        <v>0</v>
      </c>
      <c r="P777" t="n">
        <v>0</v>
      </c>
      <c r="Q777" t="n">
        <v>0</v>
      </c>
      <c r="R777" s="2" t="inlineStr"/>
    </row>
    <row r="778" ht="15" customHeight="1">
      <c r="A778" t="inlineStr">
        <is>
          <t>A 34296-2025</t>
        </is>
      </c>
      <c r="B778" s="1" t="n">
        <v>45846.34454861111</v>
      </c>
      <c r="C778" s="1" t="n">
        <v>46052</v>
      </c>
      <c r="D778" t="inlineStr">
        <is>
          <t>JÄMTLANDS LÄN</t>
        </is>
      </c>
      <c r="E778" t="inlineStr">
        <is>
          <t>RAGUNDA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13264-2025</t>
        </is>
      </c>
      <c r="B779" s="1" t="n">
        <v>45735</v>
      </c>
      <c r="C779" s="1" t="n">
        <v>46052</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34709-2025</t>
        </is>
      </c>
      <c r="B780" s="1" t="n">
        <v>45848.49761574074</v>
      </c>
      <c r="C780" s="1" t="n">
        <v>46052</v>
      </c>
      <c r="D780" t="inlineStr">
        <is>
          <t>JÄMTLANDS LÄN</t>
        </is>
      </c>
      <c r="E780" t="inlineStr">
        <is>
          <t>RAGUNDA</t>
        </is>
      </c>
      <c r="G780" t="n">
        <v>3.1</v>
      </c>
      <c r="H780" t="n">
        <v>0</v>
      </c>
      <c r="I780" t="n">
        <v>0</v>
      </c>
      <c r="J780" t="n">
        <v>0</v>
      </c>
      <c r="K780" t="n">
        <v>0</v>
      </c>
      <c r="L780" t="n">
        <v>0</v>
      </c>
      <c r="M780" t="n">
        <v>0</v>
      </c>
      <c r="N780" t="n">
        <v>0</v>
      </c>
      <c r="O780" t="n">
        <v>0</v>
      </c>
      <c r="P780" t="n">
        <v>0</v>
      </c>
      <c r="Q780" t="n">
        <v>0</v>
      </c>
      <c r="R780" s="2" t="inlineStr"/>
    </row>
    <row r="781" ht="15" customHeight="1">
      <c r="A781" t="inlineStr">
        <is>
          <t>A 34772-2025</t>
        </is>
      </c>
      <c r="B781" s="1" t="n">
        <v>45848.65658564815</v>
      </c>
      <c r="C781" s="1" t="n">
        <v>46052</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34710-2025</t>
        </is>
      </c>
      <c r="B782" s="1" t="n">
        <v>45848.49774305556</v>
      </c>
      <c r="C782" s="1" t="n">
        <v>46052</v>
      </c>
      <c r="D782" t="inlineStr">
        <is>
          <t>JÄMTLANDS LÄN</t>
        </is>
      </c>
      <c r="E782" t="inlineStr">
        <is>
          <t>RAGUNDA</t>
        </is>
      </c>
      <c r="G782" t="n">
        <v>4.1</v>
      </c>
      <c r="H782" t="n">
        <v>0</v>
      </c>
      <c r="I782" t="n">
        <v>0</v>
      </c>
      <c r="J782" t="n">
        <v>0</v>
      </c>
      <c r="K782" t="n">
        <v>0</v>
      </c>
      <c r="L782" t="n">
        <v>0</v>
      </c>
      <c r="M782" t="n">
        <v>0</v>
      </c>
      <c r="N782" t="n">
        <v>0</v>
      </c>
      <c r="O782" t="n">
        <v>0</v>
      </c>
      <c r="P782" t="n">
        <v>0</v>
      </c>
      <c r="Q782" t="n">
        <v>0</v>
      </c>
      <c r="R782" s="2" t="inlineStr"/>
    </row>
    <row r="783" ht="15" customHeight="1">
      <c r="A783" t="inlineStr">
        <is>
          <t>A 26026-2024</t>
        </is>
      </c>
      <c r="B783" s="1" t="n">
        <v>45467.96207175926</v>
      </c>
      <c r="C783" s="1" t="n">
        <v>46052</v>
      </c>
      <c r="D783" t="inlineStr">
        <is>
          <t>JÄMTLANDS LÄN</t>
        </is>
      </c>
      <c r="E783" t="inlineStr">
        <is>
          <t>RAGUNDA</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5307-2025</t>
        </is>
      </c>
      <c r="B784" s="1" t="n">
        <v>45692.48993055556</v>
      </c>
      <c r="C784" s="1" t="n">
        <v>46052</v>
      </c>
      <c r="D784" t="inlineStr">
        <is>
          <t>JÄMTLANDS LÄN</t>
        </is>
      </c>
      <c r="E784" t="inlineStr">
        <is>
          <t>RAGUNDA</t>
        </is>
      </c>
      <c r="F784" t="inlineStr">
        <is>
          <t>SCA</t>
        </is>
      </c>
      <c r="G784" t="n">
        <v>20.9</v>
      </c>
      <c r="H784" t="n">
        <v>0</v>
      </c>
      <c r="I784" t="n">
        <v>0</v>
      </c>
      <c r="J784" t="n">
        <v>0</v>
      </c>
      <c r="K784" t="n">
        <v>0</v>
      </c>
      <c r="L784" t="n">
        <v>0</v>
      </c>
      <c r="M784" t="n">
        <v>0</v>
      </c>
      <c r="N784" t="n">
        <v>0</v>
      </c>
      <c r="O784" t="n">
        <v>0</v>
      </c>
      <c r="P784" t="n">
        <v>0</v>
      </c>
      <c r="Q784" t="n">
        <v>0</v>
      </c>
      <c r="R784" s="2" t="inlineStr"/>
    </row>
    <row r="785" ht="15" customHeight="1">
      <c r="A785" t="inlineStr">
        <is>
          <t>A 34968-2025</t>
        </is>
      </c>
      <c r="B785" s="1" t="n">
        <v>45849.65663194445</v>
      </c>
      <c r="C785" s="1" t="n">
        <v>46052</v>
      </c>
      <c r="D785" t="inlineStr">
        <is>
          <t>JÄMTLANDS LÄN</t>
        </is>
      </c>
      <c r="E785" t="inlineStr">
        <is>
          <t>RAGUNDA</t>
        </is>
      </c>
      <c r="F785" t="inlineStr">
        <is>
          <t>SCA</t>
        </is>
      </c>
      <c r="G785" t="n">
        <v>20.2</v>
      </c>
      <c r="H785" t="n">
        <v>0</v>
      </c>
      <c r="I785" t="n">
        <v>0</v>
      </c>
      <c r="J785" t="n">
        <v>0</v>
      </c>
      <c r="K785" t="n">
        <v>0</v>
      </c>
      <c r="L785" t="n">
        <v>0</v>
      </c>
      <c r="M785" t="n">
        <v>0</v>
      </c>
      <c r="N785" t="n">
        <v>0</v>
      </c>
      <c r="O785" t="n">
        <v>0</v>
      </c>
      <c r="P785" t="n">
        <v>0</v>
      </c>
      <c r="Q785" t="n">
        <v>0</v>
      </c>
      <c r="R785" s="2" t="inlineStr"/>
    </row>
    <row r="786" ht="15" customHeight="1">
      <c r="A786" t="inlineStr">
        <is>
          <t>A 38548-2024</t>
        </is>
      </c>
      <c r="B786" s="1" t="n">
        <v>45546</v>
      </c>
      <c r="C786" s="1" t="n">
        <v>46052</v>
      </c>
      <c r="D786" t="inlineStr">
        <is>
          <t>JÄMTLANDS LÄN</t>
        </is>
      </c>
      <c r="E786" t="inlineStr">
        <is>
          <t>RAGUNDA</t>
        </is>
      </c>
      <c r="G786" t="n">
        <v>1.4</v>
      </c>
      <c r="H786" t="n">
        <v>0</v>
      </c>
      <c r="I786" t="n">
        <v>0</v>
      </c>
      <c r="J786" t="n">
        <v>0</v>
      </c>
      <c r="K786" t="n">
        <v>0</v>
      </c>
      <c r="L786" t="n">
        <v>0</v>
      </c>
      <c r="M786" t="n">
        <v>0</v>
      </c>
      <c r="N786" t="n">
        <v>0</v>
      </c>
      <c r="O786" t="n">
        <v>0</v>
      </c>
      <c r="P786" t="n">
        <v>0</v>
      </c>
      <c r="Q786" t="n">
        <v>0</v>
      </c>
      <c r="R786" s="2" t="inlineStr"/>
    </row>
    <row r="787" ht="15" customHeight="1">
      <c r="A787" t="inlineStr">
        <is>
          <t>A 2411-2023</t>
        </is>
      </c>
      <c r="B787" s="1" t="n">
        <v>44942</v>
      </c>
      <c r="C787" s="1" t="n">
        <v>46052</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34998-2025</t>
        </is>
      </c>
      <c r="B788" s="1" t="n">
        <v>45850.34434027778</v>
      </c>
      <c r="C788" s="1" t="n">
        <v>46052</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34999-2025</t>
        </is>
      </c>
      <c r="B789" s="1" t="n">
        <v>45850.34450231482</v>
      </c>
      <c r="C789" s="1" t="n">
        <v>46052</v>
      </c>
      <c r="D789" t="inlineStr">
        <is>
          <t>JÄMTLANDS LÄN</t>
        </is>
      </c>
      <c r="E789" t="inlineStr">
        <is>
          <t>RAGUNDA</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13935-2024</t>
        </is>
      </c>
      <c r="B790" s="1" t="n">
        <v>45391.95329861111</v>
      </c>
      <c r="C790" s="1" t="n">
        <v>46052</v>
      </c>
      <c r="D790" t="inlineStr">
        <is>
          <t>JÄMTLANDS LÄN</t>
        </is>
      </c>
      <c r="E790" t="inlineStr">
        <is>
          <t>RAGUNDA</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5429-2024</t>
        </is>
      </c>
      <c r="B791" s="1" t="n">
        <v>45331.92746527777</v>
      </c>
      <c r="C791" s="1" t="n">
        <v>46052</v>
      </c>
      <c r="D791" t="inlineStr">
        <is>
          <t>JÄMTLANDS LÄN</t>
        </is>
      </c>
      <c r="E791" t="inlineStr">
        <is>
          <t>RAGUNDA</t>
        </is>
      </c>
      <c r="G791" t="n">
        <v>1.1</v>
      </c>
      <c r="H791" t="n">
        <v>0</v>
      </c>
      <c r="I791" t="n">
        <v>0</v>
      </c>
      <c r="J791" t="n">
        <v>0</v>
      </c>
      <c r="K791" t="n">
        <v>0</v>
      </c>
      <c r="L791" t="n">
        <v>0</v>
      </c>
      <c r="M791" t="n">
        <v>0</v>
      </c>
      <c r="N791" t="n">
        <v>0</v>
      </c>
      <c r="O791" t="n">
        <v>0</v>
      </c>
      <c r="P791" t="n">
        <v>0</v>
      </c>
      <c r="Q791" t="n">
        <v>0</v>
      </c>
      <c r="R791" s="2" t="inlineStr"/>
    </row>
    <row r="792" ht="15" customHeight="1">
      <c r="A792" t="inlineStr">
        <is>
          <t>A 5308-2025</t>
        </is>
      </c>
      <c r="B792" s="1" t="n">
        <v>45692.49008101852</v>
      </c>
      <c r="C792" s="1" t="n">
        <v>46052</v>
      </c>
      <c r="D792" t="inlineStr">
        <is>
          <t>JÄMTLANDS LÄN</t>
        </is>
      </c>
      <c r="E792" t="inlineStr">
        <is>
          <t>RAGUNDA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35092-2025</t>
        </is>
      </c>
      <c r="B793" s="1" t="n">
        <v>45852.53185185185</v>
      </c>
      <c r="C793" s="1" t="n">
        <v>46052</v>
      </c>
      <c r="D793" t="inlineStr">
        <is>
          <t>JÄMTLANDS LÄN</t>
        </is>
      </c>
      <c r="E793" t="inlineStr">
        <is>
          <t>RAGUNDA</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58194-2022</t>
        </is>
      </c>
      <c r="B794" s="1" t="n">
        <v>44900</v>
      </c>
      <c r="C794" s="1" t="n">
        <v>46052</v>
      </c>
      <c r="D794" t="inlineStr">
        <is>
          <t>JÄMTLANDS LÄN</t>
        </is>
      </c>
      <c r="E794" t="inlineStr">
        <is>
          <t>RAGUNDA</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35091-2025</t>
        </is>
      </c>
      <c r="B795" s="1" t="n">
        <v>45852.53168981482</v>
      </c>
      <c r="C795" s="1" t="n">
        <v>46052</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3720-2025</t>
        </is>
      </c>
      <c r="B796" s="1" t="n">
        <v>45681.5315625</v>
      </c>
      <c r="C796" s="1" t="n">
        <v>46052</v>
      </c>
      <c r="D796" t="inlineStr">
        <is>
          <t>JÄMTLANDS LÄN</t>
        </is>
      </c>
      <c r="E796" t="inlineStr">
        <is>
          <t>RAGUNDA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39947-2025</t>
        </is>
      </c>
      <c r="B797" s="1" t="n">
        <v>45892.34438657408</v>
      </c>
      <c r="C797" s="1" t="n">
        <v>46052</v>
      </c>
      <c r="D797" t="inlineStr">
        <is>
          <t>JÄMTLANDS LÄN</t>
        </is>
      </c>
      <c r="E797" t="inlineStr">
        <is>
          <t>RAGUNDA</t>
        </is>
      </c>
      <c r="G797" t="n">
        <v>6.6</v>
      </c>
      <c r="H797" t="n">
        <v>0</v>
      </c>
      <c r="I797" t="n">
        <v>0</v>
      </c>
      <c r="J797" t="n">
        <v>0</v>
      </c>
      <c r="K797" t="n">
        <v>0</v>
      </c>
      <c r="L797" t="n">
        <v>0</v>
      </c>
      <c r="M797" t="n">
        <v>0</v>
      </c>
      <c r="N797" t="n">
        <v>0</v>
      </c>
      <c r="O797" t="n">
        <v>0</v>
      </c>
      <c r="P797" t="n">
        <v>0</v>
      </c>
      <c r="Q797" t="n">
        <v>0</v>
      </c>
      <c r="R797" s="2" t="inlineStr"/>
    </row>
    <row r="798" ht="15" customHeight="1">
      <c r="A798" t="inlineStr">
        <is>
          <t>A 39951-2025</t>
        </is>
      </c>
      <c r="B798" s="1" t="n">
        <v>45892.38657407407</v>
      </c>
      <c r="C798" s="1" t="n">
        <v>46052</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3770-2025</t>
        </is>
      </c>
      <c r="B799" s="1" t="n">
        <v>45681.6050925926</v>
      </c>
      <c r="C799" s="1" t="n">
        <v>46052</v>
      </c>
      <c r="D799" t="inlineStr">
        <is>
          <t>JÄMTLANDS LÄN</t>
        </is>
      </c>
      <c r="E799" t="inlineStr">
        <is>
          <t>RAGUNDA</t>
        </is>
      </c>
      <c r="G799" t="n">
        <v>2.7</v>
      </c>
      <c r="H799" t="n">
        <v>0</v>
      </c>
      <c r="I799" t="n">
        <v>0</v>
      </c>
      <c r="J799" t="n">
        <v>0</v>
      </c>
      <c r="K799" t="n">
        <v>0</v>
      </c>
      <c r="L799" t="n">
        <v>0</v>
      </c>
      <c r="M799" t="n">
        <v>0</v>
      </c>
      <c r="N799" t="n">
        <v>0</v>
      </c>
      <c r="O799" t="n">
        <v>0</v>
      </c>
      <c r="P799" t="n">
        <v>0</v>
      </c>
      <c r="Q799" t="n">
        <v>0</v>
      </c>
      <c r="R799" s="2" t="inlineStr"/>
    </row>
    <row r="800" ht="15" customHeight="1">
      <c r="A800" t="inlineStr">
        <is>
          <t>A 39948-2025</t>
        </is>
      </c>
      <c r="B800" s="1" t="n">
        <v>45892.38591435185</v>
      </c>
      <c r="C800" s="1" t="n">
        <v>46052</v>
      </c>
      <c r="D800" t="inlineStr">
        <is>
          <t>JÄMTLANDS LÄN</t>
        </is>
      </c>
      <c r="E800" t="inlineStr">
        <is>
          <t>RAGUNDA</t>
        </is>
      </c>
      <c r="G800" t="n">
        <v>5</v>
      </c>
      <c r="H800" t="n">
        <v>0</v>
      </c>
      <c r="I800" t="n">
        <v>0</v>
      </c>
      <c r="J800" t="n">
        <v>0</v>
      </c>
      <c r="K800" t="n">
        <v>0</v>
      </c>
      <c r="L800" t="n">
        <v>0</v>
      </c>
      <c r="M800" t="n">
        <v>0</v>
      </c>
      <c r="N800" t="n">
        <v>0</v>
      </c>
      <c r="O800" t="n">
        <v>0</v>
      </c>
      <c r="P800" t="n">
        <v>0</v>
      </c>
      <c r="Q800" t="n">
        <v>0</v>
      </c>
      <c r="R800" s="2" t="inlineStr"/>
    </row>
    <row r="801" ht="15" customHeight="1">
      <c r="A801" t="inlineStr">
        <is>
          <t>A 24171-2021</t>
        </is>
      </c>
      <c r="B801" s="1" t="n">
        <v>44336</v>
      </c>
      <c r="C801" s="1" t="n">
        <v>46052</v>
      </c>
      <c r="D801" t="inlineStr">
        <is>
          <t>JÄMTLANDS LÄN</t>
        </is>
      </c>
      <c r="E801" t="inlineStr">
        <is>
          <t>RAGUNDA</t>
        </is>
      </c>
      <c r="G801" t="n">
        <v>3.6</v>
      </c>
      <c r="H801" t="n">
        <v>0</v>
      </c>
      <c r="I801" t="n">
        <v>0</v>
      </c>
      <c r="J801" t="n">
        <v>0</v>
      </c>
      <c r="K801" t="n">
        <v>0</v>
      </c>
      <c r="L801" t="n">
        <v>0</v>
      </c>
      <c r="M801" t="n">
        <v>0</v>
      </c>
      <c r="N801" t="n">
        <v>0</v>
      </c>
      <c r="O801" t="n">
        <v>0</v>
      </c>
      <c r="P801" t="n">
        <v>0</v>
      </c>
      <c r="Q801" t="n">
        <v>0</v>
      </c>
      <c r="R801" s="2" t="inlineStr"/>
    </row>
    <row r="802" ht="15" customHeight="1">
      <c r="A802" t="inlineStr">
        <is>
          <t>A 39946-2025</t>
        </is>
      </c>
      <c r="B802" s="1" t="n">
        <v>45892.34423611111</v>
      </c>
      <c r="C802" s="1" t="n">
        <v>46052</v>
      </c>
      <c r="D802" t="inlineStr">
        <is>
          <t>JÄMTLANDS LÄN</t>
        </is>
      </c>
      <c r="E802" t="inlineStr">
        <is>
          <t>RAGUNDA</t>
        </is>
      </c>
      <c r="G802" t="n">
        <v>4.7</v>
      </c>
      <c r="H802" t="n">
        <v>0</v>
      </c>
      <c r="I802" t="n">
        <v>0</v>
      </c>
      <c r="J802" t="n">
        <v>0</v>
      </c>
      <c r="K802" t="n">
        <v>0</v>
      </c>
      <c r="L802" t="n">
        <v>0</v>
      </c>
      <c r="M802" t="n">
        <v>0</v>
      </c>
      <c r="N802" t="n">
        <v>0</v>
      </c>
      <c r="O802" t="n">
        <v>0</v>
      </c>
      <c r="P802" t="n">
        <v>0</v>
      </c>
      <c r="Q802" t="n">
        <v>0</v>
      </c>
      <c r="R802" s="2" t="inlineStr"/>
    </row>
    <row r="803" ht="15" customHeight="1">
      <c r="A803" t="inlineStr">
        <is>
          <t>A 39950-2025</t>
        </is>
      </c>
      <c r="B803" s="1" t="n">
        <v>45892.38641203703</v>
      </c>
      <c r="C803" s="1" t="n">
        <v>46052</v>
      </c>
      <c r="D803" t="inlineStr">
        <is>
          <t>JÄMTLANDS LÄN</t>
        </is>
      </c>
      <c r="E803" t="inlineStr">
        <is>
          <t>RAGUNDA</t>
        </is>
      </c>
      <c r="G803" t="n">
        <v>1.1</v>
      </c>
      <c r="H803" t="n">
        <v>0</v>
      </c>
      <c r="I803" t="n">
        <v>0</v>
      </c>
      <c r="J803" t="n">
        <v>0</v>
      </c>
      <c r="K803" t="n">
        <v>0</v>
      </c>
      <c r="L803" t="n">
        <v>0</v>
      </c>
      <c r="M803" t="n">
        <v>0</v>
      </c>
      <c r="N803" t="n">
        <v>0</v>
      </c>
      <c r="O803" t="n">
        <v>0</v>
      </c>
      <c r="P803" t="n">
        <v>0</v>
      </c>
      <c r="Q803" t="n">
        <v>0</v>
      </c>
      <c r="R803" s="2" t="inlineStr"/>
    </row>
    <row r="804" ht="15" customHeight="1">
      <c r="A804" t="inlineStr">
        <is>
          <t>A 39955-2025</t>
        </is>
      </c>
      <c r="B804" s="1" t="n">
        <v>45892.44824074074</v>
      </c>
      <c r="C804" s="1" t="n">
        <v>46052</v>
      </c>
      <c r="D804" t="inlineStr">
        <is>
          <t>JÄMTLANDS LÄN</t>
        </is>
      </c>
      <c r="E804" t="inlineStr">
        <is>
          <t>RAGUNDA</t>
        </is>
      </c>
      <c r="G804" t="n">
        <v>1.4</v>
      </c>
      <c r="H804" t="n">
        <v>0</v>
      </c>
      <c r="I804" t="n">
        <v>0</v>
      </c>
      <c r="J804" t="n">
        <v>0</v>
      </c>
      <c r="K804" t="n">
        <v>0</v>
      </c>
      <c r="L804" t="n">
        <v>0</v>
      </c>
      <c r="M804" t="n">
        <v>0</v>
      </c>
      <c r="N804" t="n">
        <v>0</v>
      </c>
      <c r="O804" t="n">
        <v>0</v>
      </c>
      <c r="P804" t="n">
        <v>0</v>
      </c>
      <c r="Q804" t="n">
        <v>0</v>
      </c>
      <c r="R804" s="2" t="inlineStr"/>
    </row>
    <row r="805" ht="15" customHeight="1">
      <c r="A805" t="inlineStr">
        <is>
          <t>A 39956-2025</t>
        </is>
      </c>
      <c r="B805" s="1" t="n">
        <v>45892.44840277778</v>
      </c>
      <c r="C805" s="1" t="n">
        <v>46052</v>
      </c>
      <c r="D805" t="inlineStr">
        <is>
          <t>JÄMTLANDS LÄN</t>
        </is>
      </c>
      <c r="E805" t="inlineStr">
        <is>
          <t>RAGUNDA</t>
        </is>
      </c>
      <c r="G805" t="n">
        <v>3.6</v>
      </c>
      <c r="H805" t="n">
        <v>0</v>
      </c>
      <c r="I805" t="n">
        <v>0</v>
      </c>
      <c r="J805" t="n">
        <v>0</v>
      </c>
      <c r="K805" t="n">
        <v>0</v>
      </c>
      <c r="L805" t="n">
        <v>0</v>
      </c>
      <c r="M805" t="n">
        <v>0</v>
      </c>
      <c r="N805" t="n">
        <v>0</v>
      </c>
      <c r="O805" t="n">
        <v>0</v>
      </c>
      <c r="P805" t="n">
        <v>0</v>
      </c>
      <c r="Q805" t="n">
        <v>0</v>
      </c>
      <c r="R805" s="2" t="inlineStr"/>
    </row>
    <row r="806" ht="15" customHeight="1">
      <c r="A806" t="inlineStr">
        <is>
          <t>A 35462-2025</t>
        </is>
      </c>
      <c r="B806" s="1" t="n">
        <v>45855.61523148148</v>
      </c>
      <c r="C806" s="1" t="n">
        <v>46052</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35355-2025</t>
        </is>
      </c>
      <c r="B807" s="1" t="n">
        <v>45854.65663194445</v>
      </c>
      <c r="C807" s="1" t="n">
        <v>46052</v>
      </c>
      <c r="D807" t="inlineStr">
        <is>
          <t>JÄMTLANDS LÄN</t>
        </is>
      </c>
      <c r="E807" t="inlineStr">
        <is>
          <t>RAGUNDA</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35477-2025</t>
        </is>
      </c>
      <c r="B808" s="1" t="n">
        <v>45855.67899305555</v>
      </c>
      <c r="C808" s="1" t="n">
        <v>46052</v>
      </c>
      <c r="D808" t="inlineStr">
        <is>
          <t>JÄMTLANDS LÄN</t>
        </is>
      </c>
      <c r="E808" t="inlineStr">
        <is>
          <t>RAGUNDA</t>
        </is>
      </c>
      <c r="G808" t="n">
        <v>3.6</v>
      </c>
      <c r="H808" t="n">
        <v>0</v>
      </c>
      <c r="I808" t="n">
        <v>0</v>
      </c>
      <c r="J808" t="n">
        <v>0</v>
      </c>
      <c r="K808" t="n">
        <v>0</v>
      </c>
      <c r="L808" t="n">
        <v>0</v>
      </c>
      <c r="M808" t="n">
        <v>0</v>
      </c>
      <c r="N808" t="n">
        <v>0</v>
      </c>
      <c r="O808" t="n">
        <v>0</v>
      </c>
      <c r="P808" t="n">
        <v>0</v>
      </c>
      <c r="Q808" t="n">
        <v>0</v>
      </c>
      <c r="R808" s="2" t="inlineStr"/>
    </row>
    <row r="809" ht="15" customHeight="1">
      <c r="A809" t="inlineStr">
        <is>
          <t>A 51579-2024</t>
        </is>
      </c>
      <c r="B809" s="1" t="n">
        <v>45604.63575231482</v>
      </c>
      <c r="C809" s="1" t="n">
        <v>46052</v>
      </c>
      <c r="D809" t="inlineStr">
        <is>
          <t>JÄMTLANDS LÄN</t>
        </is>
      </c>
      <c r="E809" t="inlineStr">
        <is>
          <t>RAGUNDA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58843-2024</t>
        </is>
      </c>
      <c r="B810" s="1" t="n">
        <v>45636.38599537037</v>
      </c>
      <c r="C810" s="1" t="n">
        <v>46052</v>
      </c>
      <c r="D810" t="inlineStr">
        <is>
          <t>JÄMTLANDS LÄN</t>
        </is>
      </c>
      <c r="E810" t="inlineStr">
        <is>
          <t>RAGUNDA</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8775-2025</t>
        </is>
      </c>
      <c r="B811" s="1" t="n">
        <v>45712.61502314815</v>
      </c>
      <c r="C811" s="1" t="n">
        <v>46052</v>
      </c>
      <c r="D811" t="inlineStr">
        <is>
          <t>JÄMTLANDS LÄN</t>
        </is>
      </c>
      <c r="E811" t="inlineStr">
        <is>
          <t>RAGUNDA</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39949-2025</t>
        </is>
      </c>
      <c r="B812" s="1" t="n">
        <v>45892.38619212963</v>
      </c>
      <c r="C812" s="1" t="n">
        <v>46052</v>
      </c>
      <c r="D812" t="inlineStr">
        <is>
          <t>JÄMTLANDS LÄN</t>
        </is>
      </c>
      <c r="E812" t="inlineStr">
        <is>
          <t>RAGUNDA</t>
        </is>
      </c>
      <c r="G812" t="n">
        <v>1.4</v>
      </c>
      <c r="H812" t="n">
        <v>0</v>
      </c>
      <c r="I812" t="n">
        <v>0</v>
      </c>
      <c r="J812" t="n">
        <v>0</v>
      </c>
      <c r="K812" t="n">
        <v>0</v>
      </c>
      <c r="L812" t="n">
        <v>0</v>
      </c>
      <c r="M812" t="n">
        <v>0</v>
      </c>
      <c r="N812" t="n">
        <v>0</v>
      </c>
      <c r="O812" t="n">
        <v>0</v>
      </c>
      <c r="P812" t="n">
        <v>0</v>
      </c>
      <c r="Q812" t="n">
        <v>0</v>
      </c>
      <c r="R812" s="2" t="inlineStr"/>
    </row>
    <row r="813" ht="15" customHeight="1">
      <c r="A813" t="inlineStr">
        <is>
          <t>A 35541-2025</t>
        </is>
      </c>
      <c r="B813" s="1" t="n">
        <v>45856.46931712963</v>
      </c>
      <c r="C813" s="1" t="n">
        <v>46052</v>
      </c>
      <c r="D813" t="inlineStr">
        <is>
          <t>JÄMTLANDS LÄN</t>
        </is>
      </c>
      <c r="E813" t="inlineStr">
        <is>
          <t>RAGUNDA</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2339-2025</t>
        </is>
      </c>
      <c r="B814" s="1" t="n">
        <v>45673.66358796296</v>
      </c>
      <c r="C814" s="1" t="n">
        <v>46052</v>
      </c>
      <c r="D814" t="inlineStr">
        <is>
          <t>JÄMTLANDS LÄN</t>
        </is>
      </c>
      <c r="E814" t="inlineStr">
        <is>
          <t>RAGUNDA</t>
        </is>
      </c>
      <c r="G814" t="n">
        <v>5</v>
      </c>
      <c r="H814" t="n">
        <v>0</v>
      </c>
      <c r="I814" t="n">
        <v>0</v>
      </c>
      <c r="J814" t="n">
        <v>0</v>
      </c>
      <c r="K814" t="n">
        <v>0</v>
      </c>
      <c r="L814" t="n">
        <v>0</v>
      </c>
      <c r="M814" t="n">
        <v>0</v>
      </c>
      <c r="N814" t="n">
        <v>0</v>
      </c>
      <c r="O814" t="n">
        <v>0</v>
      </c>
      <c r="P814" t="n">
        <v>0</v>
      </c>
      <c r="Q814" t="n">
        <v>0</v>
      </c>
      <c r="R814" s="2" t="inlineStr"/>
    </row>
    <row r="815" ht="15" customHeight="1">
      <c r="A815" t="inlineStr">
        <is>
          <t>A 35658-2025</t>
        </is>
      </c>
      <c r="B815" s="1" t="n">
        <v>45859.594375</v>
      </c>
      <c r="C815" s="1" t="n">
        <v>46052</v>
      </c>
      <c r="D815" t="inlineStr">
        <is>
          <t>JÄMTLANDS LÄN</t>
        </is>
      </c>
      <c r="E815" t="inlineStr">
        <is>
          <t>RAGUNDA</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27499-2024</t>
        </is>
      </c>
      <c r="B816" s="1" t="n">
        <v>45474.50608796296</v>
      </c>
      <c r="C816" s="1" t="n">
        <v>46052</v>
      </c>
      <c r="D816" t="inlineStr">
        <is>
          <t>JÄMTLANDS LÄN</t>
        </is>
      </c>
      <c r="E816" t="inlineStr">
        <is>
          <t>RAGUNDA</t>
        </is>
      </c>
      <c r="G816" t="n">
        <v>1.3</v>
      </c>
      <c r="H816" t="n">
        <v>0</v>
      </c>
      <c r="I816" t="n">
        <v>0</v>
      </c>
      <c r="J816" t="n">
        <v>0</v>
      </c>
      <c r="K816" t="n">
        <v>0</v>
      </c>
      <c r="L816" t="n">
        <v>0</v>
      </c>
      <c r="M816" t="n">
        <v>0</v>
      </c>
      <c r="N816" t="n">
        <v>0</v>
      </c>
      <c r="O816" t="n">
        <v>0</v>
      </c>
      <c r="P816" t="n">
        <v>0</v>
      </c>
      <c r="Q816" t="n">
        <v>0</v>
      </c>
      <c r="R816" s="2" t="inlineStr"/>
    </row>
    <row r="817" ht="15" customHeight="1">
      <c r="A817" t="inlineStr">
        <is>
          <t>A 57078-2023</t>
        </is>
      </c>
      <c r="B817" s="1" t="n">
        <v>45244.96774305555</v>
      </c>
      <c r="C817" s="1" t="n">
        <v>46052</v>
      </c>
      <c r="D817" t="inlineStr">
        <is>
          <t>JÄMTLANDS LÄN</t>
        </is>
      </c>
      <c r="E817" t="inlineStr">
        <is>
          <t>RAGUNDA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59368-2022</t>
        </is>
      </c>
      <c r="B818" s="1" t="n">
        <v>44904.94824074074</v>
      </c>
      <c r="C818" s="1" t="n">
        <v>46052</v>
      </c>
      <c r="D818" t="inlineStr">
        <is>
          <t>JÄMTLANDS LÄN</t>
        </is>
      </c>
      <c r="E818" t="inlineStr">
        <is>
          <t>RAGUNDA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53287-2022</t>
        </is>
      </c>
      <c r="B819" s="1" t="n">
        <v>44876</v>
      </c>
      <c r="C819" s="1" t="n">
        <v>46052</v>
      </c>
      <c r="D819" t="inlineStr">
        <is>
          <t>JÄMTLANDS LÄN</t>
        </is>
      </c>
      <c r="E819" t="inlineStr">
        <is>
          <t>RAGUNDA</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35689-2025</t>
        </is>
      </c>
      <c r="B820" s="1" t="n">
        <v>45860.30229166667</v>
      </c>
      <c r="C820" s="1" t="n">
        <v>46052</v>
      </c>
      <c r="D820" t="inlineStr">
        <is>
          <t>JÄMTLANDS LÄN</t>
        </is>
      </c>
      <c r="E820" t="inlineStr">
        <is>
          <t>RAGUNDA</t>
        </is>
      </c>
      <c r="G820" t="n">
        <v>1.9</v>
      </c>
      <c r="H820" t="n">
        <v>0</v>
      </c>
      <c r="I820" t="n">
        <v>0</v>
      </c>
      <c r="J820" t="n">
        <v>0</v>
      </c>
      <c r="K820" t="n">
        <v>0</v>
      </c>
      <c r="L820" t="n">
        <v>0</v>
      </c>
      <c r="M820" t="n">
        <v>0</v>
      </c>
      <c r="N820" t="n">
        <v>0</v>
      </c>
      <c r="O820" t="n">
        <v>0</v>
      </c>
      <c r="P820" t="n">
        <v>0</v>
      </c>
      <c r="Q820" t="n">
        <v>0</v>
      </c>
      <c r="R820" s="2" t="inlineStr"/>
    </row>
    <row r="821" ht="15" customHeight="1">
      <c r="A821" t="inlineStr">
        <is>
          <t>A 6801-2023</t>
        </is>
      </c>
      <c r="B821" s="1" t="n">
        <v>44966.95328703704</v>
      </c>
      <c r="C821" s="1" t="n">
        <v>46052</v>
      </c>
      <c r="D821" t="inlineStr">
        <is>
          <t>JÄMTLANDS LÄN</t>
        </is>
      </c>
      <c r="E821" t="inlineStr">
        <is>
          <t>RAGUNDA</t>
        </is>
      </c>
      <c r="F821" t="inlineStr">
        <is>
          <t>SCA</t>
        </is>
      </c>
      <c r="G821" t="n">
        <v>10.6</v>
      </c>
      <c r="H821" t="n">
        <v>0</v>
      </c>
      <c r="I821" t="n">
        <v>0</v>
      </c>
      <c r="J821" t="n">
        <v>0</v>
      </c>
      <c r="K821" t="n">
        <v>0</v>
      </c>
      <c r="L821" t="n">
        <v>0</v>
      </c>
      <c r="M821" t="n">
        <v>0</v>
      </c>
      <c r="N821" t="n">
        <v>0</v>
      </c>
      <c r="O821" t="n">
        <v>0</v>
      </c>
      <c r="P821" t="n">
        <v>0</v>
      </c>
      <c r="Q821" t="n">
        <v>0</v>
      </c>
      <c r="R821" s="2" t="inlineStr"/>
    </row>
    <row r="822" ht="15" customHeight="1">
      <c r="A822" t="inlineStr">
        <is>
          <t>A 16320-2025</t>
        </is>
      </c>
      <c r="B822" s="1" t="n">
        <v>45751.34859953704</v>
      </c>
      <c r="C822" s="1" t="n">
        <v>46052</v>
      </c>
      <c r="D822" t="inlineStr">
        <is>
          <t>JÄMTLANDS LÄN</t>
        </is>
      </c>
      <c r="E822" t="inlineStr">
        <is>
          <t>RAGUNDA</t>
        </is>
      </c>
      <c r="F822" t="inlineStr">
        <is>
          <t>SCA</t>
        </is>
      </c>
      <c r="G822" t="n">
        <v>16.2</v>
      </c>
      <c r="H822" t="n">
        <v>0</v>
      </c>
      <c r="I822" t="n">
        <v>0</v>
      </c>
      <c r="J822" t="n">
        <v>0</v>
      </c>
      <c r="K822" t="n">
        <v>0</v>
      </c>
      <c r="L822" t="n">
        <v>0</v>
      </c>
      <c r="M822" t="n">
        <v>0</v>
      </c>
      <c r="N822" t="n">
        <v>0</v>
      </c>
      <c r="O822" t="n">
        <v>0</v>
      </c>
      <c r="P822" t="n">
        <v>0</v>
      </c>
      <c r="Q822" t="n">
        <v>0</v>
      </c>
      <c r="R822" s="2" t="inlineStr"/>
    </row>
    <row r="823" ht="15" customHeight="1">
      <c r="A823" t="inlineStr">
        <is>
          <t>A 16321-2025</t>
        </is>
      </c>
      <c r="B823" s="1" t="n">
        <v>45751.34873842593</v>
      </c>
      <c r="C823" s="1" t="n">
        <v>46052</v>
      </c>
      <c r="D823" t="inlineStr">
        <is>
          <t>JÄMTLANDS LÄN</t>
        </is>
      </c>
      <c r="E823" t="inlineStr">
        <is>
          <t>RAGUNDA</t>
        </is>
      </c>
      <c r="F823" t="inlineStr">
        <is>
          <t>SCA</t>
        </is>
      </c>
      <c r="G823" t="n">
        <v>63.3</v>
      </c>
      <c r="H823" t="n">
        <v>0</v>
      </c>
      <c r="I823" t="n">
        <v>0</v>
      </c>
      <c r="J823" t="n">
        <v>0</v>
      </c>
      <c r="K823" t="n">
        <v>0</v>
      </c>
      <c r="L823" t="n">
        <v>0</v>
      </c>
      <c r="M823" t="n">
        <v>0</v>
      </c>
      <c r="N823" t="n">
        <v>0</v>
      </c>
      <c r="O823" t="n">
        <v>0</v>
      </c>
      <c r="P823" t="n">
        <v>0</v>
      </c>
      <c r="Q823" t="n">
        <v>0</v>
      </c>
      <c r="R823" s="2" t="inlineStr"/>
    </row>
    <row r="824" ht="15" customHeight="1">
      <c r="A824" t="inlineStr">
        <is>
          <t>A 41656-2023</t>
        </is>
      </c>
      <c r="B824" s="1" t="n">
        <v>45175</v>
      </c>
      <c r="C824" s="1" t="n">
        <v>46052</v>
      </c>
      <c r="D824" t="inlineStr">
        <is>
          <t>JÄMTLANDS LÄN</t>
        </is>
      </c>
      <c r="E824" t="inlineStr">
        <is>
          <t>RAGUNDA</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51646-2023</t>
        </is>
      </c>
      <c r="B825" s="1" t="n">
        <v>45215</v>
      </c>
      <c r="C825" s="1" t="n">
        <v>46052</v>
      </c>
      <c r="D825" t="inlineStr">
        <is>
          <t>JÄMTLANDS LÄN</t>
        </is>
      </c>
      <c r="E825" t="inlineStr">
        <is>
          <t>RAGUNDA</t>
        </is>
      </c>
      <c r="G825" t="n">
        <v>0.7</v>
      </c>
      <c r="H825" t="n">
        <v>0</v>
      </c>
      <c r="I825" t="n">
        <v>0</v>
      </c>
      <c r="J825" t="n">
        <v>0</v>
      </c>
      <c r="K825" t="n">
        <v>0</v>
      </c>
      <c r="L825" t="n">
        <v>0</v>
      </c>
      <c r="M825" t="n">
        <v>0</v>
      </c>
      <c r="N825" t="n">
        <v>0</v>
      </c>
      <c r="O825" t="n">
        <v>0</v>
      </c>
      <c r="P825" t="n">
        <v>0</v>
      </c>
      <c r="Q825" t="n">
        <v>0</v>
      </c>
      <c r="R825" s="2" t="inlineStr"/>
    </row>
    <row r="826" ht="15" customHeight="1">
      <c r="A826" t="inlineStr">
        <is>
          <t>A 14696-2022</t>
        </is>
      </c>
      <c r="B826" s="1" t="n">
        <v>44655</v>
      </c>
      <c r="C826" s="1" t="n">
        <v>46052</v>
      </c>
      <c r="D826" t="inlineStr">
        <is>
          <t>JÄMTLANDS LÄN</t>
        </is>
      </c>
      <c r="E826" t="inlineStr">
        <is>
          <t>RAGUNDA</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37268-2024</t>
        </is>
      </c>
      <c r="B827" s="1" t="n">
        <v>45540.38586805556</v>
      </c>
      <c r="C827" s="1" t="n">
        <v>46052</v>
      </c>
      <c r="D827" t="inlineStr">
        <is>
          <t>JÄMTLANDS LÄN</t>
        </is>
      </c>
      <c r="E827" t="inlineStr">
        <is>
          <t>RAGUNDA</t>
        </is>
      </c>
      <c r="F827" t="inlineStr">
        <is>
          <t>SCA</t>
        </is>
      </c>
      <c r="G827" t="n">
        <v>6.3</v>
      </c>
      <c r="H827" t="n">
        <v>0</v>
      </c>
      <c r="I827" t="n">
        <v>0</v>
      </c>
      <c r="J827" t="n">
        <v>0</v>
      </c>
      <c r="K827" t="n">
        <v>0</v>
      </c>
      <c r="L827" t="n">
        <v>0</v>
      </c>
      <c r="M827" t="n">
        <v>0</v>
      </c>
      <c r="N827" t="n">
        <v>0</v>
      </c>
      <c r="O827" t="n">
        <v>0</v>
      </c>
      <c r="P827" t="n">
        <v>0</v>
      </c>
      <c r="Q827" t="n">
        <v>0</v>
      </c>
      <c r="R827" s="2" t="inlineStr"/>
    </row>
    <row r="828" ht="15" customHeight="1">
      <c r="A828" t="inlineStr">
        <is>
          <t>A 55514-2024</t>
        </is>
      </c>
      <c r="B828" s="1" t="n">
        <v>45622.46910879629</v>
      </c>
      <c r="C828" s="1" t="n">
        <v>46052</v>
      </c>
      <c r="D828" t="inlineStr">
        <is>
          <t>JÄMTLANDS LÄN</t>
        </is>
      </c>
      <c r="E828" t="inlineStr">
        <is>
          <t>RAGUNDA</t>
        </is>
      </c>
      <c r="G828" t="n">
        <v>0.9</v>
      </c>
      <c r="H828" t="n">
        <v>0</v>
      </c>
      <c r="I828" t="n">
        <v>0</v>
      </c>
      <c r="J828" t="n">
        <v>0</v>
      </c>
      <c r="K828" t="n">
        <v>0</v>
      </c>
      <c r="L828" t="n">
        <v>0</v>
      </c>
      <c r="M828" t="n">
        <v>0</v>
      </c>
      <c r="N828" t="n">
        <v>0</v>
      </c>
      <c r="O828" t="n">
        <v>0</v>
      </c>
      <c r="P828" t="n">
        <v>0</v>
      </c>
      <c r="Q828" t="n">
        <v>0</v>
      </c>
      <c r="R828" s="2" t="inlineStr"/>
    </row>
    <row r="829" ht="15" customHeight="1">
      <c r="A829" t="inlineStr">
        <is>
          <t>A 18375-2022</t>
        </is>
      </c>
      <c r="B829" s="1" t="n">
        <v>44685</v>
      </c>
      <c r="C829" s="1" t="n">
        <v>46052</v>
      </c>
      <c r="D829" t="inlineStr">
        <is>
          <t>JÄMTLANDS LÄN</t>
        </is>
      </c>
      <c r="E829" t="inlineStr">
        <is>
          <t>RAGUNDA</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17248-2023</t>
        </is>
      </c>
      <c r="B830" s="1" t="n">
        <v>45033</v>
      </c>
      <c r="C830" s="1" t="n">
        <v>46052</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62011-2022</t>
        </is>
      </c>
      <c r="B831" s="1" t="n">
        <v>44914</v>
      </c>
      <c r="C831" s="1" t="n">
        <v>46052</v>
      </c>
      <c r="D831" t="inlineStr">
        <is>
          <t>JÄMTLANDS LÄN</t>
        </is>
      </c>
      <c r="E831" t="inlineStr">
        <is>
          <t>RAGUNDA</t>
        </is>
      </c>
      <c r="G831" t="n">
        <v>0.3</v>
      </c>
      <c r="H831" t="n">
        <v>0</v>
      </c>
      <c r="I831" t="n">
        <v>0</v>
      </c>
      <c r="J831" t="n">
        <v>0</v>
      </c>
      <c r="K831" t="n">
        <v>0</v>
      </c>
      <c r="L831" t="n">
        <v>0</v>
      </c>
      <c r="M831" t="n">
        <v>0</v>
      </c>
      <c r="N831" t="n">
        <v>0</v>
      </c>
      <c r="O831" t="n">
        <v>0</v>
      </c>
      <c r="P831" t="n">
        <v>0</v>
      </c>
      <c r="Q831" t="n">
        <v>0</v>
      </c>
      <c r="R831" s="2" t="inlineStr"/>
    </row>
    <row r="832" ht="15" customHeight="1">
      <c r="A832" t="inlineStr">
        <is>
          <t>A 11557-2023</t>
        </is>
      </c>
      <c r="B832" s="1" t="n">
        <v>44993.94950231481</v>
      </c>
      <c r="C832" s="1" t="n">
        <v>46052</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11562-2023</t>
        </is>
      </c>
      <c r="B833" s="1" t="n">
        <v>44993</v>
      </c>
      <c r="C833" s="1" t="n">
        <v>46052</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22131-2021</t>
        </is>
      </c>
      <c r="B834" s="1" t="n">
        <v>44323</v>
      </c>
      <c r="C834" s="1" t="n">
        <v>46052</v>
      </c>
      <c r="D834" t="inlineStr">
        <is>
          <t>JÄMTLANDS LÄN</t>
        </is>
      </c>
      <c r="E834" t="inlineStr">
        <is>
          <t>RAGUNDA</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14512-2025</t>
        </is>
      </c>
      <c r="B835" s="1" t="n">
        <v>45741.63659722222</v>
      </c>
      <c r="C835" s="1" t="n">
        <v>46052</v>
      </c>
      <c r="D835" t="inlineStr">
        <is>
          <t>JÄMTLANDS LÄN</t>
        </is>
      </c>
      <c r="E835" t="inlineStr">
        <is>
          <t>RAGUNDA</t>
        </is>
      </c>
      <c r="F835" t="inlineStr">
        <is>
          <t>SCA</t>
        </is>
      </c>
      <c r="G835" t="n">
        <v>8.9</v>
      </c>
      <c r="H835" t="n">
        <v>0</v>
      </c>
      <c r="I835" t="n">
        <v>0</v>
      </c>
      <c r="J835" t="n">
        <v>0</v>
      </c>
      <c r="K835" t="n">
        <v>0</v>
      </c>
      <c r="L835" t="n">
        <v>0</v>
      </c>
      <c r="M835" t="n">
        <v>0</v>
      </c>
      <c r="N835" t="n">
        <v>0</v>
      </c>
      <c r="O835" t="n">
        <v>0</v>
      </c>
      <c r="P835" t="n">
        <v>0</v>
      </c>
      <c r="Q835" t="n">
        <v>0</v>
      </c>
      <c r="R835" s="2" t="inlineStr"/>
    </row>
    <row r="836" ht="15" customHeight="1">
      <c r="A836" t="inlineStr">
        <is>
          <t>A 5971-2025</t>
        </is>
      </c>
      <c r="B836" s="1" t="n">
        <v>45695.51070601852</v>
      </c>
      <c r="C836" s="1" t="n">
        <v>46052</v>
      </c>
      <c r="D836" t="inlineStr">
        <is>
          <t>JÄMTLANDS LÄN</t>
        </is>
      </c>
      <c r="E836" t="inlineStr">
        <is>
          <t>RAGUNDA</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30563-2023</t>
        </is>
      </c>
      <c r="B837" s="1" t="n">
        <v>45111.92793981481</v>
      </c>
      <c r="C837" s="1" t="n">
        <v>46052</v>
      </c>
      <c r="D837" t="inlineStr">
        <is>
          <t>JÄMTLANDS LÄN</t>
        </is>
      </c>
      <c r="E837" t="inlineStr">
        <is>
          <t>RAGUNDA</t>
        </is>
      </c>
      <c r="F837" t="inlineStr">
        <is>
          <t>Övriga Aktiebolag</t>
        </is>
      </c>
      <c r="G837" t="n">
        <v>2.3</v>
      </c>
      <c r="H837" t="n">
        <v>0</v>
      </c>
      <c r="I837" t="n">
        <v>0</v>
      </c>
      <c r="J837" t="n">
        <v>0</v>
      </c>
      <c r="K837" t="n">
        <v>0</v>
      </c>
      <c r="L837" t="n">
        <v>0</v>
      </c>
      <c r="M837" t="n">
        <v>0</v>
      </c>
      <c r="N837" t="n">
        <v>0</v>
      </c>
      <c r="O837" t="n">
        <v>0</v>
      </c>
      <c r="P837" t="n">
        <v>0</v>
      </c>
      <c r="Q837" t="n">
        <v>0</v>
      </c>
      <c r="R837" s="2" t="inlineStr"/>
    </row>
    <row r="838" ht="15" customHeight="1">
      <c r="A838" t="inlineStr">
        <is>
          <t>A 40586-2025</t>
        </is>
      </c>
      <c r="B838" s="1" t="n">
        <v>45896.52478009259</v>
      </c>
      <c r="C838" s="1" t="n">
        <v>46052</v>
      </c>
      <c r="D838" t="inlineStr">
        <is>
          <t>JÄMTLANDS LÄN</t>
        </is>
      </c>
      <c r="E838" t="inlineStr">
        <is>
          <t>RAGUNDA</t>
        </is>
      </c>
      <c r="G838" t="n">
        <v>1.2</v>
      </c>
      <c r="H838" t="n">
        <v>0</v>
      </c>
      <c r="I838" t="n">
        <v>0</v>
      </c>
      <c r="J838" t="n">
        <v>0</v>
      </c>
      <c r="K838" t="n">
        <v>0</v>
      </c>
      <c r="L838" t="n">
        <v>0</v>
      </c>
      <c r="M838" t="n">
        <v>0</v>
      </c>
      <c r="N838" t="n">
        <v>0</v>
      </c>
      <c r="O838" t="n">
        <v>0</v>
      </c>
      <c r="P838" t="n">
        <v>0</v>
      </c>
      <c r="Q838" t="n">
        <v>0</v>
      </c>
      <c r="R838" s="2" t="inlineStr"/>
    </row>
    <row r="839" ht="15" customHeight="1">
      <c r="A839" t="inlineStr">
        <is>
          <t>A 54092-2024</t>
        </is>
      </c>
      <c r="B839" s="1" t="n">
        <v>45616.5108912037</v>
      </c>
      <c r="C839" s="1" t="n">
        <v>46052</v>
      </c>
      <c r="D839" t="inlineStr">
        <is>
          <t>JÄMTLANDS LÄN</t>
        </is>
      </c>
      <c r="E839" t="inlineStr">
        <is>
          <t>RAGUNDA</t>
        </is>
      </c>
      <c r="F839" t="inlineStr">
        <is>
          <t>Naturvårdsverket</t>
        </is>
      </c>
      <c r="G839" t="n">
        <v>1.3</v>
      </c>
      <c r="H839" t="n">
        <v>0</v>
      </c>
      <c r="I839" t="n">
        <v>0</v>
      </c>
      <c r="J839" t="n">
        <v>0</v>
      </c>
      <c r="K839" t="n">
        <v>0</v>
      </c>
      <c r="L839" t="n">
        <v>0</v>
      </c>
      <c r="M839" t="n">
        <v>0</v>
      </c>
      <c r="N839" t="n">
        <v>0</v>
      </c>
      <c r="O839" t="n">
        <v>0</v>
      </c>
      <c r="P839" t="n">
        <v>0</v>
      </c>
      <c r="Q839" t="n">
        <v>0</v>
      </c>
      <c r="R839" s="2" t="inlineStr"/>
    </row>
    <row r="840" ht="15" customHeight="1">
      <c r="A840" t="inlineStr">
        <is>
          <t>A 36212-2023</t>
        </is>
      </c>
      <c r="B840" s="1" t="n">
        <v>45149.95241898148</v>
      </c>
      <c r="C840" s="1" t="n">
        <v>46052</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50649-2022</t>
        </is>
      </c>
      <c r="B841" s="1" t="n">
        <v>44866</v>
      </c>
      <c r="C841" s="1" t="n">
        <v>46052</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12768-2022</t>
        </is>
      </c>
      <c r="B842" s="1" t="n">
        <v>44641</v>
      </c>
      <c r="C842" s="1" t="n">
        <v>46052</v>
      </c>
      <c r="D842" t="inlineStr">
        <is>
          <t>JÄMTLANDS LÄN</t>
        </is>
      </c>
      <c r="E842" t="inlineStr">
        <is>
          <t>RAGUNDA</t>
        </is>
      </c>
      <c r="F842" t="inlineStr">
        <is>
          <t>SCA</t>
        </is>
      </c>
      <c r="G842" t="n">
        <v>8</v>
      </c>
      <c r="H842" t="n">
        <v>0</v>
      </c>
      <c r="I842" t="n">
        <v>0</v>
      </c>
      <c r="J842" t="n">
        <v>0</v>
      </c>
      <c r="K842" t="n">
        <v>0</v>
      </c>
      <c r="L842" t="n">
        <v>0</v>
      </c>
      <c r="M842" t="n">
        <v>0</v>
      </c>
      <c r="N842" t="n">
        <v>0</v>
      </c>
      <c r="O842" t="n">
        <v>0</v>
      </c>
      <c r="P842" t="n">
        <v>0</v>
      </c>
      <c r="Q842" t="n">
        <v>0</v>
      </c>
      <c r="R842" s="2" t="inlineStr"/>
    </row>
    <row r="843" ht="15" customHeight="1">
      <c r="A843" t="inlineStr">
        <is>
          <t>A 12773-2022</t>
        </is>
      </c>
      <c r="B843" s="1" t="n">
        <v>44641</v>
      </c>
      <c r="C843" s="1" t="n">
        <v>46052</v>
      </c>
      <c r="D843" t="inlineStr">
        <is>
          <t>JÄMTLANDS LÄN</t>
        </is>
      </c>
      <c r="E843" t="inlineStr">
        <is>
          <t>RAGUNDA</t>
        </is>
      </c>
      <c r="F843" t="inlineStr">
        <is>
          <t>SCA</t>
        </is>
      </c>
      <c r="G843" t="n">
        <v>14.7</v>
      </c>
      <c r="H843" t="n">
        <v>0</v>
      </c>
      <c r="I843" t="n">
        <v>0</v>
      </c>
      <c r="J843" t="n">
        <v>0</v>
      </c>
      <c r="K843" t="n">
        <v>0</v>
      </c>
      <c r="L843" t="n">
        <v>0</v>
      </c>
      <c r="M843" t="n">
        <v>0</v>
      </c>
      <c r="N843" t="n">
        <v>0</v>
      </c>
      <c r="O843" t="n">
        <v>0</v>
      </c>
      <c r="P843" t="n">
        <v>0</v>
      </c>
      <c r="Q843" t="n">
        <v>0</v>
      </c>
      <c r="R843" s="2" t="inlineStr"/>
    </row>
    <row r="844" ht="15" customHeight="1">
      <c r="A844" t="inlineStr">
        <is>
          <t>A 59759-2024</t>
        </is>
      </c>
      <c r="B844" s="1" t="n">
        <v>45639.55240740741</v>
      </c>
      <c r="C844" s="1" t="n">
        <v>46052</v>
      </c>
      <c r="D844" t="inlineStr">
        <is>
          <t>JÄMTLANDS LÄN</t>
        </is>
      </c>
      <c r="E844" t="inlineStr">
        <is>
          <t>RAGUNDA</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35537-2021</t>
        </is>
      </c>
      <c r="B845" s="1" t="n">
        <v>44384</v>
      </c>
      <c r="C845" s="1" t="n">
        <v>46052</v>
      </c>
      <c r="D845" t="inlineStr">
        <is>
          <t>JÄMTLANDS LÄN</t>
        </is>
      </c>
      <c r="E845" t="inlineStr">
        <is>
          <t>RAGUNDA</t>
        </is>
      </c>
      <c r="G845" t="n">
        <v>3.1</v>
      </c>
      <c r="H845" t="n">
        <v>0</v>
      </c>
      <c r="I845" t="n">
        <v>0</v>
      </c>
      <c r="J845" t="n">
        <v>0</v>
      </c>
      <c r="K845" t="n">
        <v>0</v>
      </c>
      <c r="L845" t="n">
        <v>0</v>
      </c>
      <c r="M845" t="n">
        <v>0</v>
      </c>
      <c r="N845" t="n">
        <v>0</v>
      </c>
      <c r="O845" t="n">
        <v>0</v>
      </c>
      <c r="P845" t="n">
        <v>0</v>
      </c>
      <c r="Q845" t="n">
        <v>0</v>
      </c>
      <c r="R845" s="2" t="inlineStr"/>
    </row>
    <row r="846" ht="15" customHeight="1">
      <c r="A846" t="inlineStr">
        <is>
          <t>A 2819-2023</t>
        </is>
      </c>
      <c r="B846" s="1" t="n">
        <v>44944</v>
      </c>
      <c r="C846" s="1" t="n">
        <v>46052</v>
      </c>
      <c r="D846" t="inlineStr">
        <is>
          <t>JÄMTLANDS LÄN</t>
        </is>
      </c>
      <c r="E846" t="inlineStr">
        <is>
          <t>RAGUNDA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36541-2025</t>
        </is>
      </c>
      <c r="B847" s="1" t="n">
        <v>45869.65666666667</v>
      </c>
      <c r="C847" s="1" t="n">
        <v>46052</v>
      </c>
      <c r="D847" t="inlineStr">
        <is>
          <t>JÄMTLANDS LÄN</t>
        </is>
      </c>
      <c r="E847" t="inlineStr">
        <is>
          <t>RAGUNDA</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36544-2025</t>
        </is>
      </c>
      <c r="B848" s="1" t="n">
        <v>45869.67744212963</v>
      </c>
      <c r="C848" s="1" t="n">
        <v>46052</v>
      </c>
      <c r="D848" t="inlineStr">
        <is>
          <t>JÄMTLANDS LÄN</t>
        </is>
      </c>
      <c r="E848" t="inlineStr">
        <is>
          <t>RAGUNDA</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44536-2022</t>
        </is>
      </c>
      <c r="B849" s="1" t="n">
        <v>44839</v>
      </c>
      <c r="C849" s="1" t="n">
        <v>46052</v>
      </c>
      <c r="D849" t="inlineStr">
        <is>
          <t>JÄMTLANDS LÄN</t>
        </is>
      </c>
      <c r="E849" t="inlineStr">
        <is>
          <t>RAGUNDA</t>
        </is>
      </c>
      <c r="G849" t="n">
        <v>4</v>
      </c>
      <c r="H849" t="n">
        <v>0</v>
      </c>
      <c r="I849" t="n">
        <v>0</v>
      </c>
      <c r="J849" t="n">
        <v>0</v>
      </c>
      <c r="K849" t="n">
        <v>0</v>
      </c>
      <c r="L849" t="n">
        <v>0</v>
      </c>
      <c r="M849" t="n">
        <v>0</v>
      </c>
      <c r="N849" t="n">
        <v>0</v>
      </c>
      <c r="O849" t="n">
        <v>0</v>
      </c>
      <c r="P849" t="n">
        <v>0</v>
      </c>
      <c r="Q849" t="n">
        <v>0</v>
      </c>
      <c r="R849" s="2" t="inlineStr"/>
    </row>
    <row r="850" ht="15" customHeight="1">
      <c r="A850" t="inlineStr">
        <is>
          <t>A 5067-2024</t>
        </is>
      </c>
      <c r="B850" s="1" t="n">
        <v>45329.95806712963</v>
      </c>
      <c r="C850" s="1" t="n">
        <v>46052</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36553-2025</t>
        </is>
      </c>
      <c r="B851" s="1" t="n">
        <v>45870.34439814815</v>
      </c>
      <c r="C851" s="1" t="n">
        <v>46052</v>
      </c>
      <c r="D851" t="inlineStr">
        <is>
          <t>JÄMTLANDS LÄN</t>
        </is>
      </c>
      <c r="E851" t="inlineStr">
        <is>
          <t>RAGUNDA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30459-2021</t>
        </is>
      </c>
      <c r="B852" s="1" t="n">
        <v>44362</v>
      </c>
      <c r="C852" s="1" t="n">
        <v>46052</v>
      </c>
      <c r="D852" t="inlineStr">
        <is>
          <t>JÄMTLANDS LÄN</t>
        </is>
      </c>
      <c r="E852" t="inlineStr">
        <is>
          <t>RAGUNDA</t>
        </is>
      </c>
      <c r="G852" t="n">
        <v>1</v>
      </c>
      <c r="H852" t="n">
        <v>0</v>
      </c>
      <c r="I852" t="n">
        <v>0</v>
      </c>
      <c r="J852" t="n">
        <v>0</v>
      </c>
      <c r="K852" t="n">
        <v>0</v>
      </c>
      <c r="L852" t="n">
        <v>0</v>
      </c>
      <c r="M852" t="n">
        <v>0</v>
      </c>
      <c r="N852" t="n">
        <v>0</v>
      </c>
      <c r="O852" t="n">
        <v>0</v>
      </c>
      <c r="P852" t="n">
        <v>0</v>
      </c>
      <c r="Q852" t="n">
        <v>0</v>
      </c>
      <c r="R852" s="2" t="inlineStr"/>
    </row>
    <row r="853" ht="15" customHeight="1">
      <c r="A853" t="inlineStr">
        <is>
          <t>A 14905-2022</t>
        </is>
      </c>
      <c r="B853" s="1" t="n">
        <v>44656.94708333333</v>
      </c>
      <c r="C853" s="1" t="n">
        <v>46052</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41161-2025</t>
        </is>
      </c>
      <c r="B854" s="1" t="n">
        <v>45898.53193287037</v>
      </c>
      <c r="C854" s="1" t="n">
        <v>46052</v>
      </c>
      <c r="D854" t="inlineStr">
        <is>
          <t>JÄMTLANDS LÄN</t>
        </is>
      </c>
      <c r="E854" t="inlineStr">
        <is>
          <t>RAGUNDA</t>
        </is>
      </c>
      <c r="F854" t="inlineStr">
        <is>
          <t>SCA</t>
        </is>
      </c>
      <c r="G854" t="n">
        <v>4.4</v>
      </c>
      <c r="H854" t="n">
        <v>0</v>
      </c>
      <c r="I854" t="n">
        <v>0</v>
      </c>
      <c r="J854" t="n">
        <v>0</v>
      </c>
      <c r="K854" t="n">
        <v>0</v>
      </c>
      <c r="L854" t="n">
        <v>0</v>
      </c>
      <c r="M854" t="n">
        <v>0</v>
      </c>
      <c r="N854" t="n">
        <v>0</v>
      </c>
      <c r="O854" t="n">
        <v>0</v>
      </c>
      <c r="P854" t="n">
        <v>0</v>
      </c>
      <c r="Q854" t="n">
        <v>0</v>
      </c>
      <c r="R854" s="2" t="inlineStr"/>
    </row>
    <row r="855" ht="15" customHeight="1">
      <c r="A855" t="inlineStr">
        <is>
          <t>A 41233-2025</t>
        </is>
      </c>
      <c r="B855" s="1" t="n">
        <v>45898.59295138889</v>
      </c>
      <c r="C855" s="1" t="n">
        <v>46052</v>
      </c>
      <c r="D855" t="inlineStr">
        <is>
          <t>JÄMTLANDS LÄN</t>
        </is>
      </c>
      <c r="E855" t="inlineStr">
        <is>
          <t>RAGUNDA</t>
        </is>
      </c>
      <c r="G855" t="n">
        <v>1.7</v>
      </c>
      <c r="H855" t="n">
        <v>0</v>
      </c>
      <c r="I855" t="n">
        <v>0</v>
      </c>
      <c r="J855" t="n">
        <v>0</v>
      </c>
      <c r="K855" t="n">
        <v>0</v>
      </c>
      <c r="L855" t="n">
        <v>0</v>
      </c>
      <c r="M855" t="n">
        <v>0</v>
      </c>
      <c r="N855" t="n">
        <v>0</v>
      </c>
      <c r="O855" t="n">
        <v>0</v>
      </c>
      <c r="P855" t="n">
        <v>0</v>
      </c>
      <c r="Q855" t="n">
        <v>0</v>
      </c>
      <c r="R855" s="2" t="inlineStr"/>
    </row>
    <row r="856" ht="15" customHeight="1">
      <c r="A856" t="inlineStr">
        <is>
          <t>A 37543-2023</t>
        </is>
      </c>
      <c r="B856" s="1" t="n">
        <v>45158.94231481481</v>
      </c>
      <c r="C856" s="1" t="n">
        <v>46052</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32075-2025</t>
        </is>
      </c>
      <c r="B857" s="1" t="n">
        <v>45835.4506712963</v>
      </c>
      <c r="C857" s="1" t="n">
        <v>46052</v>
      </c>
      <c r="D857" t="inlineStr">
        <is>
          <t>JÄMTLANDS LÄN</t>
        </is>
      </c>
      <c r="E857" t="inlineStr">
        <is>
          <t>RAGUNDA</t>
        </is>
      </c>
      <c r="G857" t="n">
        <v>1.1</v>
      </c>
      <c r="H857" t="n">
        <v>0</v>
      </c>
      <c r="I857" t="n">
        <v>0</v>
      </c>
      <c r="J857" t="n">
        <v>0</v>
      </c>
      <c r="K857" t="n">
        <v>0</v>
      </c>
      <c r="L857" t="n">
        <v>0</v>
      </c>
      <c r="M857" t="n">
        <v>0</v>
      </c>
      <c r="N857" t="n">
        <v>0</v>
      </c>
      <c r="O857" t="n">
        <v>0</v>
      </c>
      <c r="P857" t="n">
        <v>0</v>
      </c>
      <c r="Q857" t="n">
        <v>0</v>
      </c>
      <c r="R857" s="2" t="inlineStr"/>
    </row>
    <row r="858" ht="15" customHeight="1">
      <c r="A858" t="inlineStr">
        <is>
          <t>A 29766-2023</t>
        </is>
      </c>
      <c r="B858" s="1" t="n">
        <v>45098</v>
      </c>
      <c r="C858" s="1" t="n">
        <v>46052</v>
      </c>
      <c r="D858" t="inlineStr">
        <is>
          <t>JÄMTLANDS LÄN</t>
        </is>
      </c>
      <c r="E858" t="inlineStr">
        <is>
          <t>RAGUNDA</t>
        </is>
      </c>
      <c r="G858" t="n">
        <v>2.7</v>
      </c>
      <c r="H858" t="n">
        <v>0</v>
      </c>
      <c r="I858" t="n">
        <v>0</v>
      </c>
      <c r="J858" t="n">
        <v>0</v>
      </c>
      <c r="K858" t="n">
        <v>0</v>
      </c>
      <c r="L858" t="n">
        <v>0</v>
      </c>
      <c r="M858" t="n">
        <v>0</v>
      </c>
      <c r="N858" t="n">
        <v>0</v>
      </c>
      <c r="O858" t="n">
        <v>0</v>
      </c>
      <c r="P858" t="n">
        <v>0</v>
      </c>
      <c r="Q858" t="n">
        <v>0</v>
      </c>
      <c r="R858" s="2" t="inlineStr"/>
    </row>
    <row r="859" ht="15" customHeight="1">
      <c r="A859" t="inlineStr">
        <is>
          <t>A 61107-2024</t>
        </is>
      </c>
      <c r="B859" s="1" t="n">
        <v>45645.55665509259</v>
      </c>
      <c r="C859" s="1" t="n">
        <v>46052</v>
      </c>
      <c r="D859" t="inlineStr">
        <is>
          <t>JÄMTLANDS LÄN</t>
        </is>
      </c>
      <c r="E859" t="inlineStr">
        <is>
          <t>RAGUNDA</t>
        </is>
      </c>
      <c r="G859" t="n">
        <v>3.2</v>
      </c>
      <c r="H859" t="n">
        <v>0</v>
      </c>
      <c r="I859" t="n">
        <v>0</v>
      </c>
      <c r="J859" t="n">
        <v>0</v>
      </c>
      <c r="K859" t="n">
        <v>0</v>
      </c>
      <c r="L859" t="n">
        <v>0</v>
      </c>
      <c r="M859" t="n">
        <v>0</v>
      </c>
      <c r="N859" t="n">
        <v>0</v>
      </c>
      <c r="O859" t="n">
        <v>0</v>
      </c>
      <c r="P859" t="n">
        <v>0</v>
      </c>
      <c r="Q859" t="n">
        <v>0</v>
      </c>
      <c r="R859" s="2" t="inlineStr"/>
    </row>
    <row r="860" ht="15" customHeight="1">
      <c r="A860" t="inlineStr">
        <is>
          <t>A 41262-2025</t>
        </is>
      </c>
      <c r="B860" s="1" t="n">
        <v>45898.61502314815</v>
      </c>
      <c r="C860" s="1" t="n">
        <v>46052</v>
      </c>
      <c r="D860" t="inlineStr">
        <is>
          <t>JÄMTLANDS LÄN</t>
        </is>
      </c>
      <c r="E860" t="inlineStr">
        <is>
          <t>RAGUNDA</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23287-2024</t>
        </is>
      </c>
      <c r="B861" s="1" t="n">
        <v>45453.42041666667</v>
      </c>
      <c r="C861" s="1" t="n">
        <v>46052</v>
      </c>
      <c r="D861" t="inlineStr">
        <is>
          <t>JÄMTLANDS LÄN</t>
        </is>
      </c>
      <c r="E861" t="inlineStr">
        <is>
          <t>RAGUNDA</t>
        </is>
      </c>
      <c r="G861" t="n">
        <v>3.1</v>
      </c>
      <c r="H861" t="n">
        <v>0</v>
      </c>
      <c r="I861" t="n">
        <v>0</v>
      </c>
      <c r="J861" t="n">
        <v>0</v>
      </c>
      <c r="K861" t="n">
        <v>0</v>
      </c>
      <c r="L861" t="n">
        <v>0</v>
      </c>
      <c r="M861" t="n">
        <v>0</v>
      </c>
      <c r="N861" t="n">
        <v>0</v>
      </c>
      <c r="O861" t="n">
        <v>0</v>
      </c>
      <c r="P861" t="n">
        <v>0</v>
      </c>
      <c r="Q861" t="n">
        <v>0</v>
      </c>
      <c r="R861" s="2" t="inlineStr"/>
    </row>
    <row r="862" ht="15" customHeight="1">
      <c r="A862" t="inlineStr">
        <is>
          <t>A 7668-2025</t>
        </is>
      </c>
      <c r="B862" s="1" t="n">
        <v>45706.34450231482</v>
      </c>
      <c r="C862" s="1" t="n">
        <v>46052</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36922-2022</t>
        </is>
      </c>
      <c r="B863" s="1" t="n">
        <v>44805.94592592592</v>
      </c>
      <c r="C863" s="1" t="n">
        <v>46052</v>
      </c>
      <c r="D863" t="inlineStr">
        <is>
          <t>JÄMTLANDS LÄN</t>
        </is>
      </c>
      <c r="E863" t="inlineStr">
        <is>
          <t>RAGUNDA</t>
        </is>
      </c>
      <c r="F863" t="inlineStr">
        <is>
          <t>SCA</t>
        </is>
      </c>
      <c r="G863" t="n">
        <v>4</v>
      </c>
      <c r="H863" t="n">
        <v>0</v>
      </c>
      <c r="I863" t="n">
        <v>0</v>
      </c>
      <c r="J863" t="n">
        <v>0</v>
      </c>
      <c r="K863" t="n">
        <v>0</v>
      </c>
      <c r="L863" t="n">
        <v>0</v>
      </c>
      <c r="M863" t="n">
        <v>0</v>
      </c>
      <c r="N863" t="n">
        <v>0</v>
      </c>
      <c r="O863" t="n">
        <v>0</v>
      </c>
      <c r="P863" t="n">
        <v>0</v>
      </c>
      <c r="Q863" t="n">
        <v>0</v>
      </c>
      <c r="R863" s="2" t="inlineStr"/>
    </row>
    <row r="864" ht="15" customHeight="1">
      <c r="A864" t="inlineStr">
        <is>
          <t>A 26347-2023</t>
        </is>
      </c>
      <c r="B864" s="1" t="n">
        <v>45091</v>
      </c>
      <c r="C864" s="1" t="n">
        <v>46052</v>
      </c>
      <c r="D864" t="inlineStr">
        <is>
          <t>JÄMTLANDS LÄN</t>
        </is>
      </c>
      <c r="E864" t="inlineStr">
        <is>
          <t>RAGUNDA</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36046-2023</t>
        </is>
      </c>
      <c r="B865" s="1" t="n">
        <v>45148</v>
      </c>
      <c r="C865" s="1" t="n">
        <v>46052</v>
      </c>
      <c r="D865" t="inlineStr">
        <is>
          <t>JÄMTLANDS LÄN</t>
        </is>
      </c>
      <c r="E865" t="inlineStr">
        <is>
          <t>RAGUNDA</t>
        </is>
      </c>
      <c r="G865" t="n">
        <v>1.9</v>
      </c>
      <c r="H865" t="n">
        <v>0</v>
      </c>
      <c r="I865" t="n">
        <v>0</v>
      </c>
      <c r="J865" t="n">
        <v>0</v>
      </c>
      <c r="K865" t="n">
        <v>0</v>
      </c>
      <c r="L865" t="n">
        <v>0</v>
      </c>
      <c r="M865" t="n">
        <v>0</v>
      </c>
      <c r="N865" t="n">
        <v>0</v>
      </c>
      <c r="O865" t="n">
        <v>0</v>
      </c>
      <c r="P865" t="n">
        <v>0</v>
      </c>
      <c r="Q865" t="n">
        <v>0</v>
      </c>
      <c r="R865" s="2" t="inlineStr"/>
    </row>
    <row r="866" ht="15" customHeight="1">
      <c r="A866" t="inlineStr">
        <is>
          <t>A 32874-2025</t>
        </is>
      </c>
      <c r="B866" s="1" t="n">
        <v>45839</v>
      </c>
      <c r="C866" s="1" t="n">
        <v>46052</v>
      </c>
      <c r="D866" t="inlineStr">
        <is>
          <t>JÄMTLANDS LÄN</t>
        </is>
      </c>
      <c r="E866" t="inlineStr">
        <is>
          <t>RAGUNDA</t>
        </is>
      </c>
      <c r="G866" t="n">
        <v>2.3</v>
      </c>
      <c r="H866" t="n">
        <v>0</v>
      </c>
      <c r="I866" t="n">
        <v>0</v>
      </c>
      <c r="J866" t="n">
        <v>0</v>
      </c>
      <c r="K866" t="n">
        <v>0</v>
      </c>
      <c r="L866" t="n">
        <v>0</v>
      </c>
      <c r="M866" t="n">
        <v>0</v>
      </c>
      <c r="N866" t="n">
        <v>0</v>
      </c>
      <c r="O866" t="n">
        <v>0</v>
      </c>
      <c r="P866" t="n">
        <v>0</v>
      </c>
      <c r="Q866" t="n">
        <v>0</v>
      </c>
      <c r="R866" s="2" t="inlineStr"/>
    </row>
    <row r="867" ht="15" customHeight="1">
      <c r="A867" t="inlineStr">
        <is>
          <t>A 36994-2025</t>
        </is>
      </c>
      <c r="B867" s="1" t="n">
        <v>45874.67746527777</v>
      </c>
      <c r="C867" s="1" t="n">
        <v>46052</v>
      </c>
      <c r="D867" t="inlineStr">
        <is>
          <t>JÄMTLANDS LÄN</t>
        </is>
      </c>
      <c r="E867" t="inlineStr">
        <is>
          <t>RAGUNDA</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34483-2023</t>
        </is>
      </c>
      <c r="B868" s="1" t="n">
        <v>45139.94681712963</v>
      </c>
      <c r="C868" s="1" t="n">
        <v>46052</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37008-2025</t>
        </is>
      </c>
      <c r="B869" s="1" t="n">
        <v>45874.69844907407</v>
      </c>
      <c r="C869" s="1" t="n">
        <v>46052</v>
      </c>
      <c r="D869" t="inlineStr">
        <is>
          <t>JÄMTLANDS LÄN</t>
        </is>
      </c>
      <c r="E869" t="inlineStr">
        <is>
          <t>RAGUNDA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36947-2025</t>
        </is>
      </c>
      <c r="B870" s="1" t="n">
        <v>45874.59496527778</v>
      </c>
      <c r="C870" s="1" t="n">
        <v>46052</v>
      </c>
      <c r="D870" t="inlineStr">
        <is>
          <t>JÄMTLANDS LÄN</t>
        </is>
      </c>
      <c r="E870" t="inlineStr">
        <is>
          <t>RAGUNDA</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22948-2024</t>
        </is>
      </c>
      <c r="B871" s="1" t="n">
        <v>45448.94600694445</v>
      </c>
      <c r="C871" s="1" t="n">
        <v>46052</v>
      </c>
      <c r="D871" t="inlineStr">
        <is>
          <t>JÄMTLANDS LÄN</t>
        </is>
      </c>
      <c r="E871" t="inlineStr">
        <is>
          <t>RAGUNDA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41423-2025</t>
        </is>
      </c>
      <c r="B872" s="1" t="n">
        <v>45901.38578703703</v>
      </c>
      <c r="C872" s="1" t="n">
        <v>46052</v>
      </c>
      <c r="D872" t="inlineStr">
        <is>
          <t>JÄMTLANDS LÄN</t>
        </is>
      </c>
      <c r="E872" t="inlineStr">
        <is>
          <t>RAGUNDA</t>
        </is>
      </c>
      <c r="G872" t="n">
        <v>0.7</v>
      </c>
      <c r="H872" t="n">
        <v>0</v>
      </c>
      <c r="I872" t="n">
        <v>0</v>
      </c>
      <c r="J872" t="n">
        <v>0</v>
      </c>
      <c r="K872" t="n">
        <v>0</v>
      </c>
      <c r="L872" t="n">
        <v>0</v>
      </c>
      <c r="M872" t="n">
        <v>0</v>
      </c>
      <c r="N872" t="n">
        <v>0</v>
      </c>
      <c r="O872" t="n">
        <v>0</v>
      </c>
      <c r="P872" t="n">
        <v>0</v>
      </c>
      <c r="Q872" t="n">
        <v>0</v>
      </c>
      <c r="R872" s="2" t="inlineStr"/>
    </row>
    <row r="873" ht="15" customHeight="1">
      <c r="A873" t="inlineStr">
        <is>
          <t>A 37292-2025</t>
        </is>
      </c>
      <c r="B873" s="1" t="n">
        <v>45876.53188657408</v>
      </c>
      <c r="C873" s="1" t="n">
        <v>46052</v>
      </c>
      <c r="D873" t="inlineStr">
        <is>
          <t>JÄMTLANDS LÄN</t>
        </is>
      </c>
      <c r="E873" t="inlineStr">
        <is>
          <t>RAGUNDA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8654-2024</t>
        </is>
      </c>
      <c r="B874" s="1" t="n">
        <v>45356.03784722222</v>
      </c>
      <c r="C874" s="1" t="n">
        <v>46052</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6902-2024</t>
        </is>
      </c>
      <c r="B875" s="1" t="n">
        <v>45342</v>
      </c>
      <c r="C875" s="1" t="n">
        <v>46052</v>
      </c>
      <c r="D875" t="inlineStr">
        <is>
          <t>JÄMTLANDS LÄN</t>
        </is>
      </c>
      <c r="E875" t="inlineStr">
        <is>
          <t>RAGUNDA</t>
        </is>
      </c>
      <c r="F875" t="inlineStr">
        <is>
          <t>SCA</t>
        </is>
      </c>
      <c r="G875" t="n">
        <v>18.7</v>
      </c>
      <c r="H875" t="n">
        <v>0</v>
      </c>
      <c r="I875" t="n">
        <v>0</v>
      </c>
      <c r="J875" t="n">
        <v>0</v>
      </c>
      <c r="K875" t="n">
        <v>0</v>
      </c>
      <c r="L875" t="n">
        <v>0</v>
      </c>
      <c r="M875" t="n">
        <v>0</v>
      </c>
      <c r="N875" t="n">
        <v>0</v>
      </c>
      <c r="O875" t="n">
        <v>0</v>
      </c>
      <c r="P875" t="n">
        <v>0</v>
      </c>
      <c r="Q875" t="n">
        <v>0</v>
      </c>
      <c r="R875" s="2" t="inlineStr"/>
    </row>
    <row r="876" ht="15" customHeight="1">
      <c r="A876" t="inlineStr">
        <is>
          <t>A 6905-2024</t>
        </is>
      </c>
      <c r="B876" s="1" t="n">
        <v>45342.9462037037</v>
      </c>
      <c r="C876" s="1" t="n">
        <v>46052</v>
      </c>
      <c r="D876" t="inlineStr">
        <is>
          <t>JÄMTLANDS LÄN</t>
        </is>
      </c>
      <c r="E876" t="inlineStr">
        <is>
          <t>RAGUNDA</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22731-2023</t>
        </is>
      </c>
      <c r="B877" s="1" t="n">
        <v>45071</v>
      </c>
      <c r="C877" s="1" t="n">
        <v>46052</v>
      </c>
      <c r="D877" t="inlineStr">
        <is>
          <t>JÄMTLANDS LÄN</t>
        </is>
      </c>
      <c r="E877" t="inlineStr">
        <is>
          <t>RAGUNDA</t>
        </is>
      </c>
      <c r="G877" t="n">
        <v>1.5</v>
      </c>
      <c r="H877" t="n">
        <v>0</v>
      </c>
      <c r="I877" t="n">
        <v>0</v>
      </c>
      <c r="J877" t="n">
        <v>0</v>
      </c>
      <c r="K877" t="n">
        <v>0</v>
      </c>
      <c r="L877" t="n">
        <v>0</v>
      </c>
      <c r="M877" t="n">
        <v>0</v>
      </c>
      <c r="N877" t="n">
        <v>0</v>
      </c>
      <c r="O877" t="n">
        <v>0</v>
      </c>
      <c r="P877" t="n">
        <v>0</v>
      </c>
      <c r="Q877" t="n">
        <v>0</v>
      </c>
      <c r="R877" s="2" t="inlineStr"/>
    </row>
    <row r="878" ht="15" customHeight="1">
      <c r="A878" t="inlineStr">
        <is>
          <t>A 11245-2025</t>
        </is>
      </c>
      <c r="B878" s="1" t="n">
        <v>45726.38575231482</v>
      </c>
      <c r="C878" s="1" t="n">
        <v>46052</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61923-2024</t>
        </is>
      </c>
      <c r="B879" s="1" t="n">
        <v>45653.44836805556</v>
      </c>
      <c r="C879" s="1" t="n">
        <v>46052</v>
      </c>
      <c r="D879" t="inlineStr">
        <is>
          <t>JÄMTLANDS LÄN</t>
        </is>
      </c>
      <c r="E879" t="inlineStr">
        <is>
          <t>RAGUNDA</t>
        </is>
      </c>
      <c r="F879" t="inlineStr">
        <is>
          <t>SCA</t>
        </is>
      </c>
      <c r="G879" t="n">
        <v>11.1</v>
      </c>
      <c r="H879" t="n">
        <v>0</v>
      </c>
      <c r="I879" t="n">
        <v>0</v>
      </c>
      <c r="J879" t="n">
        <v>0</v>
      </c>
      <c r="K879" t="n">
        <v>0</v>
      </c>
      <c r="L879" t="n">
        <v>0</v>
      </c>
      <c r="M879" t="n">
        <v>0</v>
      </c>
      <c r="N879" t="n">
        <v>0</v>
      </c>
      <c r="O879" t="n">
        <v>0</v>
      </c>
      <c r="P879" t="n">
        <v>0</v>
      </c>
      <c r="Q879" t="n">
        <v>0</v>
      </c>
      <c r="R879" s="2" t="inlineStr"/>
    </row>
    <row r="880" ht="15" customHeight="1">
      <c r="A880" t="inlineStr">
        <is>
          <t>A 23304-2023</t>
        </is>
      </c>
      <c r="B880" s="1" t="n">
        <v>45075.945</v>
      </c>
      <c r="C880" s="1" t="n">
        <v>46052</v>
      </c>
      <c r="D880" t="inlineStr">
        <is>
          <t>JÄMTLANDS LÄN</t>
        </is>
      </c>
      <c r="E880" t="inlineStr">
        <is>
          <t>RAGUNDA</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23567-2024</t>
        </is>
      </c>
      <c r="B881" s="1" t="n">
        <v>45453.95538194444</v>
      </c>
      <c r="C881" s="1" t="n">
        <v>46052</v>
      </c>
      <c r="D881" t="inlineStr">
        <is>
          <t>JÄMTLANDS LÄN</t>
        </is>
      </c>
      <c r="E881" t="inlineStr">
        <is>
          <t>RAGUNDA</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19246-2023</t>
        </is>
      </c>
      <c r="B882" s="1" t="n">
        <v>45048.94340277778</v>
      </c>
      <c r="C882" s="1" t="n">
        <v>46052</v>
      </c>
      <c r="D882" t="inlineStr">
        <is>
          <t>JÄMTLANDS LÄN</t>
        </is>
      </c>
      <c r="E882" t="inlineStr">
        <is>
          <t>RAGUNDA</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61109-2024</t>
        </is>
      </c>
      <c r="B883" s="1" t="n">
        <v>45645.55672453704</v>
      </c>
      <c r="C883" s="1" t="n">
        <v>46052</v>
      </c>
      <c r="D883" t="inlineStr">
        <is>
          <t>JÄMTLANDS LÄN</t>
        </is>
      </c>
      <c r="E883" t="inlineStr">
        <is>
          <t>RAGUNDA</t>
        </is>
      </c>
      <c r="G883" t="n">
        <v>4</v>
      </c>
      <c r="H883" t="n">
        <v>0</v>
      </c>
      <c r="I883" t="n">
        <v>0</v>
      </c>
      <c r="J883" t="n">
        <v>0</v>
      </c>
      <c r="K883" t="n">
        <v>0</v>
      </c>
      <c r="L883" t="n">
        <v>0</v>
      </c>
      <c r="M883" t="n">
        <v>0</v>
      </c>
      <c r="N883" t="n">
        <v>0</v>
      </c>
      <c r="O883" t="n">
        <v>0</v>
      </c>
      <c r="P883" t="n">
        <v>0</v>
      </c>
      <c r="Q883" t="n">
        <v>0</v>
      </c>
      <c r="R883" s="2" t="inlineStr"/>
    </row>
    <row r="884" ht="15" customHeight="1">
      <c r="A884" t="inlineStr">
        <is>
          <t>A 36226-2023</t>
        </is>
      </c>
      <c r="B884" s="1" t="n">
        <v>45149.95372685185</v>
      </c>
      <c r="C884" s="1" t="n">
        <v>46052</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18615-2024</t>
        </is>
      </c>
      <c r="B885" s="1" t="n">
        <v>45425.96275462963</v>
      </c>
      <c r="C885" s="1" t="n">
        <v>46052</v>
      </c>
      <c r="D885" t="inlineStr">
        <is>
          <t>JÄMTLANDS LÄN</t>
        </is>
      </c>
      <c r="E885" t="inlineStr">
        <is>
          <t>RAGUNDA</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40269-2022</t>
        </is>
      </c>
      <c r="B886" s="1" t="n">
        <v>44820</v>
      </c>
      <c r="C886" s="1" t="n">
        <v>46052</v>
      </c>
      <c r="D886" t="inlineStr">
        <is>
          <t>JÄMTLANDS LÄN</t>
        </is>
      </c>
      <c r="E886" t="inlineStr">
        <is>
          <t>RAGUNDA</t>
        </is>
      </c>
      <c r="F886" t="inlineStr">
        <is>
          <t>SCA</t>
        </is>
      </c>
      <c r="G886" t="n">
        <v>77.8</v>
      </c>
      <c r="H886" t="n">
        <v>0</v>
      </c>
      <c r="I886" t="n">
        <v>0</v>
      </c>
      <c r="J886" t="n">
        <v>0</v>
      </c>
      <c r="K886" t="n">
        <v>0</v>
      </c>
      <c r="L886" t="n">
        <v>0</v>
      </c>
      <c r="M886" t="n">
        <v>0</v>
      </c>
      <c r="N886" t="n">
        <v>0</v>
      </c>
      <c r="O886" t="n">
        <v>0</v>
      </c>
      <c r="P886" t="n">
        <v>0</v>
      </c>
      <c r="Q886" t="n">
        <v>0</v>
      </c>
      <c r="R886" s="2" t="inlineStr"/>
    </row>
    <row r="887" ht="15" customHeight="1">
      <c r="A887" t="inlineStr">
        <is>
          <t>A 37242-2024</t>
        </is>
      </c>
      <c r="B887" s="1" t="n">
        <v>45540.34428240741</v>
      </c>
      <c r="C887" s="1" t="n">
        <v>46052</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58955-2024</t>
        </is>
      </c>
      <c r="B888" s="1" t="n">
        <v>45636.57329861111</v>
      </c>
      <c r="C888" s="1" t="n">
        <v>46052</v>
      </c>
      <c r="D888" t="inlineStr">
        <is>
          <t>JÄMTLANDS LÄN</t>
        </is>
      </c>
      <c r="E888" t="inlineStr">
        <is>
          <t>RAGUNDA</t>
        </is>
      </c>
      <c r="F888" t="inlineStr">
        <is>
          <t>SCA</t>
        </is>
      </c>
      <c r="G888" t="n">
        <v>4.1</v>
      </c>
      <c r="H888" t="n">
        <v>0</v>
      </c>
      <c r="I888" t="n">
        <v>0</v>
      </c>
      <c r="J888" t="n">
        <v>0</v>
      </c>
      <c r="K888" t="n">
        <v>0</v>
      </c>
      <c r="L888" t="n">
        <v>0</v>
      </c>
      <c r="M888" t="n">
        <v>0</v>
      </c>
      <c r="N888" t="n">
        <v>0</v>
      </c>
      <c r="O888" t="n">
        <v>0</v>
      </c>
      <c r="P888" t="n">
        <v>0</v>
      </c>
      <c r="Q888" t="n">
        <v>0</v>
      </c>
      <c r="R888" s="2" t="inlineStr"/>
    </row>
    <row r="889" ht="15" customHeight="1">
      <c r="A889" t="inlineStr">
        <is>
          <t>A 41424-2025</t>
        </is>
      </c>
      <c r="B889" s="1" t="n">
        <v>45901.38584490741</v>
      </c>
      <c r="C889" s="1" t="n">
        <v>46052</v>
      </c>
      <c r="D889" t="inlineStr">
        <is>
          <t>JÄMTLANDS LÄN</t>
        </is>
      </c>
      <c r="E889" t="inlineStr">
        <is>
          <t>RAGUNDA</t>
        </is>
      </c>
      <c r="G889" t="n">
        <v>3</v>
      </c>
      <c r="H889" t="n">
        <v>0</v>
      </c>
      <c r="I889" t="n">
        <v>0</v>
      </c>
      <c r="J889" t="n">
        <v>0</v>
      </c>
      <c r="K889" t="n">
        <v>0</v>
      </c>
      <c r="L889" t="n">
        <v>0</v>
      </c>
      <c r="M889" t="n">
        <v>0</v>
      </c>
      <c r="N889" t="n">
        <v>0</v>
      </c>
      <c r="O889" t="n">
        <v>0</v>
      </c>
      <c r="P889" t="n">
        <v>0</v>
      </c>
      <c r="Q889" t="n">
        <v>0</v>
      </c>
      <c r="R889" s="2" t="inlineStr"/>
    </row>
    <row r="890" ht="15" customHeight="1">
      <c r="A890" t="inlineStr">
        <is>
          <t>A 41140-2025</t>
        </is>
      </c>
      <c r="B890" s="1" t="n">
        <v>45898.49012731481</v>
      </c>
      <c r="C890" s="1" t="n">
        <v>46052</v>
      </c>
      <c r="D890" t="inlineStr">
        <is>
          <t>JÄMTLANDS LÄN</t>
        </is>
      </c>
      <c r="E890" t="inlineStr">
        <is>
          <t>RAGUNDA</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41422-2025</t>
        </is>
      </c>
      <c r="B891" s="1" t="n">
        <v>45901.38572916666</v>
      </c>
      <c r="C891" s="1" t="n">
        <v>46052</v>
      </c>
      <c r="D891" t="inlineStr">
        <is>
          <t>JÄMTLANDS LÄN</t>
        </is>
      </c>
      <c r="E891" t="inlineStr">
        <is>
          <t>RAGUNDA</t>
        </is>
      </c>
      <c r="G891" t="n">
        <v>4.3</v>
      </c>
      <c r="H891" t="n">
        <v>0</v>
      </c>
      <c r="I891" t="n">
        <v>0</v>
      </c>
      <c r="J891" t="n">
        <v>0</v>
      </c>
      <c r="K891" t="n">
        <v>0</v>
      </c>
      <c r="L891" t="n">
        <v>0</v>
      </c>
      <c r="M891" t="n">
        <v>0</v>
      </c>
      <c r="N891" t="n">
        <v>0</v>
      </c>
      <c r="O891" t="n">
        <v>0</v>
      </c>
      <c r="P891" t="n">
        <v>0</v>
      </c>
      <c r="Q891" t="n">
        <v>0</v>
      </c>
      <c r="R891" s="2" t="inlineStr"/>
    </row>
    <row r="892" ht="15" customHeight="1">
      <c r="A892" t="inlineStr">
        <is>
          <t>A 33877-2023</t>
        </is>
      </c>
      <c r="B892" s="1" t="n">
        <v>45133</v>
      </c>
      <c r="C892" s="1" t="n">
        <v>46052</v>
      </c>
      <c r="D892" t="inlineStr">
        <is>
          <t>JÄMTLANDS LÄN</t>
        </is>
      </c>
      <c r="E892" t="inlineStr">
        <is>
          <t>RAGUNDA</t>
        </is>
      </c>
      <c r="F892" t="inlineStr">
        <is>
          <t>SCA</t>
        </is>
      </c>
      <c r="G892" t="n">
        <v>4.3</v>
      </c>
      <c r="H892" t="n">
        <v>0</v>
      </c>
      <c r="I892" t="n">
        <v>0</v>
      </c>
      <c r="J892" t="n">
        <v>0</v>
      </c>
      <c r="K892" t="n">
        <v>0</v>
      </c>
      <c r="L892" t="n">
        <v>0</v>
      </c>
      <c r="M892" t="n">
        <v>0</v>
      </c>
      <c r="N892" t="n">
        <v>0</v>
      </c>
      <c r="O892" t="n">
        <v>0</v>
      </c>
      <c r="P892" t="n">
        <v>0</v>
      </c>
      <c r="Q892" t="n">
        <v>0</v>
      </c>
      <c r="R892" s="2" t="inlineStr"/>
    </row>
    <row r="893" ht="15" customHeight="1">
      <c r="A893" t="inlineStr">
        <is>
          <t>A 41876-2025</t>
        </is>
      </c>
      <c r="B893" s="1" t="n">
        <v>45903.34555555556</v>
      </c>
      <c r="C893" s="1" t="n">
        <v>46052</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45438-2022</t>
        </is>
      </c>
      <c r="B894" s="1" t="n">
        <v>44844.95368055555</v>
      </c>
      <c r="C894" s="1" t="n">
        <v>46052</v>
      </c>
      <c r="D894" t="inlineStr">
        <is>
          <t>JÄMTLANDS LÄN</t>
        </is>
      </c>
      <c r="E894" t="inlineStr">
        <is>
          <t>RAGUNDA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56191-2022</t>
        </is>
      </c>
      <c r="B895" s="1" t="n">
        <v>44889.95015046297</v>
      </c>
      <c r="C895" s="1" t="n">
        <v>46052</v>
      </c>
      <c r="D895" t="inlineStr">
        <is>
          <t>JÄMTLANDS LÄN</t>
        </is>
      </c>
      <c r="E895" t="inlineStr">
        <is>
          <t>RAGUNDA</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30823-2023</t>
        </is>
      </c>
      <c r="B896" s="1" t="n">
        <v>45112</v>
      </c>
      <c r="C896" s="1" t="n">
        <v>46052</v>
      </c>
      <c r="D896" t="inlineStr">
        <is>
          <t>JÄMTLANDS LÄN</t>
        </is>
      </c>
      <c r="E896" t="inlineStr">
        <is>
          <t>RAGUNDA</t>
        </is>
      </c>
      <c r="F896" t="inlineStr">
        <is>
          <t>SCA</t>
        </is>
      </c>
      <c r="G896" t="n">
        <v>9</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46052</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9567-2025</t>
        </is>
      </c>
      <c r="B898" s="1" t="n">
        <v>45715.61523148148</v>
      </c>
      <c r="C898" s="1" t="n">
        <v>46052</v>
      </c>
      <c r="D898" t="inlineStr">
        <is>
          <t>JÄMTLANDS LÄN</t>
        </is>
      </c>
      <c r="E898" t="inlineStr">
        <is>
          <t>RAGUNDA</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21661-2023</t>
        </is>
      </c>
      <c r="B899" s="1" t="n">
        <v>45063</v>
      </c>
      <c r="C899" s="1" t="n">
        <v>46052</v>
      </c>
      <c r="D899" t="inlineStr">
        <is>
          <t>JÄMTLANDS LÄN</t>
        </is>
      </c>
      <c r="E899" t="inlineStr">
        <is>
          <t>RAGUNDA</t>
        </is>
      </c>
      <c r="G899" t="n">
        <v>1.5</v>
      </c>
      <c r="H899" t="n">
        <v>0</v>
      </c>
      <c r="I899" t="n">
        <v>0</v>
      </c>
      <c r="J899" t="n">
        <v>0</v>
      </c>
      <c r="K899" t="n">
        <v>0</v>
      </c>
      <c r="L899" t="n">
        <v>0</v>
      </c>
      <c r="M899" t="n">
        <v>0</v>
      </c>
      <c r="N899" t="n">
        <v>0</v>
      </c>
      <c r="O899" t="n">
        <v>0</v>
      </c>
      <c r="P899" t="n">
        <v>0</v>
      </c>
      <c r="Q899" t="n">
        <v>0</v>
      </c>
      <c r="R899" s="2" t="inlineStr"/>
    </row>
    <row r="900" ht="15" customHeight="1">
      <c r="A900" t="inlineStr">
        <is>
          <t>A 43339-2024</t>
        </is>
      </c>
      <c r="B900" s="1" t="n">
        <v>45568.51075231482</v>
      </c>
      <c r="C900" s="1" t="n">
        <v>46052</v>
      </c>
      <c r="D900" t="inlineStr">
        <is>
          <t>JÄMTLANDS LÄN</t>
        </is>
      </c>
      <c r="E900" t="inlineStr">
        <is>
          <t>RAGUNDA</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43102-2023</t>
        </is>
      </c>
      <c r="B901" s="1" t="n">
        <v>45182</v>
      </c>
      <c r="C901" s="1" t="n">
        <v>46052</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9504-2025</t>
        </is>
      </c>
      <c r="B902" s="1" t="n">
        <v>45714</v>
      </c>
      <c r="C902" s="1" t="n">
        <v>46052</v>
      </c>
      <c r="D902" t="inlineStr">
        <is>
          <t>JÄMTLANDS LÄN</t>
        </is>
      </c>
      <c r="E902" t="inlineStr">
        <is>
          <t>RAGUNDA</t>
        </is>
      </c>
      <c r="G902" t="n">
        <v>6</v>
      </c>
      <c r="H902" t="n">
        <v>0</v>
      </c>
      <c r="I902" t="n">
        <v>0</v>
      </c>
      <c r="J902" t="n">
        <v>0</v>
      </c>
      <c r="K902" t="n">
        <v>0</v>
      </c>
      <c r="L902" t="n">
        <v>0</v>
      </c>
      <c r="M902" t="n">
        <v>0</v>
      </c>
      <c r="N902" t="n">
        <v>0</v>
      </c>
      <c r="O902" t="n">
        <v>0</v>
      </c>
      <c r="P902" t="n">
        <v>0</v>
      </c>
      <c r="Q902" t="n">
        <v>0</v>
      </c>
      <c r="R902" s="2" t="inlineStr"/>
    </row>
    <row r="903" ht="15" customHeight="1">
      <c r="A903" t="inlineStr">
        <is>
          <t>A 9823-2025</t>
        </is>
      </c>
      <c r="B903" s="1" t="n">
        <v>45716</v>
      </c>
      <c r="C903" s="1" t="n">
        <v>46052</v>
      </c>
      <c r="D903" t="inlineStr">
        <is>
          <t>JÄMTLANDS LÄN</t>
        </is>
      </c>
      <c r="E903" t="inlineStr">
        <is>
          <t>RAGUNDA</t>
        </is>
      </c>
      <c r="F903" t="inlineStr">
        <is>
          <t>SCA</t>
        </is>
      </c>
      <c r="G903" t="n">
        <v>6.2</v>
      </c>
      <c r="H903" t="n">
        <v>0</v>
      </c>
      <c r="I903" t="n">
        <v>0</v>
      </c>
      <c r="J903" t="n">
        <v>0</v>
      </c>
      <c r="K903" t="n">
        <v>0</v>
      </c>
      <c r="L903" t="n">
        <v>0</v>
      </c>
      <c r="M903" t="n">
        <v>0</v>
      </c>
      <c r="N903" t="n">
        <v>0</v>
      </c>
      <c r="O903" t="n">
        <v>0</v>
      </c>
      <c r="P903" t="n">
        <v>0</v>
      </c>
      <c r="Q903" t="n">
        <v>0</v>
      </c>
      <c r="R903" s="2" t="inlineStr"/>
    </row>
    <row r="904" ht="15" customHeight="1">
      <c r="A904" t="inlineStr">
        <is>
          <t>A 13917-2023</t>
        </is>
      </c>
      <c r="B904" s="1" t="n">
        <v>45007</v>
      </c>
      <c r="C904" s="1" t="n">
        <v>46052</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41656-2025</t>
        </is>
      </c>
      <c r="B905" s="1" t="n">
        <v>45902.34423611111</v>
      </c>
      <c r="C905" s="1" t="n">
        <v>46052</v>
      </c>
      <c r="D905" t="inlineStr">
        <is>
          <t>JÄMTLANDS LÄN</t>
        </is>
      </c>
      <c r="E905" t="inlineStr">
        <is>
          <t>RAGUNDA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53019-2023</t>
        </is>
      </c>
      <c r="B906" s="1" t="n">
        <v>45222</v>
      </c>
      <c r="C906" s="1" t="n">
        <v>46052</v>
      </c>
      <c r="D906" t="inlineStr">
        <is>
          <t>JÄMTLANDS LÄN</t>
        </is>
      </c>
      <c r="E906" t="inlineStr">
        <is>
          <t>RAGUNDA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14212-2023</t>
        </is>
      </c>
      <c r="B907" s="1" t="n">
        <v>45009</v>
      </c>
      <c r="C907" s="1" t="n">
        <v>46052</v>
      </c>
      <c r="D907" t="inlineStr">
        <is>
          <t>JÄMTLANDS LÄN</t>
        </is>
      </c>
      <c r="E907" t="inlineStr">
        <is>
          <t>RAGUNDA</t>
        </is>
      </c>
      <c r="G907" t="n">
        <v>0.8</v>
      </c>
      <c r="H907" t="n">
        <v>0</v>
      </c>
      <c r="I907" t="n">
        <v>0</v>
      </c>
      <c r="J907" t="n">
        <v>0</v>
      </c>
      <c r="K907" t="n">
        <v>0</v>
      </c>
      <c r="L907" t="n">
        <v>0</v>
      </c>
      <c r="M907" t="n">
        <v>0</v>
      </c>
      <c r="N907" t="n">
        <v>0</v>
      </c>
      <c r="O907" t="n">
        <v>0</v>
      </c>
      <c r="P907" t="n">
        <v>0</v>
      </c>
      <c r="Q907" t="n">
        <v>0</v>
      </c>
      <c r="R907" s="2" t="inlineStr"/>
    </row>
    <row r="908" ht="15" customHeight="1">
      <c r="A908" t="inlineStr">
        <is>
          <t>A 59996-2023</t>
        </is>
      </c>
      <c r="B908" s="1" t="n">
        <v>45257.92826388889</v>
      </c>
      <c r="C908" s="1" t="n">
        <v>46052</v>
      </c>
      <c r="D908" t="inlineStr">
        <is>
          <t>JÄMTLANDS LÄN</t>
        </is>
      </c>
      <c r="E908" t="inlineStr">
        <is>
          <t>RAGUNDA</t>
        </is>
      </c>
      <c r="G908" t="n">
        <v>2.7</v>
      </c>
      <c r="H908" t="n">
        <v>0</v>
      </c>
      <c r="I908" t="n">
        <v>0</v>
      </c>
      <c r="J908" t="n">
        <v>0</v>
      </c>
      <c r="K908" t="n">
        <v>0</v>
      </c>
      <c r="L908" t="n">
        <v>0</v>
      </c>
      <c r="M908" t="n">
        <v>0</v>
      </c>
      <c r="N908" t="n">
        <v>0</v>
      </c>
      <c r="O908" t="n">
        <v>0</v>
      </c>
      <c r="P908" t="n">
        <v>0</v>
      </c>
      <c r="Q908" t="n">
        <v>0</v>
      </c>
      <c r="R908" s="2" t="inlineStr"/>
    </row>
    <row r="909" ht="15" customHeight="1">
      <c r="A909" t="inlineStr">
        <is>
          <t>A 69153-2021</t>
        </is>
      </c>
      <c r="B909" s="1" t="n">
        <v>44530.94694444445</v>
      </c>
      <c r="C909" s="1" t="n">
        <v>46052</v>
      </c>
      <c r="D909" t="inlineStr">
        <is>
          <t>JÄMTLANDS LÄN</t>
        </is>
      </c>
      <c r="E909" t="inlineStr">
        <is>
          <t>RAGUNDA</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12585-2024</t>
        </is>
      </c>
      <c r="B910" s="1" t="n">
        <v>45379.93637731481</v>
      </c>
      <c r="C910" s="1" t="n">
        <v>46052</v>
      </c>
      <c r="D910" t="inlineStr">
        <is>
          <t>JÄMTLANDS LÄN</t>
        </is>
      </c>
      <c r="E910" t="inlineStr">
        <is>
          <t>RAGUNDA</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55489-2024</t>
        </is>
      </c>
      <c r="B911" s="1" t="n">
        <v>45622.44774305556</v>
      </c>
      <c r="C911" s="1" t="n">
        <v>46052</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44980-2023</t>
        </is>
      </c>
      <c r="B912" s="1" t="n">
        <v>45190</v>
      </c>
      <c r="C912" s="1" t="n">
        <v>46052</v>
      </c>
      <c r="D912" t="inlineStr">
        <is>
          <t>JÄMTLANDS LÄN</t>
        </is>
      </c>
      <c r="E912" t="inlineStr">
        <is>
          <t>RAGUNDA</t>
        </is>
      </c>
      <c r="F912" t="inlineStr">
        <is>
          <t>SCA</t>
        </is>
      </c>
      <c r="G912" t="n">
        <v>5.2</v>
      </c>
      <c r="H912" t="n">
        <v>0</v>
      </c>
      <c r="I912" t="n">
        <v>0</v>
      </c>
      <c r="J912" t="n">
        <v>0</v>
      </c>
      <c r="K912" t="n">
        <v>0</v>
      </c>
      <c r="L912" t="n">
        <v>0</v>
      </c>
      <c r="M912" t="n">
        <v>0</v>
      </c>
      <c r="N912" t="n">
        <v>0</v>
      </c>
      <c r="O912" t="n">
        <v>0</v>
      </c>
      <c r="P912" t="n">
        <v>0</v>
      </c>
      <c r="Q912" t="n">
        <v>0</v>
      </c>
      <c r="R912" s="2" t="inlineStr"/>
    </row>
    <row r="913" ht="15" customHeight="1">
      <c r="A913" t="inlineStr">
        <is>
          <t>A 18631-2024</t>
        </is>
      </c>
      <c r="B913" s="1" t="n">
        <v>45425.96494212963</v>
      </c>
      <c r="C913" s="1" t="n">
        <v>46052</v>
      </c>
      <c r="D913" t="inlineStr">
        <is>
          <t>JÄMTLANDS LÄN</t>
        </is>
      </c>
      <c r="E913" t="inlineStr">
        <is>
          <t>RAGUNDA</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14076-2023</t>
        </is>
      </c>
      <c r="B914" s="1" t="n">
        <v>45009.0897337963</v>
      </c>
      <c r="C914" s="1" t="n">
        <v>46052</v>
      </c>
      <c r="D914" t="inlineStr">
        <is>
          <t>JÄMTLANDS LÄN</t>
        </is>
      </c>
      <c r="E914" t="inlineStr">
        <is>
          <t>RAGUNDA</t>
        </is>
      </c>
      <c r="F914" t="inlineStr">
        <is>
          <t>SCA</t>
        </is>
      </c>
      <c r="G914" t="n">
        <v>6.4</v>
      </c>
      <c r="H914" t="n">
        <v>0</v>
      </c>
      <c r="I914" t="n">
        <v>0</v>
      </c>
      <c r="J914" t="n">
        <v>0</v>
      </c>
      <c r="K914" t="n">
        <v>0</v>
      </c>
      <c r="L914" t="n">
        <v>0</v>
      </c>
      <c r="M914" t="n">
        <v>0</v>
      </c>
      <c r="N914" t="n">
        <v>0</v>
      </c>
      <c r="O914" t="n">
        <v>0</v>
      </c>
      <c r="P914" t="n">
        <v>0</v>
      </c>
      <c r="Q914" t="n">
        <v>0</v>
      </c>
      <c r="R914" s="2" t="inlineStr"/>
    </row>
    <row r="915" ht="15" customHeight="1">
      <c r="A915" t="inlineStr">
        <is>
          <t>A 26646-2023</t>
        </is>
      </c>
      <c r="B915" s="1" t="n">
        <v>45092</v>
      </c>
      <c r="C915" s="1" t="n">
        <v>46052</v>
      </c>
      <c r="D915" t="inlineStr">
        <is>
          <t>JÄMTLANDS LÄN</t>
        </is>
      </c>
      <c r="E915" t="inlineStr">
        <is>
          <t>RAGUNDA</t>
        </is>
      </c>
      <c r="G915" t="n">
        <v>1.4</v>
      </c>
      <c r="H915" t="n">
        <v>0</v>
      </c>
      <c r="I915" t="n">
        <v>0</v>
      </c>
      <c r="J915" t="n">
        <v>0</v>
      </c>
      <c r="K915" t="n">
        <v>0</v>
      </c>
      <c r="L915" t="n">
        <v>0</v>
      </c>
      <c r="M915" t="n">
        <v>0</v>
      </c>
      <c r="N915" t="n">
        <v>0</v>
      </c>
      <c r="O915" t="n">
        <v>0</v>
      </c>
      <c r="P915" t="n">
        <v>0</v>
      </c>
      <c r="Q915" t="n">
        <v>0</v>
      </c>
      <c r="R915" s="2" t="inlineStr"/>
    </row>
    <row r="916" ht="15" customHeight="1">
      <c r="A916" t="inlineStr">
        <is>
          <t>A 43405-2023</t>
        </is>
      </c>
      <c r="B916" s="1" t="n">
        <v>45183.95563657407</v>
      </c>
      <c r="C916" s="1" t="n">
        <v>46052</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59496-2024</t>
        </is>
      </c>
      <c r="B917" s="1" t="n">
        <v>45638</v>
      </c>
      <c r="C917" s="1" t="n">
        <v>46052</v>
      </c>
      <c r="D917" t="inlineStr">
        <is>
          <t>JÄMTLANDS LÄN</t>
        </is>
      </c>
      <c r="E917" t="inlineStr">
        <is>
          <t>RAGUNDA</t>
        </is>
      </c>
      <c r="G917" t="n">
        <v>13.1</v>
      </c>
      <c r="H917" t="n">
        <v>0</v>
      </c>
      <c r="I917" t="n">
        <v>0</v>
      </c>
      <c r="J917" t="n">
        <v>0</v>
      </c>
      <c r="K917" t="n">
        <v>0</v>
      </c>
      <c r="L917" t="n">
        <v>0</v>
      </c>
      <c r="M917" t="n">
        <v>0</v>
      </c>
      <c r="N917" t="n">
        <v>0</v>
      </c>
      <c r="O917" t="n">
        <v>0</v>
      </c>
      <c r="P917" t="n">
        <v>0</v>
      </c>
      <c r="Q917" t="n">
        <v>0</v>
      </c>
      <c r="R917" s="2" t="inlineStr"/>
    </row>
    <row r="918" ht="15" customHeight="1">
      <c r="A918" t="inlineStr">
        <is>
          <t>A 62106-2023</t>
        </is>
      </c>
      <c r="B918" s="1" t="n">
        <v>45266.95082175926</v>
      </c>
      <c r="C918" s="1" t="n">
        <v>46052</v>
      </c>
      <c r="D918" t="inlineStr">
        <is>
          <t>JÄMTLANDS LÄN</t>
        </is>
      </c>
      <c r="E918" t="inlineStr">
        <is>
          <t>RAGUNDA</t>
        </is>
      </c>
      <c r="F918" t="inlineStr">
        <is>
          <t>SCA</t>
        </is>
      </c>
      <c r="G918" t="n">
        <v>6.6</v>
      </c>
      <c r="H918" t="n">
        <v>0</v>
      </c>
      <c r="I918" t="n">
        <v>0</v>
      </c>
      <c r="J918" t="n">
        <v>0</v>
      </c>
      <c r="K918" t="n">
        <v>0</v>
      </c>
      <c r="L918" t="n">
        <v>0</v>
      </c>
      <c r="M918" t="n">
        <v>0</v>
      </c>
      <c r="N918" t="n">
        <v>0</v>
      </c>
      <c r="O918" t="n">
        <v>0</v>
      </c>
      <c r="P918" t="n">
        <v>0</v>
      </c>
      <c r="Q918" t="n">
        <v>0</v>
      </c>
      <c r="R918" s="2" t="inlineStr"/>
    </row>
    <row r="919" ht="15" customHeight="1">
      <c r="A919" t="inlineStr">
        <is>
          <t>A 18781-2024</t>
        </is>
      </c>
      <c r="B919" s="1" t="n">
        <v>45426</v>
      </c>
      <c r="C919" s="1" t="n">
        <v>46052</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42269-2025</t>
        </is>
      </c>
      <c r="B920" s="1" t="n">
        <v>45904.60431712963</v>
      </c>
      <c r="C920" s="1" t="n">
        <v>46052</v>
      </c>
      <c r="D920" t="inlineStr">
        <is>
          <t>JÄMTLANDS LÄN</t>
        </is>
      </c>
      <c r="E920" t="inlineStr">
        <is>
          <t>RAGUNDA</t>
        </is>
      </c>
      <c r="G920" t="n">
        <v>4.3</v>
      </c>
      <c r="H920" t="n">
        <v>0</v>
      </c>
      <c r="I920" t="n">
        <v>0</v>
      </c>
      <c r="J920" t="n">
        <v>0</v>
      </c>
      <c r="K920" t="n">
        <v>0</v>
      </c>
      <c r="L920" t="n">
        <v>0</v>
      </c>
      <c r="M920" t="n">
        <v>0</v>
      </c>
      <c r="N920" t="n">
        <v>0</v>
      </c>
      <c r="O920" t="n">
        <v>0</v>
      </c>
      <c r="P920" t="n">
        <v>0</v>
      </c>
      <c r="Q920" t="n">
        <v>0</v>
      </c>
      <c r="R920" s="2" t="inlineStr"/>
    </row>
    <row r="921" ht="15" customHeight="1">
      <c r="A921" t="inlineStr">
        <is>
          <t>A 62081-2022</t>
        </is>
      </c>
      <c r="B921" s="1" t="n">
        <v>44918</v>
      </c>
      <c r="C921" s="1" t="n">
        <v>46052</v>
      </c>
      <c r="D921" t="inlineStr">
        <is>
          <t>JÄMTLANDS LÄN</t>
        </is>
      </c>
      <c r="E921" t="inlineStr">
        <is>
          <t>RAGUNDA</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12805-2025</t>
        </is>
      </c>
      <c r="B922" s="1" t="n">
        <v>45733.61497685185</v>
      </c>
      <c r="C922" s="1" t="n">
        <v>46052</v>
      </c>
      <c r="D922" t="inlineStr">
        <is>
          <t>JÄMTLANDS LÄN</t>
        </is>
      </c>
      <c r="E922" t="inlineStr">
        <is>
          <t>RAGUNDA</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12808-2025</t>
        </is>
      </c>
      <c r="B923" s="1" t="n">
        <v>45733.61554398148</v>
      </c>
      <c r="C923" s="1" t="n">
        <v>46052</v>
      </c>
      <c r="D923" t="inlineStr">
        <is>
          <t>JÄMTLANDS LÄN</t>
        </is>
      </c>
      <c r="E923" t="inlineStr">
        <is>
          <t>RAGUNDA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4615-2023</t>
        </is>
      </c>
      <c r="B924" s="1" t="n">
        <v>44956.93924768519</v>
      </c>
      <c r="C924" s="1" t="n">
        <v>46052</v>
      </c>
      <c r="D924" t="inlineStr">
        <is>
          <t>JÄMTLANDS LÄN</t>
        </is>
      </c>
      <c r="E924" t="inlineStr">
        <is>
          <t>RAGUNDA</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33763-2025</t>
        </is>
      </c>
      <c r="B925" s="1" t="n">
        <v>45842.38579861111</v>
      </c>
      <c r="C925" s="1" t="n">
        <v>46052</v>
      </c>
      <c r="D925" t="inlineStr">
        <is>
          <t>JÄMTLANDS LÄN</t>
        </is>
      </c>
      <c r="E925" t="inlineStr">
        <is>
          <t>RAGUNDA</t>
        </is>
      </c>
      <c r="F925" t="inlineStr">
        <is>
          <t>SCA</t>
        </is>
      </c>
      <c r="G925" t="n">
        <v>13.4</v>
      </c>
      <c r="H925" t="n">
        <v>0</v>
      </c>
      <c r="I925" t="n">
        <v>0</v>
      </c>
      <c r="J925" t="n">
        <v>0</v>
      </c>
      <c r="K925" t="n">
        <v>0</v>
      </c>
      <c r="L925" t="n">
        <v>0</v>
      </c>
      <c r="M925" t="n">
        <v>0</v>
      </c>
      <c r="N925" t="n">
        <v>0</v>
      </c>
      <c r="O925" t="n">
        <v>0</v>
      </c>
      <c r="P925" t="n">
        <v>0</v>
      </c>
      <c r="Q925" t="n">
        <v>0</v>
      </c>
      <c r="R925" s="2" t="inlineStr"/>
    </row>
    <row r="926" ht="15" customHeight="1">
      <c r="A926" t="inlineStr">
        <is>
          <t>A 5938-2025</t>
        </is>
      </c>
      <c r="B926" s="1" t="n">
        <v>45695.45868055556</v>
      </c>
      <c r="C926" s="1" t="n">
        <v>46052</v>
      </c>
      <c r="D926" t="inlineStr">
        <is>
          <t>JÄMTLANDS LÄN</t>
        </is>
      </c>
      <c r="E926" t="inlineStr">
        <is>
          <t>RAGUNDA</t>
        </is>
      </c>
      <c r="G926" t="n">
        <v>1</v>
      </c>
      <c r="H926" t="n">
        <v>0</v>
      </c>
      <c r="I926" t="n">
        <v>0</v>
      </c>
      <c r="J926" t="n">
        <v>0</v>
      </c>
      <c r="K926" t="n">
        <v>0</v>
      </c>
      <c r="L926" t="n">
        <v>0</v>
      </c>
      <c r="M926" t="n">
        <v>0</v>
      </c>
      <c r="N926" t="n">
        <v>0</v>
      </c>
      <c r="O926" t="n">
        <v>0</v>
      </c>
      <c r="P926" t="n">
        <v>0</v>
      </c>
      <c r="Q926" t="n">
        <v>0</v>
      </c>
      <c r="R926" s="2" t="inlineStr"/>
    </row>
    <row r="927" ht="15" customHeight="1">
      <c r="A927" t="inlineStr">
        <is>
          <t>A 4125-2024</t>
        </is>
      </c>
      <c r="B927" s="1" t="n">
        <v>45323</v>
      </c>
      <c r="C927" s="1" t="n">
        <v>46052</v>
      </c>
      <c r="D927" t="inlineStr">
        <is>
          <t>JÄMTLANDS LÄN</t>
        </is>
      </c>
      <c r="E927" t="inlineStr">
        <is>
          <t>RAGUNDA</t>
        </is>
      </c>
      <c r="G927" t="n">
        <v>1</v>
      </c>
      <c r="H927" t="n">
        <v>0</v>
      </c>
      <c r="I927" t="n">
        <v>0</v>
      </c>
      <c r="J927" t="n">
        <v>0</v>
      </c>
      <c r="K927" t="n">
        <v>0</v>
      </c>
      <c r="L927" t="n">
        <v>0</v>
      </c>
      <c r="M927" t="n">
        <v>0</v>
      </c>
      <c r="N927" t="n">
        <v>0</v>
      </c>
      <c r="O927" t="n">
        <v>0</v>
      </c>
      <c r="P927" t="n">
        <v>0</v>
      </c>
      <c r="Q927" t="n">
        <v>0</v>
      </c>
      <c r="R927" s="2" t="inlineStr"/>
    </row>
    <row r="928" ht="15" customHeight="1">
      <c r="A928" t="inlineStr">
        <is>
          <t>A 30826-2023</t>
        </is>
      </c>
      <c r="B928" s="1" t="n">
        <v>45112</v>
      </c>
      <c r="C928" s="1" t="n">
        <v>46052</v>
      </c>
      <c r="D928" t="inlineStr">
        <is>
          <t>JÄMTLANDS LÄN</t>
        </is>
      </c>
      <c r="E928" t="inlineStr">
        <is>
          <t>RAGUNDA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53263-2024</t>
        </is>
      </c>
      <c r="B929" s="1" t="n">
        <v>45614.34541666666</v>
      </c>
      <c r="C929" s="1" t="n">
        <v>46052</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53549-2024</t>
        </is>
      </c>
      <c r="B930" s="1" t="n">
        <v>45614.63869212963</v>
      </c>
      <c r="C930" s="1" t="n">
        <v>46052</v>
      </c>
      <c r="D930" t="inlineStr">
        <is>
          <t>JÄMTLANDS LÄN</t>
        </is>
      </c>
      <c r="E930" t="inlineStr">
        <is>
          <t>RAGUNDA</t>
        </is>
      </c>
      <c r="F930" t="inlineStr">
        <is>
          <t>Kyrkan</t>
        </is>
      </c>
      <c r="G930" t="n">
        <v>1.7</v>
      </c>
      <c r="H930" t="n">
        <v>0</v>
      </c>
      <c r="I930" t="n">
        <v>0</v>
      </c>
      <c r="J930" t="n">
        <v>0</v>
      </c>
      <c r="K930" t="n">
        <v>0</v>
      </c>
      <c r="L930" t="n">
        <v>0</v>
      </c>
      <c r="M930" t="n">
        <v>0</v>
      </c>
      <c r="N930" t="n">
        <v>0</v>
      </c>
      <c r="O930" t="n">
        <v>0</v>
      </c>
      <c r="P930" t="n">
        <v>0</v>
      </c>
      <c r="Q930" t="n">
        <v>0</v>
      </c>
      <c r="R930" s="2" t="inlineStr"/>
    </row>
    <row r="931" ht="15" customHeight="1">
      <c r="A931" t="inlineStr">
        <is>
          <t>A 26645-2024</t>
        </is>
      </c>
      <c r="B931" s="1" t="n">
        <v>45469.94667824074</v>
      </c>
      <c r="C931" s="1" t="n">
        <v>46052</v>
      </c>
      <c r="D931" t="inlineStr">
        <is>
          <t>JÄMTLANDS LÄN</t>
        </is>
      </c>
      <c r="E931" t="inlineStr">
        <is>
          <t>RAGUNDA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893-2025</t>
        </is>
      </c>
      <c r="B932" s="1" t="n">
        <v>45665.65684027778</v>
      </c>
      <c r="C932" s="1" t="n">
        <v>46052</v>
      </c>
      <c r="D932" t="inlineStr">
        <is>
          <t>JÄMTLANDS LÄN</t>
        </is>
      </c>
      <c r="E932" t="inlineStr">
        <is>
          <t>RAGUNDA</t>
        </is>
      </c>
      <c r="F932" t="inlineStr">
        <is>
          <t>SCA</t>
        </is>
      </c>
      <c r="G932" t="n">
        <v>45.1</v>
      </c>
      <c r="H932" t="n">
        <v>0</v>
      </c>
      <c r="I932" t="n">
        <v>0</v>
      </c>
      <c r="J932" t="n">
        <v>0</v>
      </c>
      <c r="K932" t="n">
        <v>0</v>
      </c>
      <c r="L932" t="n">
        <v>0</v>
      </c>
      <c r="M932" t="n">
        <v>0</v>
      </c>
      <c r="N932" t="n">
        <v>0</v>
      </c>
      <c r="O932" t="n">
        <v>0</v>
      </c>
      <c r="P932" t="n">
        <v>0</v>
      </c>
      <c r="Q932" t="n">
        <v>0</v>
      </c>
      <c r="R932" s="2" t="inlineStr"/>
    </row>
    <row r="933" ht="15" customHeight="1">
      <c r="A933" t="inlineStr">
        <is>
          <t>A 31135-2023</t>
        </is>
      </c>
      <c r="B933" s="1" t="n">
        <v>45103</v>
      </c>
      <c r="C933" s="1" t="n">
        <v>46052</v>
      </c>
      <c r="D933" t="inlineStr">
        <is>
          <t>JÄMTLANDS LÄN</t>
        </is>
      </c>
      <c r="E933" t="inlineStr">
        <is>
          <t>RAGUNDA</t>
        </is>
      </c>
      <c r="G933" t="n">
        <v>0.9</v>
      </c>
      <c r="H933" t="n">
        <v>0</v>
      </c>
      <c r="I933" t="n">
        <v>0</v>
      </c>
      <c r="J933" t="n">
        <v>0</v>
      </c>
      <c r="K933" t="n">
        <v>0</v>
      </c>
      <c r="L933" t="n">
        <v>0</v>
      </c>
      <c r="M933" t="n">
        <v>0</v>
      </c>
      <c r="N933" t="n">
        <v>0</v>
      </c>
      <c r="O933" t="n">
        <v>0</v>
      </c>
      <c r="P933" t="n">
        <v>0</v>
      </c>
      <c r="Q933" t="n">
        <v>0</v>
      </c>
      <c r="R933" s="2" t="inlineStr"/>
    </row>
    <row r="934" ht="15" customHeight="1">
      <c r="A934" t="inlineStr">
        <is>
          <t>A 43177-2025</t>
        </is>
      </c>
      <c r="B934" s="1" t="n">
        <v>45910.40667824074</v>
      </c>
      <c r="C934" s="1" t="n">
        <v>46052</v>
      </c>
      <c r="D934" t="inlineStr">
        <is>
          <t>JÄMTLANDS LÄN</t>
        </is>
      </c>
      <c r="E934" t="inlineStr">
        <is>
          <t>RAGUNDA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43181-2025</t>
        </is>
      </c>
      <c r="B935" s="1" t="n">
        <v>45910.40721064815</v>
      </c>
      <c r="C935" s="1" t="n">
        <v>46052</v>
      </c>
      <c r="D935" t="inlineStr">
        <is>
          <t>JÄMTLANDS LÄN</t>
        </is>
      </c>
      <c r="E935" t="inlineStr">
        <is>
          <t>RAGUNDA</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7284-2025</t>
        </is>
      </c>
      <c r="B936" s="1" t="n">
        <v>45702.63604166666</v>
      </c>
      <c r="C936" s="1" t="n">
        <v>46052</v>
      </c>
      <c r="D936" t="inlineStr">
        <is>
          <t>JÄMTLANDS LÄN</t>
        </is>
      </c>
      <c r="E936" t="inlineStr">
        <is>
          <t>RAGUNDA</t>
        </is>
      </c>
      <c r="F936" t="inlineStr">
        <is>
          <t>SCA</t>
        </is>
      </c>
      <c r="G936" t="n">
        <v>0.3</v>
      </c>
      <c r="H936" t="n">
        <v>0</v>
      </c>
      <c r="I936" t="n">
        <v>0</v>
      </c>
      <c r="J936" t="n">
        <v>0</v>
      </c>
      <c r="K936" t="n">
        <v>0</v>
      </c>
      <c r="L936" t="n">
        <v>0</v>
      </c>
      <c r="M936" t="n">
        <v>0</v>
      </c>
      <c r="N936" t="n">
        <v>0</v>
      </c>
      <c r="O936" t="n">
        <v>0</v>
      </c>
      <c r="P936" t="n">
        <v>0</v>
      </c>
      <c r="Q936" t="n">
        <v>0</v>
      </c>
      <c r="R936" s="2" t="inlineStr"/>
    </row>
    <row r="937" ht="15" customHeight="1">
      <c r="A937" t="inlineStr">
        <is>
          <t>A 31506-2024</t>
        </is>
      </c>
      <c r="B937" s="1" t="n">
        <v>45505</v>
      </c>
      <c r="C937" s="1" t="n">
        <v>46052</v>
      </c>
      <c r="D937" t="inlineStr">
        <is>
          <t>JÄMTLANDS LÄN</t>
        </is>
      </c>
      <c r="E937" t="inlineStr">
        <is>
          <t>RAGUNDA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19382-2025</t>
        </is>
      </c>
      <c r="B938" s="1" t="n">
        <v>45769.65659722222</v>
      </c>
      <c r="C938" s="1" t="n">
        <v>46052</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43330-2025</t>
        </is>
      </c>
      <c r="B939" s="1" t="n">
        <v>45910.67766203704</v>
      </c>
      <c r="C939" s="1" t="n">
        <v>46052</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43132-2023</t>
        </is>
      </c>
      <c r="B940" s="1" t="n">
        <v>45182</v>
      </c>
      <c r="C940" s="1" t="n">
        <v>46052</v>
      </c>
      <c r="D940" t="inlineStr">
        <is>
          <t>JÄMTLANDS LÄN</t>
        </is>
      </c>
      <c r="E940" t="inlineStr">
        <is>
          <t>RAGUNDA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37479-2023</t>
        </is>
      </c>
      <c r="B941" s="1" t="n">
        <v>45156</v>
      </c>
      <c r="C941" s="1" t="n">
        <v>46052</v>
      </c>
      <c r="D941" t="inlineStr">
        <is>
          <t>JÄMTLANDS LÄN</t>
        </is>
      </c>
      <c r="E941" t="inlineStr">
        <is>
          <t>RAGUNDA</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5958-2021</t>
        </is>
      </c>
      <c r="B942" s="1" t="n">
        <v>44231</v>
      </c>
      <c r="C942" s="1" t="n">
        <v>46052</v>
      </c>
      <c r="D942" t="inlineStr">
        <is>
          <t>JÄMTLANDS LÄN</t>
        </is>
      </c>
      <c r="E942" t="inlineStr">
        <is>
          <t>RAGUNDA</t>
        </is>
      </c>
      <c r="G942" t="n">
        <v>3.1</v>
      </c>
      <c r="H942" t="n">
        <v>0</v>
      </c>
      <c r="I942" t="n">
        <v>0</v>
      </c>
      <c r="J942" t="n">
        <v>0</v>
      </c>
      <c r="K942" t="n">
        <v>0</v>
      </c>
      <c r="L942" t="n">
        <v>0</v>
      </c>
      <c r="M942" t="n">
        <v>0</v>
      </c>
      <c r="N942" t="n">
        <v>0</v>
      </c>
      <c r="O942" t="n">
        <v>0</v>
      </c>
      <c r="P942" t="n">
        <v>0</v>
      </c>
      <c r="Q942" t="n">
        <v>0</v>
      </c>
      <c r="R942" s="2" t="inlineStr"/>
    </row>
    <row r="943" ht="15" customHeight="1">
      <c r="A943" t="inlineStr">
        <is>
          <t>A 4866-2025</t>
        </is>
      </c>
      <c r="B943" s="1" t="n">
        <v>45688.67542824074</v>
      </c>
      <c r="C943" s="1" t="n">
        <v>46052</v>
      </c>
      <c r="D943" t="inlineStr">
        <is>
          <t>JÄMTLANDS LÄN</t>
        </is>
      </c>
      <c r="E943" t="inlineStr">
        <is>
          <t>RAGUNDA</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56284-2023</t>
        </is>
      </c>
      <c r="B944" s="1" t="n">
        <v>45241.95724537037</v>
      </c>
      <c r="C944" s="1" t="n">
        <v>46052</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11780-2024</t>
        </is>
      </c>
      <c r="B945" s="1" t="n">
        <v>45374</v>
      </c>
      <c r="C945" s="1" t="n">
        <v>46052</v>
      </c>
      <c r="D945" t="inlineStr">
        <is>
          <t>JÄMTLANDS LÄN</t>
        </is>
      </c>
      <c r="E945" t="inlineStr">
        <is>
          <t>RAGUNDA</t>
        </is>
      </c>
      <c r="G945" t="n">
        <v>14.6</v>
      </c>
      <c r="H945" t="n">
        <v>0</v>
      </c>
      <c r="I945" t="n">
        <v>0</v>
      </c>
      <c r="J945" t="n">
        <v>0</v>
      </c>
      <c r="K945" t="n">
        <v>0</v>
      </c>
      <c r="L945" t="n">
        <v>0</v>
      </c>
      <c r="M945" t="n">
        <v>0</v>
      </c>
      <c r="N945" t="n">
        <v>0</v>
      </c>
      <c r="O945" t="n">
        <v>0</v>
      </c>
      <c r="P945" t="n">
        <v>0</v>
      </c>
      <c r="Q945" t="n">
        <v>0</v>
      </c>
      <c r="R945" s="2" t="inlineStr"/>
    </row>
    <row r="946" ht="15" customHeight="1">
      <c r="A946" t="inlineStr">
        <is>
          <t>A 11288-2022</t>
        </is>
      </c>
      <c r="B946" s="1" t="n">
        <v>44629</v>
      </c>
      <c r="C946" s="1" t="n">
        <v>46052</v>
      </c>
      <c r="D946" t="inlineStr">
        <is>
          <t>JÄMTLANDS LÄN</t>
        </is>
      </c>
      <c r="E946" t="inlineStr">
        <is>
          <t>RAGUNDA</t>
        </is>
      </c>
      <c r="G946" t="n">
        <v>4.9</v>
      </c>
      <c r="H946" t="n">
        <v>0</v>
      </c>
      <c r="I946" t="n">
        <v>0</v>
      </c>
      <c r="J946" t="n">
        <v>0</v>
      </c>
      <c r="K946" t="n">
        <v>0</v>
      </c>
      <c r="L946" t="n">
        <v>0</v>
      </c>
      <c r="M946" t="n">
        <v>0</v>
      </c>
      <c r="N946" t="n">
        <v>0</v>
      </c>
      <c r="O946" t="n">
        <v>0</v>
      </c>
      <c r="P946" t="n">
        <v>0</v>
      </c>
      <c r="Q946" t="n">
        <v>0</v>
      </c>
      <c r="R946" s="2" t="inlineStr"/>
    </row>
    <row r="947" ht="15" customHeight="1">
      <c r="A947" t="inlineStr">
        <is>
          <t>A 18984-2023</t>
        </is>
      </c>
      <c r="B947" s="1" t="n">
        <v>45044</v>
      </c>
      <c r="C947" s="1" t="n">
        <v>46052</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66011-2021</t>
        </is>
      </c>
      <c r="B948" s="1" t="n">
        <v>44517.58137731482</v>
      </c>
      <c r="C948" s="1" t="n">
        <v>46052</v>
      </c>
      <c r="D948" t="inlineStr">
        <is>
          <t>JÄMTLANDS LÄN</t>
        </is>
      </c>
      <c r="E948" t="inlineStr">
        <is>
          <t>RAGUNDA</t>
        </is>
      </c>
      <c r="G948" t="n">
        <v>1.1</v>
      </c>
      <c r="H948" t="n">
        <v>0</v>
      </c>
      <c r="I948" t="n">
        <v>0</v>
      </c>
      <c r="J948" t="n">
        <v>0</v>
      </c>
      <c r="K948" t="n">
        <v>0</v>
      </c>
      <c r="L948" t="n">
        <v>0</v>
      </c>
      <c r="M948" t="n">
        <v>0</v>
      </c>
      <c r="N948" t="n">
        <v>0</v>
      </c>
      <c r="O948" t="n">
        <v>0</v>
      </c>
      <c r="P948" t="n">
        <v>0</v>
      </c>
      <c r="Q948" t="n">
        <v>0</v>
      </c>
      <c r="R948" s="2" t="inlineStr"/>
    </row>
    <row r="949" ht="15" customHeight="1">
      <c r="A949" t="inlineStr">
        <is>
          <t>A 43776-2025</t>
        </is>
      </c>
      <c r="B949" s="1" t="n">
        <v>45912.51086805556</v>
      </c>
      <c r="C949" s="1" t="n">
        <v>46052</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43971-2025</t>
        </is>
      </c>
      <c r="B950" s="1" t="n">
        <v>45915.40694444445</v>
      </c>
      <c r="C950" s="1" t="n">
        <v>46052</v>
      </c>
      <c r="D950" t="inlineStr">
        <is>
          <t>JÄMTLANDS LÄN</t>
        </is>
      </c>
      <c r="E950" t="inlineStr">
        <is>
          <t>RAGUNDA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43804-2025</t>
        </is>
      </c>
      <c r="B951" s="1" t="n">
        <v>45912.57373842593</v>
      </c>
      <c r="C951" s="1" t="n">
        <v>46052</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42509-2023</t>
        </is>
      </c>
      <c r="B952" s="1" t="n">
        <v>45180</v>
      </c>
      <c r="C952" s="1" t="n">
        <v>46052</v>
      </c>
      <c r="D952" t="inlineStr">
        <is>
          <t>JÄMTLANDS LÄN</t>
        </is>
      </c>
      <c r="E952" t="inlineStr">
        <is>
          <t>RAGUNDA</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46052</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61197-2023</t>
        </is>
      </c>
      <c r="B954" s="1" t="n">
        <v>45260</v>
      </c>
      <c r="C954" s="1" t="n">
        <v>46052</v>
      </c>
      <c r="D954" t="inlineStr">
        <is>
          <t>JÄMTLANDS LÄN</t>
        </is>
      </c>
      <c r="E954" t="inlineStr">
        <is>
          <t>RAGUNDA</t>
        </is>
      </c>
      <c r="G954" t="n">
        <v>2.5</v>
      </c>
      <c r="H954" t="n">
        <v>0</v>
      </c>
      <c r="I954" t="n">
        <v>0</v>
      </c>
      <c r="J954" t="n">
        <v>0</v>
      </c>
      <c r="K954" t="n">
        <v>0</v>
      </c>
      <c r="L954" t="n">
        <v>0</v>
      </c>
      <c r="M954" t="n">
        <v>0</v>
      </c>
      <c r="N954" t="n">
        <v>0</v>
      </c>
      <c r="O954" t="n">
        <v>0</v>
      </c>
      <c r="P954" t="n">
        <v>0</v>
      </c>
      <c r="Q954" t="n">
        <v>0</v>
      </c>
      <c r="R954" s="2" t="inlineStr"/>
    </row>
    <row r="955" ht="15" customHeight="1">
      <c r="A955" t="inlineStr">
        <is>
          <t>A 13263-2025</t>
        </is>
      </c>
      <c r="B955" s="1" t="n">
        <v>45735.53177083333</v>
      </c>
      <c r="C955" s="1" t="n">
        <v>46052</v>
      </c>
      <c r="D955" t="inlineStr">
        <is>
          <t>JÄMTLANDS LÄN</t>
        </is>
      </c>
      <c r="E955" t="inlineStr">
        <is>
          <t>RAGUNDA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48066-2022</t>
        </is>
      </c>
      <c r="B956" s="1" t="n">
        <v>44855</v>
      </c>
      <c r="C956" s="1" t="n">
        <v>46052</v>
      </c>
      <c r="D956" t="inlineStr">
        <is>
          <t>JÄMTLANDS LÄN</t>
        </is>
      </c>
      <c r="E956" t="inlineStr">
        <is>
          <t>RAGUNDA</t>
        </is>
      </c>
      <c r="F956" t="inlineStr">
        <is>
          <t>SCA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33615-2023</t>
        </is>
      </c>
      <c r="B957" s="1" t="n">
        <v>45119</v>
      </c>
      <c r="C957" s="1" t="n">
        <v>46052</v>
      </c>
      <c r="D957" t="inlineStr">
        <is>
          <t>JÄMTLANDS LÄN</t>
        </is>
      </c>
      <c r="E957" t="inlineStr">
        <is>
          <t>RAGUNDA</t>
        </is>
      </c>
      <c r="G957" t="n">
        <v>0.9</v>
      </c>
      <c r="H957" t="n">
        <v>0</v>
      </c>
      <c r="I957" t="n">
        <v>0</v>
      </c>
      <c r="J957" t="n">
        <v>0</v>
      </c>
      <c r="K957" t="n">
        <v>0</v>
      </c>
      <c r="L957" t="n">
        <v>0</v>
      </c>
      <c r="M957" t="n">
        <v>0</v>
      </c>
      <c r="N957" t="n">
        <v>0</v>
      </c>
      <c r="O957" t="n">
        <v>0</v>
      </c>
      <c r="P957" t="n">
        <v>0</v>
      </c>
      <c r="Q957" t="n">
        <v>0</v>
      </c>
      <c r="R957" s="2" t="inlineStr"/>
    </row>
    <row r="958" ht="15" customHeight="1">
      <c r="A958" t="inlineStr">
        <is>
          <t>A 42510-2023</t>
        </is>
      </c>
      <c r="B958" s="1" t="n">
        <v>45180.95927083334</v>
      </c>
      <c r="C958" s="1" t="n">
        <v>46052</v>
      </c>
      <c r="D958" t="inlineStr">
        <is>
          <t>JÄMTLANDS LÄN</t>
        </is>
      </c>
      <c r="E958" t="inlineStr">
        <is>
          <t>RAGUNDA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53860-2023</t>
        </is>
      </c>
      <c r="B959" s="1" t="n">
        <v>45224</v>
      </c>
      <c r="C959" s="1" t="n">
        <v>46052</v>
      </c>
      <c r="D959" t="inlineStr">
        <is>
          <t>JÄMTLANDS LÄN</t>
        </is>
      </c>
      <c r="E959" t="inlineStr">
        <is>
          <t>RAGUNDA</t>
        </is>
      </c>
      <c r="G959" t="n">
        <v>3.3</v>
      </c>
      <c r="H959" t="n">
        <v>0</v>
      </c>
      <c r="I959" t="n">
        <v>0</v>
      </c>
      <c r="J959" t="n">
        <v>0</v>
      </c>
      <c r="K959" t="n">
        <v>0</v>
      </c>
      <c r="L959" t="n">
        <v>0</v>
      </c>
      <c r="M959" t="n">
        <v>0</v>
      </c>
      <c r="N959" t="n">
        <v>0</v>
      </c>
      <c r="O959" t="n">
        <v>0</v>
      </c>
      <c r="P959" t="n">
        <v>0</v>
      </c>
      <c r="Q959" t="n">
        <v>0</v>
      </c>
      <c r="R959" s="2" t="inlineStr"/>
    </row>
    <row r="960" ht="15" customHeight="1">
      <c r="A960" t="inlineStr">
        <is>
          <t>A 64415-2023</t>
        </is>
      </c>
      <c r="B960" s="1" t="n">
        <v>45280</v>
      </c>
      <c r="C960" s="1" t="n">
        <v>46052</v>
      </c>
      <c r="D960" t="inlineStr">
        <is>
          <t>JÄMTLANDS LÄN</t>
        </is>
      </c>
      <c r="E960" t="inlineStr">
        <is>
          <t>RAGUNDA</t>
        </is>
      </c>
      <c r="G960" t="n">
        <v>5.1</v>
      </c>
      <c r="H960" t="n">
        <v>0</v>
      </c>
      <c r="I960" t="n">
        <v>0</v>
      </c>
      <c r="J960" t="n">
        <v>0</v>
      </c>
      <c r="K960" t="n">
        <v>0</v>
      </c>
      <c r="L960" t="n">
        <v>0</v>
      </c>
      <c r="M960" t="n">
        <v>0</v>
      </c>
      <c r="N960" t="n">
        <v>0</v>
      </c>
      <c r="O960" t="n">
        <v>0</v>
      </c>
      <c r="P960" t="n">
        <v>0</v>
      </c>
      <c r="Q960" t="n">
        <v>0</v>
      </c>
      <c r="R960" s="2" t="inlineStr"/>
    </row>
    <row r="961" ht="15" customHeight="1">
      <c r="A961" t="inlineStr">
        <is>
          <t>A 60225-2022</t>
        </is>
      </c>
      <c r="B961" s="1" t="n">
        <v>44903</v>
      </c>
      <c r="C961" s="1" t="n">
        <v>46052</v>
      </c>
      <c r="D961" t="inlineStr">
        <is>
          <t>JÄMTLANDS LÄN</t>
        </is>
      </c>
      <c r="E961" t="inlineStr">
        <is>
          <t>RAGUNDA</t>
        </is>
      </c>
      <c r="G961" t="n">
        <v>1</v>
      </c>
      <c r="H961" t="n">
        <v>0</v>
      </c>
      <c r="I961" t="n">
        <v>0</v>
      </c>
      <c r="J961" t="n">
        <v>0</v>
      </c>
      <c r="K961" t="n">
        <v>0</v>
      </c>
      <c r="L961" t="n">
        <v>0</v>
      </c>
      <c r="M961" t="n">
        <v>0</v>
      </c>
      <c r="N961" t="n">
        <v>0</v>
      </c>
      <c r="O961" t="n">
        <v>0</v>
      </c>
      <c r="P961" t="n">
        <v>0</v>
      </c>
      <c r="Q961" t="n">
        <v>0</v>
      </c>
      <c r="R961" s="2" t="inlineStr"/>
    </row>
    <row r="962" ht="15" customHeight="1">
      <c r="A962" t="inlineStr">
        <is>
          <t>A 12039-2023</t>
        </is>
      </c>
      <c r="B962" s="1" t="n">
        <v>44995.98341435185</v>
      </c>
      <c r="C962" s="1" t="n">
        <v>46052</v>
      </c>
      <c r="D962" t="inlineStr">
        <is>
          <t>JÄMTLANDS LÄN</t>
        </is>
      </c>
      <c r="E962" t="inlineStr">
        <is>
          <t>RAGUNDA</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15864-2024</t>
        </is>
      </c>
      <c r="B963" s="1" t="n">
        <v>45404.99792824074</v>
      </c>
      <c r="C963" s="1" t="n">
        <v>46052</v>
      </c>
      <c r="D963" t="inlineStr">
        <is>
          <t>JÄMTLANDS LÄN</t>
        </is>
      </c>
      <c r="E963" t="inlineStr">
        <is>
          <t>RAGUNDA</t>
        </is>
      </c>
      <c r="F963" t="inlineStr">
        <is>
          <t>SCA</t>
        </is>
      </c>
      <c r="G963" t="n">
        <v>1.1</v>
      </c>
      <c r="H963" t="n">
        <v>0</v>
      </c>
      <c r="I963" t="n">
        <v>0</v>
      </c>
      <c r="J963" t="n">
        <v>0</v>
      </c>
      <c r="K963" t="n">
        <v>0</v>
      </c>
      <c r="L963" t="n">
        <v>0</v>
      </c>
      <c r="M963" t="n">
        <v>0</v>
      </c>
      <c r="N963" t="n">
        <v>0</v>
      </c>
      <c r="O963" t="n">
        <v>0</v>
      </c>
      <c r="P963" t="n">
        <v>0</v>
      </c>
      <c r="Q963" t="n">
        <v>0</v>
      </c>
      <c r="R963" s="2" t="inlineStr"/>
      <c r="U963">
        <f>HYPERLINK("https://klasma.github.io/Logging_2303/knärot/A 15864-2024 karta knärot.png", "A 15864-2024")</f>
        <v/>
      </c>
      <c r="V963">
        <f>HYPERLINK("https://klasma.github.io/Logging_2303/klagomål/A 15864-2024 FSC-klagomål.docx", "A 15864-2024")</f>
        <v/>
      </c>
      <c r="W963">
        <f>HYPERLINK("https://klasma.github.io/Logging_2303/klagomålsmail/A 15864-2024 FSC-klagomål mail.docx", "A 15864-2024")</f>
        <v/>
      </c>
      <c r="X963">
        <f>HYPERLINK("https://klasma.github.io/Logging_2303/tillsyn/A 15864-2024 tillsynsbegäran.docx", "A 15864-2024")</f>
        <v/>
      </c>
      <c r="Y963">
        <f>HYPERLINK("https://klasma.github.io/Logging_2303/tillsynsmail/A 15864-2024 tillsynsbegäran mail.docx", "A 15864-2024")</f>
        <v/>
      </c>
    </row>
    <row r="964" ht="15" customHeight="1">
      <c r="A964" t="inlineStr">
        <is>
          <t>A 26991-2023</t>
        </is>
      </c>
      <c r="B964" s="1" t="n">
        <v>45093.92207175926</v>
      </c>
      <c r="C964" s="1" t="n">
        <v>46052</v>
      </c>
      <c r="D964" t="inlineStr">
        <is>
          <t>JÄMTLANDS LÄN</t>
        </is>
      </c>
      <c r="E964" t="inlineStr">
        <is>
          <t>RAGUNDA</t>
        </is>
      </c>
      <c r="G964" t="n">
        <v>1.4</v>
      </c>
      <c r="H964" t="n">
        <v>0</v>
      </c>
      <c r="I964" t="n">
        <v>0</v>
      </c>
      <c r="J964" t="n">
        <v>0</v>
      </c>
      <c r="K964" t="n">
        <v>0</v>
      </c>
      <c r="L964" t="n">
        <v>0</v>
      </c>
      <c r="M964" t="n">
        <v>0</v>
      </c>
      <c r="N964" t="n">
        <v>0</v>
      </c>
      <c r="O964" t="n">
        <v>0</v>
      </c>
      <c r="P964" t="n">
        <v>0</v>
      </c>
      <c r="Q964" t="n">
        <v>0</v>
      </c>
      <c r="R964" s="2" t="inlineStr"/>
    </row>
    <row r="965" ht="15" customHeight="1">
      <c r="A965" t="inlineStr">
        <is>
          <t>A 57749-2024</t>
        </is>
      </c>
      <c r="B965" s="1" t="n">
        <v>45630.7862037037</v>
      </c>
      <c r="C965" s="1" t="n">
        <v>46052</v>
      </c>
      <c r="D965" t="inlineStr">
        <is>
          <t>JÄMTLANDS LÄN</t>
        </is>
      </c>
      <c r="E965" t="inlineStr">
        <is>
          <t>RAGUNDA</t>
        </is>
      </c>
      <c r="G965" t="n">
        <v>1.3</v>
      </c>
      <c r="H965" t="n">
        <v>0</v>
      </c>
      <c r="I965" t="n">
        <v>0</v>
      </c>
      <c r="J965" t="n">
        <v>0</v>
      </c>
      <c r="K965" t="n">
        <v>0</v>
      </c>
      <c r="L965" t="n">
        <v>0</v>
      </c>
      <c r="M965" t="n">
        <v>0</v>
      </c>
      <c r="N965" t="n">
        <v>0</v>
      </c>
      <c r="O965" t="n">
        <v>0</v>
      </c>
      <c r="P965" t="n">
        <v>0</v>
      </c>
      <c r="Q965" t="n">
        <v>0</v>
      </c>
      <c r="R965" s="2" t="inlineStr"/>
    </row>
    <row r="966" ht="15" customHeight="1">
      <c r="A966" t="inlineStr">
        <is>
          <t>A 24280-2021</t>
        </is>
      </c>
      <c r="B966" s="1" t="n">
        <v>44336</v>
      </c>
      <c r="C966" s="1" t="n">
        <v>46052</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8886-2024</t>
        </is>
      </c>
      <c r="B967" s="1" t="n">
        <v>45357.05300925926</v>
      </c>
      <c r="C967" s="1" t="n">
        <v>46052</v>
      </c>
      <c r="D967" t="inlineStr">
        <is>
          <t>JÄMTLANDS LÄN</t>
        </is>
      </c>
      <c r="E967" t="inlineStr">
        <is>
          <t>RAGUNDA</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28596-2021</t>
        </is>
      </c>
      <c r="B968" s="1" t="n">
        <v>44356</v>
      </c>
      <c r="C968" s="1" t="n">
        <v>46052</v>
      </c>
      <c r="D968" t="inlineStr">
        <is>
          <t>JÄMTLANDS LÄN</t>
        </is>
      </c>
      <c r="E968" t="inlineStr">
        <is>
          <t>RAGUNDA</t>
        </is>
      </c>
      <c r="G968" t="n">
        <v>5.4</v>
      </c>
      <c r="H968" t="n">
        <v>0</v>
      </c>
      <c r="I968" t="n">
        <v>0</v>
      </c>
      <c r="J968" t="n">
        <v>0</v>
      </c>
      <c r="K968" t="n">
        <v>0</v>
      </c>
      <c r="L968" t="n">
        <v>0</v>
      </c>
      <c r="M968" t="n">
        <v>0</v>
      </c>
      <c r="N968" t="n">
        <v>0</v>
      </c>
      <c r="O968" t="n">
        <v>0</v>
      </c>
      <c r="P968" t="n">
        <v>0</v>
      </c>
      <c r="Q968" t="n">
        <v>0</v>
      </c>
      <c r="R968" s="2" t="inlineStr"/>
    </row>
    <row r="969" ht="15" customHeight="1">
      <c r="A969" t="inlineStr">
        <is>
          <t>A 13302-2022</t>
        </is>
      </c>
      <c r="B969" s="1" t="n">
        <v>44644</v>
      </c>
      <c r="C969" s="1" t="n">
        <v>46052</v>
      </c>
      <c r="D969" t="inlineStr">
        <is>
          <t>JÄMTLANDS LÄN</t>
        </is>
      </c>
      <c r="E969" t="inlineStr">
        <is>
          <t>RAGUNDA</t>
        </is>
      </c>
      <c r="F969" t="inlineStr">
        <is>
          <t>SCA</t>
        </is>
      </c>
      <c r="G969" t="n">
        <v>35.6</v>
      </c>
      <c r="H969" t="n">
        <v>0</v>
      </c>
      <c r="I969" t="n">
        <v>0</v>
      </c>
      <c r="J969" t="n">
        <v>0</v>
      </c>
      <c r="K969" t="n">
        <v>0</v>
      </c>
      <c r="L969" t="n">
        <v>0</v>
      </c>
      <c r="M969" t="n">
        <v>0</v>
      </c>
      <c r="N969" t="n">
        <v>0</v>
      </c>
      <c r="O969" t="n">
        <v>0</v>
      </c>
      <c r="P969" t="n">
        <v>0</v>
      </c>
      <c r="Q969" t="n">
        <v>0</v>
      </c>
      <c r="R969" s="2" t="inlineStr"/>
    </row>
    <row r="970" ht="15" customHeight="1">
      <c r="A970" t="inlineStr">
        <is>
          <t>A 11058-2025</t>
        </is>
      </c>
      <c r="B970" s="1" t="n">
        <v>45723.51079861111</v>
      </c>
      <c r="C970" s="1" t="n">
        <v>46052</v>
      </c>
      <c r="D970" t="inlineStr">
        <is>
          <t>JÄMTLANDS LÄN</t>
        </is>
      </c>
      <c r="E970" t="inlineStr">
        <is>
          <t>RAGUNDA</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26651-2024</t>
        </is>
      </c>
      <c r="B971" s="1" t="n">
        <v>45469.94876157407</v>
      </c>
      <c r="C971" s="1" t="n">
        <v>46052</v>
      </c>
      <c r="D971" t="inlineStr">
        <is>
          <t>JÄMTLANDS LÄN</t>
        </is>
      </c>
      <c r="E971" t="inlineStr">
        <is>
          <t>RAGUNDA</t>
        </is>
      </c>
      <c r="F971" t="inlineStr">
        <is>
          <t>SCA</t>
        </is>
      </c>
      <c r="G971" t="n">
        <v>10.4</v>
      </c>
      <c r="H971" t="n">
        <v>0</v>
      </c>
      <c r="I971" t="n">
        <v>0</v>
      </c>
      <c r="J971" t="n">
        <v>0</v>
      </c>
      <c r="K971" t="n">
        <v>0</v>
      </c>
      <c r="L971" t="n">
        <v>0</v>
      </c>
      <c r="M971" t="n">
        <v>0</v>
      </c>
      <c r="N971" t="n">
        <v>0</v>
      </c>
      <c r="O971" t="n">
        <v>0</v>
      </c>
      <c r="P971" t="n">
        <v>0</v>
      </c>
      <c r="Q971" t="n">
        <v>0</v>
      </c>
      <c r="R971" s="2" t="inlineStr"/>
    </row>
    <row r="972" ht="15" customHeight="1">
      <c r="A972" t="inlineStr">
        <is>
          <t>A 38664-2022</t>
        </is>
      </c>
      <c r="B972" s="1" t="n">
        <v>44813</v>
      </c>
      <c r="C972" s="1" t="n">
        <v>46052</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40919-2024</t>
        </is>
      </c>
      <c r="B973" s="1" t="n">
        <v>45558.63575231482</v>
      </c>
      <c r="C973" s="1" t="n">
        <v>46052</v>
      </c>
      <c r="D973" t="inlineStr">
        <is>
          <t>JÄMTLANDS LÄN</t>
        </is>
      </c>
      <c r="E973" t="inlineStr">
        <is>
          <t>RAGUNDA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3186-2025</t>
        </is>
      </c>
      <c r="B974" s="1" t="n">
        <v>45679.40362268518</v>
      </c>
      <c r="C974" s="1" t="n">
        <v>46052</v>
      </c>
      <c r="D974" t="inlineStr">
        <is>
          <t>JÄMTLANDS LÄN</t>
        </is>
      </c>
      <c r="E974" t="inlineStr">
        <is>
          <t>RAGUNDA</t>
        </is>
      </c>
      <c r="G974" t="n">
        <v>5.2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46052</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26455-2023</t>
        </is>
      </c>
      <c r="B976" s="1" t="n">
        <v>45092</v>
      </c>
      <c r="C976" s="1" t="n">
        <v>46052</v>
      </c>
      <c r="D976" t="inlineStr">
        <is>
          <t>JÄMTLANDS LÄN</t>
        </is>
      </c>
      <c r="E976" t="inlineStr">
        <is>
          <t>RAGUNDA</t>
        </is>
      </c>
      <c r="G976" t="n">
        <v>3.8</v>
      </c>
      <c r="H976" t="n">
        <v>0</v>
      </c>
      <c r="I976" t="n">
        <v>0</v>
      </c>
      <c r="J976" t="n">
        <v>0</v>
      </c>
      <c r="K976" t="n">
        <v>0</v>
      </c>
      <c r="L976" t="n">
        <v>0</v>
      </c>
      <c r="M976" t="n">
        <v>0</v>
      </c>
      <c r="N976" t="n">
        <v>0</v>
      </c>
      <c r="O976" t="n">
        <v>0</v>
      </c>
      <c r="P976" t="n">
        <v>0</v>
      </c>
      <c r="Q976" t="n">
        <v>0</v>
      </c>
      <c r="R976" s="2" t="inlineStr"/>
    </row>
    <row r="977" ht="15" customHeight="1">
      <c r="A977" t="inlineStr">
        <is>
          <t>A 10639-2024</t>
        </is>
      </c>
      <c r="B977" s="1" t="n">
        <v>45367.67256944445</v>
      </c>
      <c r="C977" s="1" t="n">
        <v>46052</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24441-2024</t>
        </is>
      </c>
      <c r="B978" s="1" t="n">
        <v>45457.96372685185</v>
      </c>
      <c r="C978" s="1" t="n">
        <v>46052</v>
      </c>
      <c r="D978" t="inlineStr">
        <is>
          <t>JÄMTLANDS LÄN</t>
        </is>
      </c>
      <c r="E978" t="inlineStr">
        <is>
          <t>RAGUNDA</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2751-2024</t>
        </is>
      </c>
      <c r="B979" s="1" t="n">
        <v>45314</v>
      </c>
      <c r="C979" s="1" t="n">
        <v>46052</v>
      </c>
      <c r="D979" t="inlineStr">
        <is>
          <t>JÄMTLANDS LÄN</t>
        </is>
      </c>
      <c r="E979" t="inlineStr">
        <is>
          <t>RAGUNDA</t>
        </is>
      </c>
      <c r="G979" t="n">
        <v>1.8</v>
      </c>
      <c r="H979" t="n">
        <v>0</v>
      </c>
      <c r="I979" t="n">
        <v>0</v>
      </c>
      <c r="J979" t="n">
        <v>0</v>
      </c>
      <c r="K979" t="n">
        <v>0</v>
      </c>
      <c r="L979" t="n">
        <v>0</v>
      </c>
      <c r="M979" t="n">
        <v>0</v>
      </c>
      <c r="N979" t="n">
        <v>0</v>
      </c>
      <c r="O979" t="n">
        <v>0</v>
      </c>
      <c r="P979" t="n">
        <v>0</v>
      </c>
      <c r="Q979" t="n">
        <v>0</v>
      </c>
      <c r="R979" s="2" t="inlineStr"/>
    </row>
    <row r="980" ht="15" customHeight="1">
      <c r="A980" t="inlineStr">
        <is>
          <t>A 40801-2023</t>
        </is>
      </c>
      <c r="B980" s="1" t="n">
        <v>45170</v>
      </c>
      <c r="C980" s="1" t="n">
        <v>46052</v>
      </c>
      <c r="D980" t="inlineStr">
        <is>
          <t>JÄMTLANDS LÄN</t>
        </is>
      </c>
      <c r="E980" t="inlineStr">
        <is>
          <t>RAGUNDA</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36317-2024</t>
        </is>
      </c>
      <c r="B981" s="1" t="n">
        <v>45534.63537037037</v>
      </c>
      <c r="C981" s="1" t="n">
        <v>46052</v>
      </c>
      <c r="D981" t="inlineStr">
        <is>
          <t>JÄMTLANDS LÄN</t>
        </is>
      </c>
      <c r="E981" t="inlineStr">
        <is>
          <t>RAGUNDA</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18614-2024</t>
        </is>
      </c>
      <c r="B982" s="1" t="n">
        <v>45425.96263888889</v>
      </c>
      <c r="C982" s="1" t="n">
        <v>46052</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48065-2023</t>
        </is>
      </c>
      <c r="B983" s="1" t="n">
        <v>45204.94399305555</v>
      </c>
      <c r="C983" s="1" t="n">
        <v>46052</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8787-2022</t>
        </is>
      </c>
      <c r="B984" s="1" t="n">
        <v>44614</v>
      </c>
      <c r="C984" s="1" t="n">
        <v>46052</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4592-2024</t>
        </is>
      </c>
      <c r="B985" s="1" t="n">
        <v>45327.94443287037</v>
      </c>
      <c r="C985" s="1" t="n">
        <v>46052</v>
      </c>
      <c r="D985" t="inlineStr">
        <is>
          <t>JÄMTLANDS LÄN</t>
        </is>
      </c>
      <c r="E985" t="inlineStr">
        <is>
          <t>RAGUNDA</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60195-2023</t>
        </is>
      </c>
      <c r="B986" s="1" t="n">
        <v>45257</v>
      </c>
      <c r="C986" s="1" t="n">
        <v>46052</v>
      </c>
      <c r="D986" t="inlineStr">
        <is>
          <t>JÄMTLANDS LÄN</t>
        </is>
      </c>
      <c r="E986" t="inlineStr">
        <is>
          <t>RAGUNDA</t>
        </is>
      </c>
      <c r="G986" t="n">
        <v>1.7</v>
      </c>
      <c r="H986" t="n">
        <v>0</v>
      </c>
      <c r="I986" t="n">
        <v>0</v>
      </c>
      <c r="J986" t="n">
        <v>0</v>
      </c>
      <c r="K986" t="n">
        <v>0</v>
      </c>
      <c r="L986" t="n">
        <v>0</v>
      </c>
      <c r="M986" t="n">
        <v>0</v>
      </c>
      <c r="N986" t="n">
        <v>0</v>
      </c>
      <c r="O986" t="n">
        <v>0</v>
      </c>
      <c r="P986" t="n">
        <v>0</v>
      </c>
      <c r="Q986" t="n">
        <v>0</v>
      </c>
      <c r="R986" s="2" t="inlineStr"/>
    </row>
    <row r="987" ht="15" customHeight="1">
      <c r="A987" t="inlineStr">
        <is>
          <t>A 5967-2021</t>
        </is>
      </c>
      <c r="B987" s="1" t="n">
        <v>44231</v>
      </c>
      <c r="C987" s="1" t="n">
        <v>46052</v>
      </c>
      <c r="D987" t="inlineStr">
        <is>
          <t>JÄMTLANDS LÄN</t>
        </is>
      </c>
      <c r="E987" t="inlineStr">
        <is>
          <t>RAGUNDA</t>
        </is>
      </c>
      <c r="G987" t="n">
        <v>3.6</v>
      </c>
      <c r="H987" t="n">
        <v>0</v>
      </c>
      <c r="I987" t="n">
        <v>0</v>
      </c>
      <c r="J987" t="n">
        <v>0</v>
      </c>
      <c r="K987" t="n">
        <v>0</v>
      </c>
      <c r="L987" t="n">
        <v>0</v>
      </c>
      <c r="M987" t="n">
        <v>0</v>
      </c>
      <c r="N987" t="n">
        <v>0</v>
      </c>
      <c r="O987" t="n">
        <v>0</v>
      </c>
      <c r="P987" t="n">
        <v>0</v>
      </c>
      <c r="Q987" t="n">
        <v>0</v>
      </c>
      <c r="R987" s="2" t="inlineStr"/>
    </row>
    <row r="988" ht="15" customHeight="1">
      <c r="A988" t="inlineStr">
        <is>
          <t>A 50431-2024</t>
        </is>
      </c>
      <c r="B988" s="1" t="n">
        <v>45601.40686342592</v>
      </c>
      <c r="C988" s="1" t="n">
        <v>46052</v>
      </c>
      <c r="D988" t="inlineStr">
        <is>
          <t>JÄMTLANDS LÄN</t>
        </is>
      </c>
      <c r="E988" t="inlineStr">
        <is>
          <t>RAGUNDA</t>
        </is>
      </c>
      <c r="F988" t="inlineStr">
        <is>
          <t>SCA</t>
        </is>
      </c>
      <c r="G988" t="n">
        <v>8.5</v>
      </c>
      <c r="H988" t="n">
        <v>0</v>
      </c>
      <c r="I988" t="n">
        <v>0</v>
      </c>
      <c r="J988" t="n">
        <v>0</v>
      </c>
      <c r="K988" t="n">
        <v>0</v>
      </c>
      <c r="L988" t="n">
        <v>0</v>
      </c>
      <c r="M988" t="n">
        <v>0</v>
      </c>
      <c r="N988" t="n">
        <v>0</v>
      </c>
      <c r="O988" t="n">
        <v>0</v>
      </c>
      <c r="P988" t="n">
        <v>0</v>
      </c>
      <c r="Q988" t="n">
        <v>0</v>
      </c>
      <c r="R988" s="2" t="inlineStr"/>
    </row>
    <row r="989" ht="15" customHeight="1">
      <c r="A989" t="inlineStr">
        <is>
          <t>A 45279-2025</t>
        </is>
      </c>
      <c r="B989" s="1" t="n">
        <v>45919.71912037037</v>
      </c>
      <c r="C989" s="1" t="n">
        <v>46052</v>
      </c>
      <c r="D989" t="inlineStr">
        <is>
          <t>JÄMTLANDS LÄN</t>
        </is>
      </c>
      <c r="E989" t="inlineStr">
        <is>
          <t>RAGUNDA</t>
        </is>
      </c>
      <c r="F989" t="inlineStr">
        <is>
          <t>SCA</t>
        </is>
      </c>
      <c r="G989" t="n">
        <v>11.5</v>
      </c>
      <c r="H989" t="n">
        <v>0</v>
      </c>
      <c r="I989" t="n">
        <v>0</v>
      </c>
      <c r="J989" t="n">
        <v>0</v>
      </c>
      <c r="K989" t="n">
        <v>0</v>
      </c>
      <c r="L989" t="n">
        <v>0</v>
      </c>
      <c r="M989" t="n">
        <v>0</v>
      </c>
      <c r="N989" t="n">
        <v>0</v>
      </c>
      <c r="O989" t="n">
        <v>0</v>
      </c>
      <c r="P989" t="n">
        <v>0</v>
      </c>
      <c r="Q989" t="n">
        <v>0</v>
      </c>
      <c r="R989" s="2" t="inlineStr"/>
    </row>
    <row r="990" ht="15" customHeight="1">
      <c r="A990" t="inlineStr">
        <is>
          <t>A 22981-2023</t>
        </is>
      </c>
      <c r="B990" s="1" t="n">
        <v>45072.92737268518</v>
      </c>
      <c r="C990" s="1" t="n">
        <v>46052</v>
      </c>
      <c r="D990" t="inlineStr">
        <is>
          <t>JÄMTLANDS LÄN</t>
        </is>
      </c>
      <c r="E990" t="inlineStr">
        <is>
          <t>RAGUNDA</t>
        </is>
      </c>
      <c r="G990" t="n">
        <v>3.8</v>
      </c>
      <c r="H990" t="n">
        <v>0</v>
      </c>
      <c r="I990" t="n">
        <v>0</v>
      </c>
      <c r="J990" t="n">
        <v>0</v>
      </c>
      <c r="K990" t="n">
        <v>0</v>
      </c>
      <c r="L990" t="n">
        <v>0</v>
      </c>
      <c r="M990" t="n">
        <v>0</v>
      </c>
      <c r="N990" t="n">
        <v>0</v>
      </c>
      <c r="O990" t="n">
        <v>0</v>
      </c>
      <c r="P990" t="n">
        <v>0</v>
      </c>
      <c r="Q990" t="n">
        <v>0</v>
      </c>
      <c r="R990" s="2" t="inlineStr"/>
    </row>
    <row r="991" ht="15" customHeight="1">
      <c r="A991" t="inlineStr">
        <is>
          <t>A 60936-2024</t>
        </is>
      </c>
      <c r="B991" s="1" t="n">
        <v>45645.36743055555</v>
      </c>
      <c r="C991" s="1" t="n">
        <v>46052</v>
      </c>
      <c r="D991" t="inlineStr">
        <is>
          <t>JÄMTLANDS LÄN</t>
        </is>
      </c>
      <c r="E991" t="inlineStr">
        <is>
          <t>RAGUNDA</t>
        </is>
      </c>
      <c r="G991" t="n">
        <v>1.2</v>
      </c>
      <c r="H991" t="n">
        <v>0</v>
      </c>
      <c r="I991" t="n">
        <v>0</v>
      </c>
      <c r="J991" t="n">
        <v>0</v>
      </c>
      <c r="K991" t="n">
        <v>0</v>
      </c>
      <c r="L991" t="n">
        <v>0</v>
      </c>
      <c r="M991" t="n">
        <v>0</v>
      </c>
      <c r="N991" t="n">
        <v>0</v>
      </c>
      <c r="O991" t="n">
        <v>0</v>
      </c>
      <c r="P991" t="n">
        <v>0</v>
      </c>
      <c r="Q991" t="n">
        <v>0</v>
      </c>
      <c r="R991" s="2" t="inlineStr"/>
    </row>
    <row r="992" ht="15" customHeight="1">
      <c r="A992" t="inlineStr">
        <is>
          <t>A 4212-2024</t>
        </is>
      </c>
      <c r="B992" s="1" t="n">
        <v>45324</v>
      </c>
      <c r="C992" s="1" t="n">
        <v>46052</v>
      </c>
      <c r="D992" t="inlineStr">
        <is>
          <t>JÄMTLANDS LÄN</t>
        </is>
      </c>
      <c r="E992" t="inlineStr">
        <is>
          <t>RAGUNDA</t>
        </is>
      </c>
      <c r="G992" t="n">
        <v>2</v>
      </c>
      <c r="H992" t="n">
        <v>0</v>
      </c>
      <c r="I992" t="n">
        <v>0</v>
      </c>
      <c r="J992" t="n">
        <v>0</v>
      </c>
      <c r="K992" t="n">
        <v>0</v>
      </c>
      <c r="L992" t="n">
        <v>0</v>
      </c>
      <c r="M992" t="n">
        <v>0</v>
      </c>
      <c r="N992" t="n">
        <v>0</v>
      </c>
      <c r="O992" t="n">
        <v>0</v>
      </c>
      <c r="P992" t="n">
        <v>0</v>
      </c>
      <c r="Q992" t="n">
        <v>0</v>
      </c>
      <c r="R992" s="2" t="inlineStr"/>
    </row>
    <row r="993" ht="15" customHeight="1">
      <c r="A993" t="inlineStr">
        <is>
          <t>A 26942-2021</t>
        </is>
      </c>
      <c r="B993" s="1" t="n">
        <v>44349.91978009259</v>
      </c>
      <c r="C993" s="1" t="n">
        <v>46052</v>
      </c>
      <c r="D993" t="inlineStr">
        <is>
          <t>JÄMTLANDS LÄN</t>
        </is>
      </c>
      <c r="E993" t="inlineStr">
        <is>
          <t>RAGUNDA</t>
        </is>
      </c>
      <c r="G993" t="n">
        <v>6.2</v>
      </c>
      <c r="H993" t="n">
        <v>0</v>
      </c>
      <c r="I993" t="n">
        <v>0</v>
      </c>
      <c r="J993" t="n">
        <v>0</v>
      </c>
      <c r="K993" t="n">
        <v>0</v>
      </c>
      <c r="L993" t="n">
        <v>0</v>
      </c>
      <c r="M993" t="n">
        <v>0</v>
      </c>
      <c r="N993" t="n">
        <v>0</v>
      </c>
      <c r="O993" t="n">
        <v>0</v>
      </c>
      <c r="P993" t="n">
        <v>0</v>
      </c>
      <c r="Q993" t="n">
        <v>0</v>
      </c>
      <c r="R993" s="2" t="inlineStr"/>
    </row>
    <row r="994" ht="15" customHeight="1">
      <c r="A994" t="inlineStr">
        <is>
          <t>A 9262-2025</t>
        </is>
      </c>
      <c r="B994" s="1" t="n">
        <v>45714.60649305556</v>
      </c>
      <c r="C994" s="1" t="n">
        <v>46052</v>
      </c>
      <c r="D994" t="inlineStr">
        <is>
          <t>JÄMTLANDS LÄN</t>
        </is>
      </c>
      <c r="E994" t="inlineStr">
        <is>
          <t>RAGUNDA</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44954-2025</t>
        </is>
      </c>
      <c r="B995" s="1" t="n">
        <v>45918.61203703703</v>
      </c>
      <c r="C995" s="1" t="n">
        <v>46052</v>
      </c>
      <c r="D995" t="inlineStr">
        <is>
          <t>JÄMTLANDS LÄN</t>
        </is>
      </c>
      <c r="E995" t="inlineStr">
        <is>
          <t>RAGUNDA</t>
        </is>
      </c>
      <c r="G995" t="n">
        <v>3</v>
      </c>
      <c r="H995" t="n">
        <v>0</v>
      </c>
      <c r="I995" t="n">
        <v>0</v>
      </c>
      <c r="J995" t="n">
        <v>0</v>
      </c>
      <c r="K995" t="n">
        <v>0</v>
      </c>
      <c r="L995" t="n">
        <v>0</v>
      </c>
      <c r="M995" t="n">
        <v>0</v>
      </c>
      <c r="N995" t="n">
        <v>0</v>
      </c>
      <c r="O995" t="n">
        <v>0</v>
      </c>
      <c r="P995" t="n">
        <v>0</v>
      </c>
      <c r="Q995" t="n">
        <v>0</v>
      </c>
      <c r="R995" s="2" t="inlineStr"/>
    </row>
    <row r="996" ht="15" customHeight="1">
      <c r="A996" t="inlineStr">
        <is>
          <t>A 46546-2023</t>
        </is>
      </c>
      <c r="B996" s="1" t="n">
        <v>45197.94152777778</v>
      </c>
      <c r="C996" s="1" t="n">
        <v>46052</v>
      </c>
      <c r="D996" t="inlineStr">
        <is>
          <t>JÄMTLANDS LÄN</t>
        </is>
      </c>
      <c r="E996" t="inlineStr">
        <is>
          <t>RAGUNDA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19865-2023</t>
        </is>
      </c>
      <c r="B997" s="1" t="n">
        <v>45053.94305555556</v>
      </c>
      <c r="C997" s="1" t="n">
        <v>46052</v>
      </c>
      <c r="D997" t="inlineStr">
        <is>
          <t>JÄMTLANDS LÄN</t>
        </is>
      </c>
      <c r="E997" t="inlineStr">
        <is>
          <t>RAGUNDA</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60012-2023</t>
        </is>
      </c>
      <c r="B998" s="1" t="n">
        <v>45257</v>
      </c>
      <c r="C998" s="1" t="n">
        <v>46052</v>
      </c>
      <c r="D998" t="inlineStr">
        <is>
          <t>JÄMTLANDS LÄN</t>
        </is>
      </c>
      <c r="E998" t="inlineStr">
        <is>
          <t>RAGUNDA</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53676-2022</t>
        </is>
      </c>
      <c r="B999" s="1" t="n">
        <v>44879</v>
      </c>
      <c r="C999" s="1" t="n">
        <v>46052</v>
      </c>
      <c r="D999" t="inlineStr">
        <is>
          <t>JÄMTLANDS LÄN</t>
        </is>
      </c>
      <c r="E999" t="inlineStr">
        <is>
          <t>RAGUNDA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564-2025</t>
        </is>
      </c>
      <c r="B1000" s="1" t="n">
        <v>45664.55241898148</v>
      </c>
      <c r="C1000" s="1" t="n">
        <v>46052</v>
      </c>
      <c r="D1000" t="inlineStr">
        <is>
          <t>JÄMTLANDS LÄN</t>
        </is>
      </c>
      <c r="E1000" t="inlineStr">
        <is>
          <t>RAGUNDA</t>
        </is>
      </c>
      <c r="F1000" t="inlineStr">
        <is>
          <t>SCA</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56504-2024</t>
        </is>
      </c>
      <c r="B1001" s="1" t="n">
        <v>45625.51068287037</v>
      </c>
      <c r="C1001" s="1" t="n">
        <v>46052</v>
      </c>
      <c r="D1001" t="inlineStr">
        <is>
          <t>JÄMTLANDS LÄN</t>
        </is>
      </c>
      <c r="E1001" t="inlineStr">
        <is>
          <t>RAGUNDA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50555-2024</t>
        </is>
      </c>
      <c r="B1002" s="1" t="n">
        <v>45601.59518518519</v>
      </c>
      <c r="C1002" s="1" t="n">
        <v>46052</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934-2023</t>
        </is>
      </c>
      <c r="B1003" s="1" t="n">
        <v>44932.93927083333</v>
      </c>
      <c r="C1003" s="1" t="n">
        <v>46052</v>
      </c>
      <c r="D1003" t="inlineStr">
        <is>
          <t>JÄMTLANDS LÄN</t>
        </is>
      </c>
      <c r="E1003" t="inlineStr">
        <is>
          <t>RAGUNDA</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36106-2022</t>
        </is>
      </c>
      <c r="B1004" s="1" t="n">
        <v>44802.94811342593</v>
      </c>
      <c r="C1004" s="1" t="n">
        <v>46052</v>
      </c>
      <c r="D1004" t="inlineStr">
        <is>
          <t>JÄMTLANDS LÄN</t>
        </is>
      </c>
      <c r="E1004" t="inlineStr">
        <is>
          <t>RAGUNDA</t>
        </is>
      </c>
      <c r="F1004" t="inlineStr">
        <is>
          <t>SCA</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59658-2023</t>
        </is>
      </c>
      <c r="B1005" s="1" t="n">
        <v>45254.96402777778</v>
      </c>
      <c r="C1005" s="1" t="n">
        <v>46052</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57839-2022</t>
        </is>
      </c>
      <c r="B1006" s="1" t="n">
        <v>44897</v>
      </c>
      <c r="C1006" s="1" t="n">
        <v>46052</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41693-2023</t>
        </is>
      </c>
      <c r="B1007" s="1" t="n">
        <v>45176</v>
      </c>
      <c r="C1007" s="1" t="n">
        <v>46052</v>
      </c>
      <c r="D1007" t="inlineStr">
        <is>
          <t>JÄMTLANDS LÄN</t>
        </is>
      </c>
      <c r="E1007" t="inlineStr">
        <is>
          <t>RAGUNDA</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49649-2024</t>
        </is>
      </c>
      <c r="B1008" s="1" t="n">
        <v>45596.61553240741</v>
      </c>
      <c r="C1008" s="1" t="n">
        <v>46052</v>
      </c>
      <c r="D1008" t="inlineStr">
        <is>
          <t>JÄMTLANDS LÄN</t>
        </is>
      </c>
      <c r="E1008" t="inlineStr">
        <is>
          <t>RAGUNDA</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2831-2024</t>
        </is>
      </c>
      <c r="B1009" s="1" t="n">
        <v>45314.92758101852</v>
      </c>
      <c r="C1009" s="1" t="n">
        <v>46052</v>
      </c>
      <c r="D1009" t="inlineStr">
        <is>
          <t>JÄMTLANDS LÄN</t>
        </is>
      </c>
      <c r="E1009" t="inlineStr">
        <is>
          <t>RAGUNDA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53740-2024</t>
        </is>
      </c>
      <c r="B1010" s="1" t="n">
        <v>45615.47091435185</v>
      </c>
      <c r="C1010" s="1" t="n">
        <v>46052</v>
      </c>
      <c r="D1010" t="inlineStr">
        <is>
          <t>JÄMTLANDS LÄN</t>
        </is>
      </c>
      <c r="E1010" t="inlineStr">
        <is>
          <t>RAGUNDA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53678-2022</t>
        </is>
      </c>
      <c r="B1011" s="1" t="n">
        <v>44879.95768518518</v>
      </c>
      <c r="C1011" s="1" t="n">
        <v>46052</v>
      </c>
      <c r="D1011" t="inlineStr">
        <is>
          <t>JÄMTLANDS LÄN</t>
        </is>
      </c>
      <c r="E1011" t="inlineStr">
        <is>
          <t>RAGUNDA</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59372-2024</t>
        </is>
      </c>
      <c r="B1012" s="1" t="n">
        <v>45638.34431712963</v>
      </c>
      <c r="C1012" s="1" t="n">
        <v>46052</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45894-2025</t>
        </is>
      </c>
      <c r="B1013" s="1" t="n">
        <v>45923.67765046296</v>
      </c>
      <c r="C1013" s="1" t="n">
        <v>46052</v>
      </c>
      <c r="D1013" t="inlineStr">
        <is>
          <t>JÄMTLANDS LÄN</t>
        </is>
      </c>
      <c r="E1013" t="inlineStr">
        <is>
          <t>RAGUNDA</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46192-2025</t>
        </is>
      </c>
      <c r="B1014" s="1" t="n">
        <v>45924.67789351852</v>
      </c>
      <c r="C1014" s="1" t="n">
        <v>46052</v>
      </c>
      <c r="D1014" t="inlineStr">
        <is>
          <t>JÄMTLANDS LÄN</t>
        </is>
      </c>
      <c r="E1014" t="inlineStr">
        <is>
          <t>RAGUNDA</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23305-2023</t>
        </is>
      </c>
      <c r="B1015" s="1" t="n">
        <v>45075.94506944445</v>
      </c>
      <c r="C1015" s="1" t="n">
        <v>46052</v>
      </c>
      <c r="D1015" t="inlineStr">
        <is>
          <t>JÄMTLANDS LÄN</t>
        </is>
      </c>
      <c r="E1015" t="inlineStr">
        <is>
          <t>RAGUNDA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18194-2025</t>
        </is>
      </c>
      <c r="B1016" s="1" t="n">
        <v>45761.67744212963</v>
      </c>
      <c r="C1016" s="1" t="n">
        <v>46052</v>
      </c>
      <c r="D1016" t="inlineStr">
        <is>
          <t>JÄMTLANDS LÄN</t>
        </is>
      </c>
      <c r="E1016" t="inlineStr">
        <is>
          <t>RAGUNDA</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12522-2023</t>
        </is>
      </c>
      <c r="B1017" s="1" t="n">
        <v>45000</v>
      </c>
      <c r="C1017" s="1" t="n">
        <v>46052</v>
      </c>
      <c r="D1017" t="inlineStr">
        <is>
          <t>JÄMTLANDS LÄN</t>
        </is>
      </c>
      <c r="E1017" t="inlineStr">
        <is>
          <t>RAGUNDA</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12523-2023</t>
        </is>
      </c>
      <c r="B1018" s="1" t="n">
        <v>45000</v>
      </c>
      <c r="C1018" s="1" t="n">
        <v>46052</v>
      </c>
      <c r="D1018" t="inlineStr">
        <is>
          <t>JÄMTLANDS LÄN</t>
        </is>
      </c>
      <c r="E1018" t="inlineStr">
        <is>
          <t>RAGUNDA</t>
        </is>
      </c>
      <c r="F1018" t="inlineStr">
        <is>
          <t>SCA</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18225-2024</t>
        </is>
      </c>
      <c r="B1019" s="1" t="n">
        <v>45420</v>
      </c>
      <c r="C1019" s="1" t="n">
        <v>46052</v>
      </c>
      <c r="D1019" t="inlineStr">
        <is>
          <t>JÄMTLANDS LÄN</t>
        </is>
      </c>
      <c r="E1019" t="inlineStr">
        <is>
          <t>RAGUNDA</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24861-2023</t>
        </is>
      </c>
      <c r="B1020" s="1" t="n">
        <v>45078</v>
      </c>
      <c r="C1020" s="1" t="n">
        <v>46052</v>
      </c>
      <c r="D1020" t="inlineStr">
        <is>
          <t>JÄMTLANDS LÄN</t>
        </is>
      </c>
      <c r="E1020" t="inlineStr">
        <is>
          <t>RAGUNDA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54764-2024</t>
        </is>
      </c>
      <c r="B1021" s="1" t="n">
        <v>45618.46921296296</v>
      </c>
      <c r="C1021" s="1" t="n">
        <v>46052</v>
      </c>
      <c r="D1021" t="inlineStr">
        <is>
          <t>JÄMTLANDS LÄN</t>
        </is>
      </c>
      <c r="E1021" t="inlineStr">
        <is>
          <t>RAGUNDA</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32904-2024</t>
        </is>
      </c>
      <c r="B1022" s="1" t="n">
        <v>45516.94732638889</v>
      </c>
      <c r="C1022" s="1" t="n">
        <v>46052</v>
      </c>
      <c r="D1022" t="inlineStr">
        <is>
          <t>JÄMTLANDS LÄN</t>
        </is>
      </c>
      <c r="E1022" t="inlineStr">
        <is>
          <t>RAGUNDA</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13905-2025</t>
        </is>
      </c>
      <c r="B1023" s="1" t="n">
        <v>45737.63574074074</v>
      </c>
      <c r="C1023" s="1" t="n">
        <v>46052</v>
      </c>
      <c r="D1023" t="inlineStr">
        <is>
          <t>JÄMTLANDS LÄN</t>
        </is>
      </c>
      <c r="E1023" t="inlineStr">
        <is>
          <t>RAGUNDA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13941-2025</t>
        </is>
      </c>
      <c r="B1024" s="1" t="n">
        <v>45737.69822916666</v>
      </c>
      <c r="C1024" s="1" t="n">
        <v>46052</v>
      </c>
      <c r="D1024" t="inlineStr">
        <is>
          <t>JÄMTLANDS LÄN</t>
        </is>
      </c>
      <c r="E1024" t="inlineStr">
        <is>
          <t>RAGUNDA</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12976-2025</t>
        </is>
      </c>
      <c r="B1025" s="1" t="n">
        <v>45734.45268518518</v>
      </c>
      <c r="C1025" s="1" t="n">
        <v>46052</v>
      </c>
      <c r="D1025" t="inlineStr">
        <is>
          <t>JÄMTLANDS LÄN</t>
        </is>
      </c>
      <c r="E1025" t="inlineStr">
        <is>
          <t>RAGUNDA</t>
        </is>
      </c>
      <c r="G1025" t="n">
        <v>24.2</v>
      </c>
      <c r="H1025" t="n">
        <v>0</v>
      </c>
      <c r="I1025" t="n">
        <v>0</v>
      </c>
      <c r="J1025" t="n">
        <v>0</v>
      </c>
      <c r="K1025" t="n">
        <v>0</v>
      </c>
      <c r="L1025" t="n">
        <v>0</v>
      </c>
      <c r="M1025" t="n">
        <v>0</v>
      </c>
      <c r="N1025" t="n">
        <v>0</v>
      </c>
      <c r="O1025" t="n">
        <v>0</v>
      </c>
      <c r="P1025" t="n">
        <v>0</v>
      </c>
      <c r="Q1025" t="n">
        <v>0</v>
      </c>
      <c r="R1025" s="2" t="inlineStr"/>
    </row>
    <row r="1026" ht="15" customHeight="1">
      <c r="A1026" t="inlineStr">
        <is>
          <t>A 59286-2023</t>
        </is>
      </c>
      <c r="B1026" s="1" t="n">
        <v>45253</v>
      </c>
      <c r="C1026" s="1" t="n">
        <v>46052</v>
      </c>
      <c r="D1026" t="inlineStr">
        <is>
          <t>JÄMTLANDS LÄN</t>
        </is>
      </c>
      <c r="E1026" t="inlineStr">
        <is>
          <t>RAGUNDA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15672-2021</t>
        </is>
      </c>
      <c r="B1027" s="1" t="n">
        <v>44286</v>
      </c>
      <c r="C1027" s="1" t="n">
        <v>46052</v>
      </c>
      <c r="D1027" t="inlineStr">
        <is>
          <t>JÄMTLANDS LÄN</t>
        </is>
      </c>
      <c r="E1027" t="inlineStr">
        <is>
          <t>RAGUNDA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6688-2024</t>
        </is>
      </c>
      <c r="B1028" s="1" t="n">
        <v>45341</v>
      </c>
      <c r="C1028" s="1" t="n">
        <v>46052</v>
      </c>
      <c r="D1028" t="inlineStr">
        <is>
          <t>JÄMTLANDS LÄN</t>
        </is>
      </c>
      <c r="E1028" t="inlineStr">
        <is>
          <t>RAGUNDA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50650-2023</t>
        </is>
      </c>
      <c r="B1029" s="1" t="n">
        <v>45210</v>
      </c>
      <c r="C1029" s="1" t="n">
        <v>46052</v>
      </c>
      <c r="D1029" t="inlineStr">
        <is>
          <t>JÄMTLANDS LÄN</t>
        </is>
      </c>
      <c r="E1029" t="inlineStr">
        <is>
          <t>RAGUNDA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41344-2024</t>
        </is>
      </c>
      <c r="B1030" s="1" t="n">
        <v>45559.67759259259</v>
      </c>
      <c r="C1030" s="1" t="n">
        <v>46052</v>
      </c>
      <c r="D1030" t="inlineStr">
        <is>
          <t>JÄMTLANDS LÄN</t>
        </is>
      </c>
      <c r="E1030" t="inlineStr">
        <is>
          <t>RAGUNDA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59670-2023</t>
        </is>
      </c>
      <c r="B1031" s="1" t="n">
        <v>45254.96516203704</v>
      </c>
      <c r="C1031" s="1" t="n">
        <v>46052</v>
      </c>
      <c r="D1031" t="inlineStr">
        <is>
          <t>JÄMTLANDS LÄN</t>
        </is>
      </c>
      <c r="E1031" t="inlineStr">
        <is>
          <t>RAGUNDA</t>
        </is>
      </c>
      <c r="F1031" t="inlineStr">
        <is>
          <t>SCA</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46275-2025</t>
        </is>
      </c>
      <c r="B1032" s="1" t="n">
        <v>45925.3711574074</v>
      </c>
      <c r="C1032" s="1" t="n">
        <v>46052</v>
      </c>
      <c r="D1032" t="inlineStr">
        <is>
          <t>JÄMTLANDS LÄN</t>
        </is>
      </c>
      <c r="E1032" t="inlineStr">
        <is>
          <t>RAGUNDA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51245-2024</t>
        </is>
      </c>
      <c r="B1033" s="1" t="n">
        <v>45603.67850694444</v>
      </c>
      <c r="C1033" s="1" t="n">
        <v>46052</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55508-2024</t>
        </is>
      </c>
      <c r="B1034" s="1" t="n">
        <v>45622.46200231482</v>
      </c>
      <c r="C1034" s="1" t="n">
        <v>46052</v>
      </c>
      <c r="D1034" t="inlineStr">
        <is>
          <t>JÄMTLANDS LÄN</t>
        </is>
      </c>
      <c r="E1034" t="inlineStr">
        <is>
          <t>RAGUNDA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59492-2024</t>
        </is>
      </c>
      <c r="B1035" s="1" t="n">
        <v>45638</v>
      </c>
      <c r="C1035" s="1" t="n">
        <v>46052</v>
      </c>
      <c r="D1035" t="inlineStr">
        <is>
          <t>JÄMTLANDS LÄN</t>
        </is>
      </c>
      <c r="E1035" t="inlineStr">
        <is>
          <t>RAGUNDA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53955-2022</t>
        </is>
      </c>
      <c r="B1036" s="1" t="n">
        <v>44880.95741898148</v>
      </c>
      <c r="C1036" s="1" t="n">
        <v>46052</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20772-2024</t>
        </is>
      </c>
      <c r="B1037" s="1" t="n">
        <v>45436.94628472222</v>
      </c>
      <c r="C1037" s="1" t="n">
        <v>46052</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53757-2024</t>
        </is>
      </c>
      <c r="B1038" s="1" t="n">
        <v>45615.50034722222</v>
      </c>
      <c r="C1038" s="1" t="n">
        <v>46052</v>
      </c>
      <c r="D1038" t="inlineStr">
        <is>
          <t>JÄMTLANDS LÄN</t>
        </is>
      </c>
      <c r="E1038" t="inlineStr">
        <is>
          <t>RAGUNDA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46825-2025</t>
        </is>
      </c>
      <c r="B1039" s="1" t="n">
        <v>45926.92506944444</v>
      </c>
      <c r="C1039" s="1" t="n">
        <v>46052</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46710-2025</t>
        </is>
      </c>
      <c r="B1040" s="1" t="n">
        <v>45926.57337962963</v>
      </c>
      <c r="C1040" s="1" t="n">
        <v>46052</v>
      </c>
      <c r="D1040" t="inlineStr">
        <is>
          <t>JÄMTLANDS LÄN</t>
        </is>
      </c>
      <c r="E1040" t="inlineStr">
        <is>
          <t>RAGUNDA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47075-2025</t>
        </is>
      </c>
      <c r="B1041" s="1" t="n">
        <v>45929.63728009259</v>
      </c>
      <c r="C1041" s="1" t="n">
        <v>46052</v>
      </c>
      <c r="D1041" t="inlineStr">
        <is>
          <t>JÄMTLANDS LÄN</t>
        </is>
      </c>
      <c r="E1041" t="inlineStr">
        <is>
          <t>RAGUNDA</t>
        </is>
      </c>
      <c r="F1041" t="inlineStr">
        <is>
          <t>SCA</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47119-2025</t>
        </is>
      </c>
      <c r="B1042" s="1" t="n">
        <v>45929.67795138889</v>
      </c>
      <c r="C1042" s="1" t="n">
        <v>46052</v>
      </c>
      <c r="D1042" t="inlineStr">
        <is>
          <t>JÄMTLANDS LÄN</t>
        </is>
      </c>
      <c r="E1042" t="inlineStr">
        <is>
          <t>RAGUNDA</t>
        </is>
      </c>
      <c r="F1042" t="inlineStr">
        <is>
          <t>SCA</t>
        </is>
      </c>
      <c r="G1042" t="n">
        <v>22.7</v>
      </c>
      <c r="H1042" t="n">
        <v>0</v>
      </c>
      <c r="I1042" t="n">
        <v>0</v>
      </c>
      <c r="J1042" t="n">
        <v>0</v>
      </c>
      <c r="K1042" t="n">
        <v>0</v>
      </c>
      <c r="L1042" t="n">
        <v>0</v>
      </c>
      <c r="M1042" t="n">
        <v>0</v>
      </c>
      <c r="N1042" t="n">
        <v>0</v>
      </c>
      <c r="O1042" t="n">
        <v>0</v>
      </c>
      <c r="P1042" t="n">
        <v>0</v>
      </c>
      <c r="Q1042" t="n">
        <v>0</v>
      </c>
      <c r="R1042" s="2" t="inlineStr"/>
    </row>
    <row r="1043" ht="15" customHeight="1">
      <c r="A1043" t="inlineStr">
        <is>
          <t>A 6716-2025</t>
        </is>
      </c>
      <c r="B1043" s="1" t="n">
        <v>45700.57324074074</v>
      </c>
      <c r="C1043" s="1" t="n">
        <v>46052</v>
      </c>
      <c r="D1043" t="inlineStr">
        <is>
          <t>JÄMTLANDS LÄN</t>
        </is>
      </c>
      <c r="E1043" t="inlineStr">
        <is>
          <t>RAGUNDA</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46689-2025</t>
        </is>
      </c>
      <c r="B1044" s="1" t="n">
        <v>45926.55307870371</v>
      </c>
      <c r="C1044" s="1" t="n">
        <v>46052</v>
      </c>
      <c r="D1044" t="inlineStr">
        <is>
          <t>JÄMTLANDS LÄN</t>
        </is>
      </c>
      <c r="E1044" t="inlineStr">
        <is>
          <t>RAGUNDA</t>
        </is>
      </c>
      <c r="F1044" t="inlineStr">
        <is>
          <t>SCA</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41772-2024</t>
        </is>
      </c>
      <c r="B1045" s="1" t="n">
        <v>45561.34663194444</v>
      </c>
      <c r="C1045" s="1" t="n">
        <v>46052</v>
      </c>
      <c r="D1045" t="inlineStr">
        <is>
          <t>JÄMTLANDS LÄN</t>
        </is>
      </c>
      <c r="E1045" t="inlineStr">
        <is>
          <t>RAGUNDA</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46909-2025</t>
        </is>
      </c>
      <c r="B1046" s="1" t="n">
        <v>45929.40673611111</v>
      </c>
      <c r="C1046" s="1" t="n">
        <v>46052</v>
      </c>
      <c r="D1046" t="inlineStr">
        <is>
          <t>JÄMTLANDS LÄN</t>
        </is>
      </c>
      <c r="E1046" t="inlineStr">
        <is>
          <t>RAGUNDA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19866-2023</t>
        </is>
      </c>
      <c r="B1047" s="1" t="n">
        <v>45053.94313657407</v>
      </c>
      <c r="C1047" s="1" t="n">
        <v>46052</v>
      </c>
      <c r="D1047" t="inlineStr">
        <is>
          <t>JÄMTLANDS LÄN</t>
        </is>
      </c>
      <c r="E1047" t="inlineStr">
        <is>
          <t>RAGUNDA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47122-2025</t>
        </is>
      </c>
      <c r="B1048" s="1" t="n">
        <v>45929.67878472222</v>
      </c>
      <c r="C1048" s="1" t="n">
        <v>46052</v>
      </c>
      <c r="D1048" t="inlineStr">
        <is>
          <t>JÄMTLANDS LÄN</t>
        </is>
      </c>
      <c r="E1048" t="inlineStr">
        <is>
          <t>RAGUNDA</t>
        </is>
      </c>
      <c r="F1048" t="inlineStr">
        <is>
          <t>SCA</t>
        </is>
      </c>
      <c r="G1048" t="n">
        <v>31.1</v>
      </c>
      <c r="H1048" t="n">
        <v>0</v>
      </c>
      <c r="I1048" t="n">
        <v>0</v>
      </c>
      <c r="J1048" t="n">
        <v>0</v>
      </c>
      <c r="K1048" t="n">
        <v>0</v>
      </c>
      <c r="L1048" t="n">
        <v>0</v>
      </c>
      <c r="M1048" t="n">
        <v>0</v>
      </c>
      <c r="N1048" t="n">
        <v>0</v>
      </c>
      <c r="O1048" t="n">
        <v>0</v>
      </c>
      <c r="P1048" t="n">
        <v>0</v>
      </c>
      <c r="Q1048" t="n">
        <v>0</v>
      </c>
      <c r="R1048" s="2" t="inlineStr"/>
    </row>
    <row r="1049" ht="15" customHeight="1">
      <c r="A1049" t="inlineStr">
        <is>
          <t>A 10972-2022</t>
        </is>
      </c>
      <c r="B1049" s="1" t="n">
        <v>44628</v>
      </c>
      <c r="C1049" s="1" t="n">
        <v>46052</v>
      </c>
      <c r="D1049" t="inlineStr">
        <is>
          <t>JÄMTLANDS LÄN</t>
        </is>
      </c>
      <c r="E1049" t="inlineStr">
        <is>
          <t>RAGUNDA</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46974-2025</t>
        </is>
      </c>
      <c r="B1050" s="1" t="n">
        <v>45929.51104166666</v>
      </c>
      <c r="C1050" s="1" t="n">
        <v>46052</v>
      </c>
      <c r="D1050" t="inlineStr">
        <is>
          <t>JÄMTLANDS LÄN</t>
        </is>
      </c>
      <c r="E1050" t="inlineStr">
        <is>
          <t>RAGUNDA</t>
        </is>
      </c>
      <c r="F1050" t="inlineStr">
        <is>
          <t>SCA</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21853-2024</t>
        </is>
      </c>
      <c r="B1051" s="1" t="n">
        <v>45442.96296296296</v>
      </c>
      <c r="C1051" s="1" t="n">
        <v>46052</v>
      </c>
      <c r="D1051" t="inlineStr">
        <is>
          <t>JÄMTLANDS LÄN</t>
        </is>
      </c>
      <c r="E1051" t="inlineStr">
        <is>
          <t>RAGUNDA</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11834-2023</t>
        </is>
      </c>
      <c r="B1052" s="1" t="n">
        <v>44994.94296296296</v>
      </c>
      <c r="C1052" s="1" t="n">
        <v>46052</v>
      </c>
      <c r="D1052" t="inlineStr">
        <is>
          <t>JÄMTLANDS LÄN</t>
        </is>
      </c>
      <c r="E1052" t="inlineStr">
        <is>
          <t>RAGUNDA</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8241-2024</t>
        </is>
      </c>
      <c r="B1053" s="1" t="n">
        <v>45351.98496527778</v>
      </c>
      <c r="C1053" s="1" t="n">
        <v>46052</v>
      </c>
      <c r="D1053" t="inlineStr">
        <is>
          <t>JÄMTLANDS LÄN</t>
        </is>
      </c>
      <c r="E1053" t="inlineStr">
        <is>
          <t>RAGUNDA</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40365-2024</t>
        </is>
      </c>
      <c r="B1054" s="1" t="n">
        <v>45555.38509259259</v>
      </c>
      <c r="C1054" s="1" t="n">
        <v>46052</v>
      </c>
      <c r="D1054" t="inlineStr">
        <is>
          <t>JÄMTLANDS LÄN</t>
        </is>
      </c>
      <c r="E1054" t="inlineStr">
        <is>
          <t>RAGUNDA</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20770-2024</t>
        </is>
      </c>
      <c r="B1055" s="1" t="n">
        <v>45436.94613425926</v>
      </c>
      <c r="C1055" s="1" t="n">
        <v>46052</v>
      </c>
      <c r="D1055" t="inlineStr">
        <is>
          <t>JÄMTLANDS LÄN</t>
        </is>
      </c>
      <c r="E1055" t="inlineStr">
        <is>
          <t>RAGUNDA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46751-2025</t>
        </is>
      </c>
      <c r="B1056" s="1" t="n">
        <v>45926.6153125</v>
      </c>
      <c r="C1056" s="1" t="n">
        <v>46052</v>
      </c>
      <c r="D1056" t="inlineStr">
        <is>
          <t>JÄMTLANDS LÄN</t>
        </is>
      </c>
      <c r="E1056" t="inlineStr">
        <is>
          <t>RAGUNDA</t>
        </is>
      </c>
      <c r="F1056" t="inlineStr">
        <is>
          <t>SCA</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46753-2025</t>
        </is>
      </c>
      <c r="B1057" s="1" t="n">
        <v>45926.61552083334</v>
      </c>
      <c r="C1057" s="1" t="n">
        <v>46052</v>
      </c>
      <c r="D1057" t="inlineStr">
        <is>
          <t>JÄMTLANDS LÄN</t>
        </is>
      </c>
      <c r="E1057" t="inlineStr">
        <is>
          <t>RAGUNDA</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17559-2023</t>
        </is>
      </c>
      <c r="B1058" s="1" t="n">
        <v>45034</v>
      </c>
      <c r="C1058" s="1" t="n">
        <v>46052</v>
      </c>
      <c r="D1058" t="inlineStr">
        <is>
          <t>JÄMTLANDS LÄN</t>
        </is>
      </c>
      <c r="E1058" t="inlineStr">
        <is>
          <t>RAGUNDA</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38312-2024</t>
        </is>
      </c>
      <c r="B1059" s="1" t="n">
        <v>45545.64957175926</v>
      </c>
      <c r="C1059" s="1" t="n">
        <v>46052</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47037-2025</t>
        </is>
      </c>
      <c r="B1060" s="1" t="n">
        <v>45929.59456018519</v>
      </c>
      <c r="C1060" s="1" t="n">
        <v>46052</v>
      </c>
      <c r="D1060" t="inlineStr">
        <is>
          <t>JÄMTLANDS LÄN</t>
        </is>
      </c>
      <c r="E1060" t="inlineStr">
        <is>
          <t>RAGUNDA</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7281-2024</t>
        </is>
      </c>
      <c r="B1061" s="1" t="n">
        <v>45344</v>
      </c>
      <c r="C1061" s="1" t="n">
        <v>46052</v>
      </c>
      <c r="D1061" t="inlineStr">
        <is>
          <t>JÄMTLANDS LÄN</t>
        </is>
      </c>
      <c r="E1061" t="inlineStr">
        <is>
          <t>RAGUNDA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7284-2024</t>
        </is>
      </c>
      <c r="B1062" s="1" t="n">
        <v>45344.92865740741</v>
      </c>
      <c r="C1062" s="1" t="n">
        <v>46052</v>
      </c>
      <c r="D1062" t="inlineStr">
        <is>
          <t>JÄMTLANDS LÄN</t>
        </is>
      </c>
      <c r="E1062" t="inlineStr">
        <is>
          <t>RAGUNDA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7285-2024</t>
        </is>
      </c>
      <c r="B1063" s="1" t="n">
        <v>45344.92873842592</v>
      </c>
      <c r="C1063" s="1" t="n">
        <v>46052</v>
      </c>
      <c r="D1063" t="inlineStr">
        <is>
          <t>JÄMTLANDS LÄN</t>
        </is>
      </c>
      <c r="E1063" t="inlineStr">
        <is>
          <t>RAGUNDA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32832-2021</t>
        </is>
      </c>
      <c r="B1064" s="1" t="n">
        <v>44375</v>
      </c>
      <c r="C1064" s="1" t="n">
        <v>46052</v>
      </c>
      <c r="D1064" t="inlineStr">
        <is>
          <t>JÄMTLANDS LÄN</t>
        </is>
      </c>
      <c r="E1064" t="inlineStr">
        <is>
          <t>RAGUNDA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22011-2023</t>
        </is>
      </c>
      <c r="B1065" s="1" t="n">
        <v>45068</v>
      </c>
      <c r="C1065" s="1" t="n">
        <v>46052</v>
      </c>
      <c r="D1065" t="inlineStr">
        <is>
          <t>JÄMTLANDS LÄN</t>
        </is>
      </c>
      <c r="E1065" t="inlineStr">
        <is>
          <t>RAGUNDA</t>
        </is>
      </c>
      <c r="F1065" t="inlineStr">
        <is>
          <t>SCA</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46052</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53347-2023</t>
        </is>
      </c>
      <c r="B1067" s="1" t="n">
        <v>45223</v>
      </c>
      <c r="C1067" s="1" t="n">
        <v>46052</v>
      </c>
      <c r="D1067" t="inlineStr">
        <is>
          <t>JÄMTLANDS LÄN</t>
        </is>
      </c>
      <c r="E1067" t="inlineStr">
        <is>
          <t>RAGUNDA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47749-2025</t>
        </is>
      </c>
      <c r="B1068" s="1" t="n">
        <v>45931.65711805555</v>
      </c>
      <c r="C1068" s="1" t="n">
        <v>46052</v>
      </c>
      <c r="D1068" t="inlineStr">
        <is>
          <t>JÄMTLANDS LÄN</t>
        </is>
      </c>
      <c r="E1068" t="inlineStr">
        <is>
          <t>RAGUNDA</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14158-2024</t>
        </is>
      </c>
      <c r="B1069" s="1" t="n">
        <v>45392</v>
      </c>
      <c r="C1069" s="1" t="n">
        <v>46052</v>
      </c>
      <c r="D1069" t="inlineStr">
        <is>
          <t>JÄMTLANDS LÄN</t>
        </is>
      </c>
      <c r="E1069" t="inlineStr">
        <is>
          <t>RAGUNDA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47228-2025</t>
        </is>
      </c>
      <c r="B1070" s="1" t="n">
        <v>45930.3990162037</v>
      </c>
      <c r="C1070" s="1" t="n">
        <v>46052</v>
      </c>
      <c r="D1070" t="inlineStr">
        <is>
          <t>JÄMTLANDS LÄN</t>
        </is>
      </c>
      <c r="E1070" t="inlineStr">
        <is>
          <t>RAGUNDA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60838-2023</t>
        </is>
      </c>
      <c r="B1071" s="1" t="n">
        <v>45260.92561342593</v>
      </c>
      <c r="C1071" s="1" t="n">
        <v>46052</v>
      </c>
      <c r="D1071" t="inlineStr">
        <is>
          <t>JÄMTLANDS LÄN</t>
        </is>
      </c>
      <c r="E1071" t="inlineStr">
        <is>
          <t>RAGUNDA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42508-2023</t>
        </is>
      </c>
      <c r="B1072" s="1" t="n">
        <v>45180.95907407408</v>
      </c>
      <c r="C1072" s="1" t="n">
        <v>46052</v>
      </c>
      <c r="D1072" t="inlineStr">
        <is>
          <t>JÄMTLANDS LÄN</t>
        </is>
      </c>
      <c r="E1072" t="inlineStr">
        <is>
          <t>RAGUNDA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47229-2025</t>
        </is>
      </c>
      <c r="B1073" s="1" t="n">
        <v>45930.40166666666</v>
      </c>
      <c r="C1073" s="1" t="n">
        <v>46052</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35274-2023</t>
        </is>
      </c>
      <c r="B1074" s="1" t="n">
        <v>45145</v>
      </c>
      <c r="C1074" s="1" t="n">
        <v>46052</v>
      </c>
      <c r="D1074" t="inlineStr">
        <is>
          <t>JÄMTLANDS LÄN</t>
        </is>
      </c>
      <c r="E1074" t="inlineStr">
        <is>
          <t>RAGUNDA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47748-2025</t>
        </is>
      </c>
      <c r="B1075" s="1" t="n">
        <v>45931.65693287037</v>
      </c>
      <c r="C1075" s="1" t="n">
        <v>46052</v>
      </c>
      <c r="D1075" t="inlineStr">
        <is>
          <t>JÄMTLANDS LÄN</t>
        </is>
      </c>
      <c r="E1075" t="inlineStr">
        <is>
          <t>RAGUNDA</t>
        </is>
      </c>
      <c r="F1075" t="inlineStr">
        <is>
          <t>SCA</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21332-2025</t>
        </is>
      </c>
      <c r="B1076" s="1" t="n">
        <v>45782.36506944444</v>
      </c>
      <c r="C1076" s="1" t="n">
        <v>46052</v>
      </c>
      <c r="D1076" t="inlineStr">
        <is>
          <t>JÄMTLANDS LÄN</t>
        </is>
      </c>
      <c r="E1076" t="inlineStr">
        <is>
          <t>RAGUNDA</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12983-2025</t>
        </is>
      </c>
      <c r="B1077" s="1" t="n">
        <v>45734.4633912037</v>
      </c>
      <c r="C1077" s="1" t="n">
        <v>46052</v>
      </c>
      <c r="D1077" t="inlineStr">
        <is>
          <t>JÄMTLANDS LÄN</t>
        </is>
      </c>
      <c r="E1077" t="inlineStr">
        <is>
          <t>RAGUNDA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17598-2021</t>
        </is>
      </c>
      <c r="B1078" s="1" t="n">
        <v>44299</v>
      </c>
      <c r="C1078" s="1" t="n">
        <v>46052</v>
      </c>
      <c r="D1078" t="inlineStr">
        <is>
          <t>JÄMTLANDS LÄN</t>
        </is>
      </c>
      <c r="E1078" t="inlineStr">
        <is>
          <t>RAGUNDA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3938-2024</t>
        </is>
      </c>
      <c r="B1079" s="1" t="n">
        <v>45322</v>
      </c>
      <c r="C1079" s="1" t="n">
        <v>46052</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48748-2025</t>
        </is>
      </c>
      <c r="B1080" s="1" t="n">
        <v>45936.67912037037</v>
      </c>
      <c r="C1080" s="1" t="n">
        <v>46052</v>
      </c>
      <c r="D1080" t="inlineStr">
        <is>
          <t>JÄMTLANDS LÄN</t>
        </is>
      </c>
      <c r="E1080" t="inlineStr">
        <is>
          <t>RAGUNDA</t>
        </is>
      </c>
      <c r="F1080" t="inlineStr">
        <is>
          <t>SCA</t>
        </is>
      </c>
      <c r="G1080" t="n">
        <v>11.1</v>
      </c>
      <c r="H1080" t="n">
        <v>0</v>
      </c>
      <c r="I1080" t="n">
        <v>0</v>
      </c>
      <c r="J1080" t="n">
        <v>0</v>
      </c>
      <c r="K1080" t="n">
        <v>0</v>
      </c>
      <c r="L1080" t="n">
        <v>0</v>
      </c>
      <c r="M1080" t="n">
        <v>0</v>
      </c>
      <c r="N1080" t="n">
        <v>0</v>
      </c>
      <c r="O1080" t="n">
        <v>0</v>
      </c>
      <c r="P1080" t="n">
        <v>0</v>
      </c>
      <c r="Q1080" t="n">
        <v>0</v>
      </c>
      <c r="R1080" s="2" t="inlineStr"/>
    </row>
    <row r="1081" ht="15" customHeight="1">
      <c r="A1081" t="inlineStr">
        <is>
          <t>A 48528-2025</t>
        </is>
      </c>
      <c r="B1081" s="1" t="n">
        <v>45936.40758101852</v>
      </c>
      <c r="C1081" s="1" t="n">
        <v>46052</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48742-2025</t>
        </is>
      </c>
      <c r="B1082" s="1" t="n">
        <v>45936.67810185185</v>
      </c>
      <c r="C1082" s="1" t="n">
        <v>46052</v>
      </c>
      <c r="D1082" t="inlineStr">
        <is>
          <t>JÄMTLANDS LÄN</t>
        </is>
      </c>
      <c r="E1082" t="inlineStr">
        <is>
          <t>RAGUNDA</t>
        </is>
      </c>
      <c r="F1082" t="inlineStr">
        <is>
          <t>SCA</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9548-2025</t>
        </is>
      </c>
      <c r="B1083" s="1" t="n">
        <v>45715.59405092592</v>
      </c>
      <c r="C1083" s="1" t="n">
        <v>46052</v>
      </c>
      <c r="D1083" t="inlineStr">
        <is>
          <t>JÄMTLANDS LÄN</t>
        </is>
      </c>
      <c r="E1083" t="inlineStr">
        <is>
          <t>RAGUNDA</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48746-2025</t>
        </is>
      </c>
      <c r="B1084" s="1" t="n">
        <v>45936.67878472222</v>
      </c>
      <c r="C1084" s="1" t="n">
        <v>46052</v>
      </c>
      <c r="D1084" t="inlineStr">
        <is>
          <t>JÄMTLANDS LÄN</t>
        </is>
      </c>
      <c r="E1084" t="inlineStr">
        <is>
          <t>RAGUNDA</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53989-2024</t>
        </is>
      </c>
      <c r="B1085" s="1" t="n">
        <v>45616.34479166667</v>
      </c>
      <c r="C1085" s="1" t="n">
        <v>46052</v>
      </c>
      <c r="D1085" t="inlineStr">
        <is>
          <t>JÄMTLANDS LÄN</t>
        </is>
      </c>
      <c r="E1085" t="inlineStr">
        <is>
          <t>RAGUNDA</t>
        </is>
      </c>
      <c r="F1085" t="inlineStr">
        <is>
          <t>SCA</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15581-2024</t>
        </is>
      </c>
      <c r="B1086" s="1" t="n">
        <v>45401</v>
      </c>
      <c r="C1086" s="1" t="n">
        <v>46052</v>
      </c>
      <c r="D1086" t="inlineStr">
        <is>
          <t>JÄMTLANDS LÄN</t>
        </is>
      </c>
      <c r="E1086" t="inlineStr">
        <is>
          <t>RAGUNDA</t>
        </is>
      </c>
      <c r="F1086" t="inlineStr">
        <is>
          <t>Kommuner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15611-2024</t>
        </is>
      </c>
      <c r="B1087" s="1" t="n">
        <v>45401</v>
      </c>
      <c r="C1087" s="1" t="n">
        <v>46052</v>
      </c>
      <c r="D1087" t="inlineStr">
        <is>
          <t>JÄMTLANDS LÄN</t>
        </is>
      </c>
      <c r="E1087" t="inlineStr">
        <is>
          <t>RAGUNDA</t>
        </is>
      </c>
      <c r="F1087" t="inlineStr">
        <is>
          <t>SCA</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23528-2024</t>
        </is>
      </c>
      <c r="B1088" s="1" t="n">
        <v>45453.95016203704</v>
      </c>
      <c r="C1088" s="1" t="n">
        <v>46052</v>
      </c>
      <c r="D1088" t="inlineStr">
        <is>
          <t>JÄMTLANDS LÄN</t>
        </is>
      </c>
      <c r="E1088" t="inlineStr">
        <is>
          <t>RAGUNDA</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4594-2024</t>
        </is>
      </c>
      <c r="B1089" s="1" t="n">
        <v>45327.94459490741</v>
      </c>
      <c r="C1089" s="1" t="n">
        <v>46052</v>
      </c>
      <c r="D1089" t="inlineStr">
        <is>
          <t>JÄMTLANDS LÄN</t>
        </is>
      </c>
      <c r="E1089" t="inlineStr">
        <is>
          <t>RAGUNDA</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30824-2023</t>
        </is>
      </c>
      <c r="B1090" s="1" t="n">
        <v>45112.94303240741</v>
      </c>
      <c r="C1090" s="1" t="n">
        <v>46052</v>
      </c>
      <c r="D1090" t="inlineStr">
        <is>
          <t>JÄMTLANDS LÄN</t>
        </is>
      </c>
      <c r="E1090" t="inlineStr">
        <is>
          <t>RAGUNDA</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49639-2025</t>
        </is>
      </c>
      <c r="B1091" s="1" t="n">
        <v>45939.61253472222</v>
      </c>
      <c r="C1091" s="1" t="n">
        <v>46052</v>
      </c>
      <c r="D1091" t="inlineStr">
        <is>
          <t>JÄMTLANDS LÄN</t>
        </is>
      </c>
      <c r="E1091" t="inlineStr">
        <is>
          <t>RAGUNDA</t>
        </is>
      </c>
      <c r="F1091" t="inlineStr">
        <is>
          <t>Kommuner</t>
        </is>
      </c>
      <c r="G1091" t="n">
        <v>13.6</v>
      </c>
      <c r="H1091" t="n">
        <v>0</v>
      </c>
      <c r="I1091" t="n">
        <v>0</v>
      </c>
      <c r="J1091" t="n">
        <v>0</v>
      </c>
      <c r="K1091" t="n">
        <v>0</v>
      </c>
      <c r="L1091" t="n">
        <v>0</v>
      </c>
      <c r="M1091" t="n">
        <v>0</v>
      </c>
      <c r="N1091" t="n">
        <v>0</v>
      </c>
      <c r="O1091" t="n">
        <v>0</v>
      </c>
      <c r="P1091" t="n">
        <v>0</v>
      </c>
      <c r="Q1091" t="n">
        <v>0</v>
      </c>
      <c r="R1091" s="2" t="inlineStr"/>
    </row>
    <row r="1092" ht="15" customHeight="1">
      <c r="A1092" t="inlineStr">
        <is>
          <t>A 49059-2025</t>
        </is>
      </c>
      <c r="B1092" s="1" t="n">
        <v>45937.64123842592</v>
      </c>
      <c r="C1092" s="1" t="n">
        <v>46052</v>
      </c>
      <c r="D1092" t="inlineStr">
        <is>
          <t>JÄMTLANDS LÄN</t>
        </is>
      </c>
      <c r="E1092" t="inlineStr">
        <is>
          <t>RAGUNDA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49193-2025</t>
        </is>
      </c>
      <c r="B1093" s="1" t="n">
        <v>45938.40831018519</v>
      </c>
      <c r="C1093" s="1" t="n">
        <v>46052</v>
      </c>
      <c r="D1093" t="inlineStr">
        <is>
          <t>JÄMTLANDS LÄN</t>
        </is>
      </c>
      <c r="E1093" t="inlineStr">
        <is>
          <t>RAGUNDA</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49238-2025</t>
        </is>
      </c>
      <c r="B1094" s="1" t="n">
        <v>45938.48231481481</v>
      </c>
      <c r="C1094" s="1" t="n">
        <v>46052</v>
      </c>
      <c r="D1094" t="inlineStr">
        <is>
          <t>JÄMTLANDS LÄN</t>
        </is>
      </c>
      <c r="E1094" t="inlineStr">
        <is>
          <t>RAGUNDA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49290-2025</t>
        </is>
      </c>
      <c r="B1095" s="1" t="n">
        <v>45938.53168981482</v>
      </c>
      <c r="C1095" s="1" t="n">
        <v>46052</v>
      </c>
      <c r="D1095" t="inlineStr">
        <is>
          <t>JÄMTLANDS LÄN</t>
        </is>
      </c>
      <c r="E1095" t="inlineStr">
        <is>
          <t>RAGUNDA</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49092-2025</t>
        </is>
      </c>
      <c r="B1096" s="1" t="n">
        <v>45937.67792824074</v>
      </c>
      <c r="C1096" s="1" t="n">
        <v>46052</v>
      </c>
      <c r="D1096" t="inlineStr">
        <is>
          <t>JÄMTLANDS LÄN</t>
        </is>
      </c>
      <c r="E1096" t="inlineStr">
        <is>
          <t>RAGUNDA</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34088-2025</t>
        </is>
      </c>
      <c r="B1097" s="1" t="n">
        <v>45845</v>
      </c>
      <c r="C1097" s="1" t="n">
        <v>46052</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50215-2025</t>
        </is>
      </c>
      <c r="B1098" s="1" t="n">
        <v>45943.67842592593</v>
      </c>
      <c r="C1098" s="1" t="n">
        <v>46052</v>
      </c>
      <c r="D1098" t="inlineStr">
        <is>
          <t>JÄMTLANDS LÄN</t>
        </is>
      </c>
      <c r="E1098" t="inlineStr">
        <is>
          <t>RAGUNDA</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49991-2025</t>
        </is>
      </c>
      <c r="B1099" s="1" t="n">
        <v>45942.91568287037</v>
      </c>
      <c r="C1099" s="1" t="n">
        <v>46052</v>
      </c>
      <c r="D1099" t="inlineStr">
        <is>
          <t>JÄMTLANDS LÄN</t>
        </is>
      </c>
      <c r="E1099" t="inlineStr">
        <is>
          <t>RAGUNDA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49993-2025</t>
        </is>
      </c>
      <c r="B1100" s="1" t="n">
        <v>45942.94371527778</v>
      </c>
      <c r="C1100" s="1" t="n">
        <v>46052</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49994-2025</t>
        </is>
      </c>
      <c r="B1101" s="1" t="n">
        <v>45942.96922453704</v>
      </c>
      <c r="C1101" s="1" t="n">
        <v>46052</v>
      </c>
      <c r="D1101" t="inlineStr">
        <is>
          <t>JÄMTLANDS LÄN</t>
        </is>
      </c>
      <c r="E1101" t="inlineStr">
        <is>
          <t>RAGUNDA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49995-2025</t>
        </is>
      </c>
      <c r="B1102" s="1" t="n">
        <v>45943.00986111111</v>
      </c>
      <c r="C1102" s="1" t="n">
        <v>46052</v>
      </c>
      <c r="D1102" t="inlineStr">
        <is>
          <t>JÄMTLANDS LÄN</t>
        </is>
      </c>
      <c r="E1102" t="inlineStr">
        <is>
          <t>RAGUNDA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50126-2025</t>
        </is>
      </c>
      <c r="B1103" s="1" t="n">
        <v>45943.55271990741</v>
      </c>
      <c r="C1103" s="1" t="n">
        <v>46052</v>
      </c>
      <c r="D1103" t="inlineStr">
        <is>
          <t>JÄMTLANDS LÄN</t>
        </is>
      </c>
      <c r="E1103" t="inlineStr">
        <is>
          <t>RAGUNDA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50098-2025</t>
        </is>
      </c>
      <c r="B1104" s="1" t="n">
        <v>45943.51086805556</v>
      </c>
      <c r="C1104" s="1" t="n">
        <v>46052</v>
      </c>
      <c r="D1104" t="inlineStr">
        <is>
          <t>JÄMTLANDS LÄN</t>
        </is>
      </c>
      <c r="E1104" t="inlineStr">
        <is>
          <t>RAGUNDA</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50125-2025</t>
        </is>
      </c>
      <c r="B1105" s="1" t="n">
        <v>45943.55262731481</v>
      </c>
      <c r="C1105" s="1" t="n">
        <v>46052</v>
      </c>
      <c r="D1105" t="inlineStr">
        <is>
          <t>JÄMTLANDS LÄN</t>
        </is>
      </c>
      <c r="E1105" t="inlineStr">
        <is>
          <t>RAGUNDA</t>
        </is>
      </c>
      <c r="F1105" t="inlineStr">
        <is>
          <t>Sveaskog</t>
        </is>
      </c>
      <c r="G1105" t="n">
        <v>23.2</v>
      </c>
      <c r="H1105" t="n">
        <v>0</v>
      </c>
      <c r="I1105" t="n">
        <v>0</v>
      </c>
      <c r="J1105" t="n">
        <v>0</v>
      </c>
      <c r="K1105" t="n">
        <v>0</v>
      </c>
      <c r="L1105" t="n">
        <v>0</v>
      </c>
      <c r="M1105" t="n">
        <v>0</v>
      </c>
      <c r="N1105" t="n">
        <v>0</v>
      </c>
      <c r="O1105" t="n">
        <v>0</v>
      </c>
      <c r="P1105" t="n">
        <v>0</v>
      </c>
      <c r="Q1105" t="n">
        <v>0</v>
      </c>
      <c r="R1105" s="2" t="inlineStr"/>
    </row>
    <row r="1106" ht="15" customHeight="1">
      <c r="A1106" t="inlineStr">
        <is>
          <t>A 50081-2025</t>
        </is>
      </c>
      <c r="B1106" s="1" t="n">
        <v>45943.46954861111</v>
      </c>
      <c r="C1106" s="1" t="n">
        <v>46052</v>
      </c>
      <c r="D1106" t="inlineStr">
        <is>
          <t>JÄMTLANDS LÄN</t>
        </is>
      </c>
      <c r="E1106" t="inlineStr">
        <is>
          <t>RAGUNDA</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50055-2025</t>
        </is>
      </c>
      <c r="B1107" s="1" t="n">
        <v>45943.43287037037</v>
      </c>
      <c r="C1107" s="1" t="n">
        <v>46052</v>
      </c>
      <c r="D1107" t="inlineStr">
        <is>
          <t>JÄMTLANDS LÄN</t>
        </is>
      </c>
      <c r="E1107" t="inlineStr">
        <is>
          <t>RAGUNDA</t>
        </is>
      </c>
      <c r="G1107" t="n">
        <v>17.6</v>
      </c>
      <c r="H1107" t="n">
        <v>0</v>
      </c>
      <c r="I1107" t="n">
        <v>0</v>
      </c>
      <c r="J1107" t="n">
        <v>0</v>
      </c>
      <c r="K1107" t="n">
        <v>0</v>
      </c>
      <c r="L1107" t="n">
        <v>0</v>
      </c>
      <c r="M1107" t="n">
        <v>0</v>
      </c>
      <c r="N1107" t="n">
        <v>0</v>
      </c>
      <c r="O1107" t="n">
        <v>0</v>
      </c>
      <c r="P1107" t="n">
        <v>0</v>
      </c>
      <c r="Q1107" t="n">
        <v>0</v>
      </c>
      <c r="R1107" s="2" t="inlineStr"/>
    </row>
    <row r="1108" ht="15" customHeight="1">
      <c r="A1108" t="inlineStr">
        <is>
          <t>A 50080-2025</t>
        </is>
      </c>
      <c r="B1108" s="1" t="n">
        <v>45943.469375</v>
      </c>
      <c r="C1108" s="1" t="n">
        <v>46052</v>
      </c>
      <c r="D1108" t="inlineStr">
        <is>
          <t>JÄMTLANDS LÄN</t>
        </is>
      </c>
      <c r="E1108" t="inlineStr">
        <is>
          <t>RAGUNDA</t>
        </is>
      </c>
      <c r="F1108" t="inlineStr">
        <is>
          <t>Naturvårdsverket</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50260-2025</t>
        </is>
      </c>
      <c r="B1109" s="1" t="n">
        <v>45944.34515046296</v>
      </c>
      <c r="C1109" s="1" t="n">
        <v>46052</v>
      </c>
      <c r="D1109" t="inlineStr">
        <is>
          <t>JÄMTLANDS LÄN</t>
        </is>
      </c>
      <c r="E1109" t="inlineStr">
        <is>
          <t>RAGUNDA</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50473-2025</t>
        </is>
      </c>
      <c r="B1110" s="1" t="n">
        <v>45945.36520833334</v>
      </c>
      <c r="C1110" s="1" t="n">
        <v>46052</v>
      </c>
      <c r="D1110" t="inlineStr">
        <is>
          <t>JÄMTLANDS LÄN</t>
        </is>
      </c>
      <c r="E1110" t="inlineStr">
        <is>
          <t>RAGUNDA</t>
        </is>
      </c>
      <c r="F1110" t="inlineStr">
        <is>
          <t>SCA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50504-2025</t>
        </is>
      </c>
      <c r="B1111" s="1" t="n">
        <v>45945.4284837963</v>
      </c>
      <c r="C1111" s="1" t="n">
        <v>46052</v>
      </c>
      <c r="D1111" t="inlineStr">
        <is>
          <t>JÄMTLANDS LÄN</t>
        </is>
      </c>
      <c r="E1111" t="inlineStr">
        <is>
          <t>RAGUNDA</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50503-2025</t>
        </is>
      </c>
      <c r="B1112" s="1" t="n">
        <v>45945.42746527777</v>
      </c>
      <c r="C1112" s="1" t="n">
        <v>46052</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33650-2025</t>
        </is>
      </c>
      <c r="B1113" s="1" t="n">
        <v>45841</v>
      </c>
      <c r="C1113" s="1" t="n">
        <v>46052</v>
      </c>
      <c r="D1113" t="inlineStr">
        <is>
          <t>JÄMTLANDS LÄN</t>
        </is>
      </c>
      <c r="E1113" t="inlineStr">
        <is>
          <t>RAGUNDA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50711-2025</t>
        </is>
      </c>
      <c r="B1114" s="1" t="n">
        <v>45946.34431712963</v>
      </c>
      <c r="C1114" s="1" t="n">
        <v>46052</v>
      </c>
      <c r="D1114" t="inlineStr">
        <is>
          <t>JÄMTLANDS LÄN</t>
        </is>
      </c>
      <c r="E1114" t="inlineStr">
        <is>
          <t>RAGUNDA</t>
        </is>
      </c>
      <c r="F1114" t="inlineStr">
        <is>
          <t>SCA</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50716-2025</t>
        </is>
      </c>
      <c r="B1115" s="1" t="n">
        <v>45946.34572916666</v>
      </c>
      <c r="C1115" s="1" t="n">
        <v>46052</v>
      </c>
      <c r="D1115" t="inlineStr">
        <is>
          <t>JÄMTLANDS LÄN</t>
        </is>
      </c>
      <c r="E1115" t="inlineStr">
        <is>
          <t>RAGUNDA</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50719-2025</t>
        </is>
      </c>
      <c r="B1116" s="1" t="n">
        <v>45946.34642361111</v>
      </c>
      <c r="C1116" s="1" t="n">
        <v>46052</v>
      </c>
      <c r="D1116" t="inlineStr">
        <is>
          <t>JÄMTLANDS LÄN</t>
        </is>
      </c>
      <c r="E1116" t="inlineStr">
        <is>
          <t>RAGUNDA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51019-2025</t>
        </is>
      </c>
      <c r="B1117" s="1" t="n">
        <v>45947.38623842593</v>
      </c>
      <c r="C1117" s="1" t="n">
        <v>46052</v>
      </c>
      <c r="D1117" t="inlineStr">
        <is>
          <t>JÄMTLANDS LÄN</t>
        </is>
      </c>
      <c r="E1117" t="inlineStr">
        <is>
          <t>RAGUNDA</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50985-2025</t>
        </is>
      </c>
      <c r="B1118" s="1" t="n">
        <v>45947.34506944445</v>
      </c>
      <c r="C1118" s="1" t="n">
        <v>46052</v>
      </c>
      <c r="D1118" t="inlineStr">
        <is>
          <t>JÄMTLANDS LÄN</t>
        </is>
      </c>
      <c r="E1118" t="inlineStr">
        <is>
          <t>RAGUNDA</t>
        </is>
      </c>
      <c r="F1118" t="inlineStr">
        <is>
          <t>SCA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51034-2025</t>
        </is>
      </c>
      <c r="B1119" s="1" t="n">
        <v>45947.40670138889</v>
      </c>
      <c r="C1119" s="1" t="n">
        <v>46052</v>
      </c>
      <c r="D1119" t="inlineStr">
        <is>
          <t>JÄMTLANDS LÄN</t>
        </is>
      </c>
      <c r="E1119" t="inlineStr">
        <is>
          <t>RAGUNDA</t>
        </is>
      </c>
      <c r="F1119" t="inlineStr">
        <is>
          <t>SCA</t>
        </is>
      </c>
      <c r="G1119" t="n">
        <v>44.1</v>
      </c>
      <c r="H1119" t="n">
        <v>0</v>
      </c>
      <c r="I1119" t="n">
        <v>0</v>
      </c>
      <c r="J1119" t="n">
        <v>0</v>
      </c>
      <c r="K1119" t="n">
        <v>0</v>
      </c>
      <c r="L1119" t="n">
        <v>0</v>
      </c>
      <c r="M1119" t="n">
        <v>0</v>
      </c>
      <c r="N1119" t="n">
        <v>0</v>
      </c>
      <c r="O1119" t="n">
        <v>0</v>
      </c>
      <c r="P1119" t="n">
        <v>0</v>
      </c>
      <c r="Q1119" t="n">
        <v>0</v>
      </c>
      <c r="R1119" s="2" t="inlineStr"/>
    </row>
    <row r="1120" ht="15" customHeight="1">
      <c r="A1120" t="inlineStr">
        <is>
          <t>A 51592-2025</t>
        </is>
      </c>
      <c r="B1120" s="1" t="n">
        <v>45951.36541666667</v>
      </c>
      <c r="C1120" s="1" t="n">
        <v>46052</v>
      </c>
      <c r="D1120" t="inlineStr">
        <is>
          <t>JÄMTLANDS LÄN</t>
        </is>
      </c>
      <c r="E1120" t="inlineStr">
        <is>
          <t>RAGUNDA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51395-2025</t>
        </is>
      </c>
      <c r="B1121" s="1" t="n">
        <v>45950.46989583333</v>
      </c>
      <c r="C1121" s="1" t="n">
        <v>46052</v>
      </c>
      <c r="D1121" t="inlineStr">
        <is>
          <t>JÄMTLANDS LÄN</t>
        </is>
      </c>
      <c r="E1121" t="inlineStr">
        <is>
          <t>RAGUNDA</t>
        </is>
      </c>
      <c r="F1121" t="inlineStr">
        <is>
          <t>SCA</t>
        </is>
      </c>
      <c r="G1121" t="n">
        <v>30.7</v>
      </c>
      <c r="H1121" t="n">
        <v>0</v>
      </c>
      <c r="I1121" t="n">
        <v>0</v>
      </c>
      <c r="J1121" t="n">
        <v>0</v>
      </c>
      <c r="K1121" t="n">
        <v>0</v>
      </c>
      <c r="L1121" t="n">
        <v>0</v>
      </c>
      <c r="M1121" t="n">
        <v>0</v>
      </c>
      <c r="N1121" t="n">
        <v>0</v>
      </c>
      <c r="O1121" t="n">
        <v>0</v>
      </c>
      <c r="P1121" t="n">
        <v>0</v>
      </c>
      <c r="Q1121" t="n">
        <v>0</v>
      </c>
      <c r="R1121" s="2" t="inlineStr"/>
    </row>
    <row r="1122" ht="15" customHeight="1">
      <c r="A1122" t="inlineStr">
        <is>
          <t>A 51678-2025</t>
        </is>
      </c>
      <c r="B1122" s="1" t="n">
        <v>45951.51106481482</v>
      </c>
      <c r="C1122" s="1" t="n">
        <v>46052</v>
      </c>
      <c r="D1122" t="inlineStr">
        <is>
          <t>JÄMTLANDS LÄN</t>
        </is>
      </c>
      <c r="E1122" t="inlineStr">
        <is>
          <t>RAGUNDA</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51593-2025</t>
        </is>
      </c>
      <c r="B1123" s="1" t="n">
        <v>45951.36548611111</v>
      </c>
      <c r="C1123" s="1" t="n">
        <v>46052</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51484-2025</t>
        </is>
      </c>
      <c r="B1124" s="1" t="n">
        <v>45950.62196759259</v>
      </c>
      <c r="C1124" s="1" t="n">
        <v>46052</v>
      </c>
      <c r="D1124" t="inlineStr">
        <is>
          <t>JÄMTLANDS LÄN</t>
        </is>
      </c>
      <c r="E1124" t="inlineStr">
        <is>
          <t>RAGUNDA</t>
        </is>
      </c>
      <c r="F1124" t="inlineStr">
        <is>
          <t>SCA</t>
        </is>
      </c>
      <c r="G1124" t="n">
        <v>23.1</v>
      </c>
      <c r="H1124" t="n">
        <v>0</v>
      </c>
      <c r="I1124" t="n">
        <v>0</v>
      </c>
      <c r="J1124" t="n">
        <v>0</v>
      </c>
      <c r="K1124" t="n">
        <v>0</v>
      </c>
      <c r="L1124" t="n">
        <v>0</v>
      </c>
      <c r="M1124" t="n">
        <v>0</v>
      </c>
      <c r="N1124" t="n">
        <v>0</v>
      </c>
      <c r="O1124" t="n">
        <v>0</v>
      </c>
      <c r="P1124" t="n">
        <v>0</v>
      </c>
      <c r="Q1124" t="n">
        <v>0</v>
      </c>
      <c r="R1124" s="2" t="inlineStr"/>
    </row>
    <row r="1125" ht="15" customHeight="1">
      <c r="A1125" t="inlineStr">
        <is>
          <t>A 51491-2025</t>
        </is>
      </c>
      <c r="B1125" s="1" t="n">
        <v>45950.63362268519</v>
      </c>
      <c r="C1125" s="1" t="n">
        <v>46052</v>
      </c>
      <c r="D1125" t="inlineStr">
        <is>
          <t>JÄMTLANDS LÄN</t>
        </is>
      </c>
      <c r="E1125" t="inlineStr">
        <is>
          <t>RAGUNDA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51791-2025</t>
        </is>
      </c>
      <c r="B1126" s="1" t="n">
        <v>45951.69833333333</v>
      </c>
      <c r="C1126" s="1" t="n">
        <v>46052</v>
      </c>
      <c r="D1126" t="inlineStr">
        <is>
          <t>JÄMTLANDS LÄN</t>
        </is>
      </c>
      <c r="E1126" t="inlineStr">
        <is>
          <t>RAGUNDA</t>
        </is>
      </c>
      <c r="F1126" t="inlineStr">
        <is>
          <t>SCA</t>
        </is>
      </c>
      <c r="G1126" t="n">
        <v>43.3</v>
      </c>
      <c r="H1126" t="n">
        <v>0</v>
      </c>
      <c r="I1126" t="n">
        <v>0</v>
      </c>
      <c r="J1126" t="n">
        <v>0</v>
      </c>
      <c r="K1126" t="n">
        <v>0</v>
      </c>
      <c r="L1126" t="n">
        <v>0</v>
      </c>
      <c r="M1126" t="n">
        <v>0</v>
      </c>
      <c r="N1126" t="n">
        <v>0</v>
      </c>
      <c r="O1126" t="n">
        <v>0</v>
      </c>
      <c r="P1126" t="n">
        <v>0</v>
      </c>
      <c r="Q1126" t="n">
        <v>0</v>
      </c>
      <c r="R1126" s="2" t="inlineStr"/>
    </row>
    <row r="1127" ht="15" customHeight="1">
      <c r="A1127" t="inlineStr">
        <is>
          <t>A 51702-2025</t>
        </is>
      </c>
      <c r="B1127" s="1" t="n">
        <v>45951.55305555555</v>
      </c>
      <c r="C1127" s="1" t="n">
        <v>46052</v>
      </c>
      <c r="D1127" t="inlineStr">
        <is>
          <t>JÄMTLANDS LÄN</t>
        </is>
      </c>
      <c r="E1127" t="inlineStr">
        <is>
          <t>RAGUNDA</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51394-2025</t>
        </is>
      </c>
      <c r="B1128" s="1" t="n">
        <v>45950.46972222222</v>
      </c>
      <c r="C1128" s="1" t="n">
        <v>46052</v>
      </c>
      <c r="D1128" t="inlineStr">
        <is>
          <t>JÄMTLANDS LÄN</t>
        </is>
      </c>
      <c r="E1128" t="inlineStr">
        <is>
          <t>RAGUNDA</t>
        </is>
      </c>
      <c r="F1128" t="inlineStr">
        <is>
          <t>SCA</t>
        </is>
      </c>
      <c r="G1128" t="n">
        <v>36.5</v>
      </c>
      <c r="H1128" t="n">
        <v>0</v>
      </c>
      <c r="I1128" t="n">
        <v>0</v>
      </c>
      <c r="J1128" t="n">
        <v>0</v>
      </c>
      <c r="K1128" t="n">
        <v>0</v>
      </c>
      <c r="L1128" t="n">
        <v>0</v>
      </c>
      <c r="M1128" t="n">
        <v>0</v>
      </c>
      <c r="N1128" t="n">
        <v>0</v>
      </c>
      <c r="O1128" t="n">
        <v>0</v>
      </c>
      <c r="P1128" t="n">
        <v>0</v>
      </c>
      <c r="Q1128" t="n">
        <v>0</v>
      </c>
      <c r="R1128" s="2" t="inlineStr"/>
    </row>
    <row r="1129" ht="15" customHeight="1">
      <c r="A1129" t="inlineStr">
        <is>
          <t>A 52317-2025</t>
        </is>
      </c>
      <c r="B1129" s="1" t="n">
        <v>45953.65675925926</v>
      </c>
      <c r="C1129" s="1" t="n">
        <v>46052</v>
      </c>
      <c r="D1129" t="inlineStr">
        <is>
          <t>JÄMTLANDS LÄN</t>
        </is>
      </c>
      <c r="E1129" t="inlineStr">
        <is>
          <t>RAGUNDA</t>
        </is>
      </c>
      <c r="F1129" t="inlineStr">
        <is>
          <t>SCA</t>
        </is>
      </c>
      <c r="G1129" t="n">
        <v>27.2</v>
      </c>
      <c r="H1129" t="n">
        <v>0</v>
      </c>
      <c r="I1129" t="n">
        <v>0</v>
      </c>
      <c r="J1129" t="n">
        <v>0</v>
      </c>
      <c r="K1129" t="n">
        <v>0</v>
      </c>
      <c r="L1129" t="n">
        <v>0</v>
      </c>
      <c r="M1129" t="n">
        <v>0</v>
      </c>
      <c r="N1129" t="n">
        <v>0</v>
      </c>
      <c r="O1129" t="n">
        <v>0</v>
      </c>
      <c r="P1129" t="n">
        <v>0</v>
      </c>
      <c r="Q1129" t="n">
        <v>0</v>
      </c>
      <c r="R1129" s="2" t="inlineStr"/>
    </row>
    <row r="1130" ht="15" customHeight="1">
      <c r="A1130" t="inlineStr">
        <is>
          <t>A 52122-2025</t>
        </is>
      </c>
      <c r="B1130" s="1" t="n">
        <v>45952.71946759259</v>
      </c>
      <c r="C1130" s="1" t="n">
        <v>46052</v>
      </c>
      <c r="D1130" t="inlineStr">
        <is>
          <t>JÄMTLANDS LÄN</t>
        </is>
      </c>
      <c r="E1130" t="inlineStr">
        <is>
          <t>RAGUNDA</t>
        </is>
      </c>
      <c r="F1130" t="inlineStr">
        <is>
          <t>SCA</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52330-2025</t>
        </is>
      </c>
      <c r="B1131" s="1" t="n">
        <v>45953.67752314815</v>
      </c>
      <c r="C1131" s="1" t="n">
        <v>46052</v>
      </c>
      <c r="D1131" t="inlineStr">
        <is>
          <t>JÄMTLANDS LÄN</t>
        </is>
      </c>
      <c r="E1131" t="inlineStr">
        <is>
          <t>RAGUNDA</t>
        </is>
      </c>
      <c r="F1131" t="inlineStr">
        <is>
          <t>SCA</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52093-2025</t>
        </is>
      </c>
      <c r="B1132" s="1" t="n">
        <v>45952.67865740741</v>
      </c>
      <c r="C1132" s="1" t="n">
        <v>46052</v>
      </c>
      <c r="D1132" t="inlineStr">
        <is>
          <t>JÄMTLANDS LÄN</t>
        </is>
      </c>
      <c r="E1132" t="inlineStr">
        <is>
          <t>RAGUNDA</t>
        </is>
      </c>
      <c r="F1132" t="inlineStr">
        <is>
          <t>SCA</t>
        </is>
      </c>
      <c r="G1132" t="n">
        <v>22.7</v>
      </c>
      <c r="H1132" t="n">
        <v>0</v>
      </c>
      <c r="I1132" t="n">
        <v>0</v>
      </c>
      <c r="J1132" t="n">
        <v>0</v>
      </c>
      <c r="K1132" t="n">
        <v>0</v>
      </c>
      <c r="L1132" t="n">
        <v>0</v>
      </c>
      <c r="M1132" t="n">
        <v>0</v>
      </c>
      <c r="N1132" t="n">
        <v>0</v>
      </c>
      <c r="O1132" t="n">
        <v>0</v>
      </c>
      <c r="P1132" t="n">
        <v>0</v>
      </c>
      <c r="Q1132" t="n">
        <v>0</v>
      </c>
      <c r="R1132" s="2" t="inlineStr"/>
    </row>
    <row r="1133" ht="15" customHeight="1">
      <c r="A1133" t="inlineStr">
        <is>
          <t>A 51882-2025</t>
        </is>
      </c>
      <c r="B1133" s="1" t="n">
        <v>45952.40685185185</v>
      </c>
      <c r="C1133" s="1" t="n">
        <v>46052</v>
      </c>
      <c r="D1133" t="inlineStr">
        <is>
          <t>JÄMTLANDS LÄN</t>
        </is>
      </c>
      <c r="E1133" t="inlineStr">
        <is>
          <t>RAGUNDA</t>
        </is>
      </c>
      <c r="F1133" t="inlineStr">
        <is>
          <t>SCA</t>
        </is>
      </c>
      <c r="G1133" t="n">
        <v>11.9</v>
      </c>
      <c r="H1133" t="n">
        <v>0</v>
      </c>
      <c r="I1133" t="n">
        <v>0</v>
      </c>
      <c r="J1133" t="n">
        <v>0</v>
      </c>
      <c r="K1133" t="n">
        <v>0</v>
      </c>
      <c r="L1133" t="n">
        <v>0</v>
      </c>
      <c r="M1133" t="n">
        <v>0</v>
      </c>
      <c r="N1133" t="n">
        <v>0</v>
      </c>
      <c r="O1133" t="n">
        <v>0</v>
      </c>
      <c r="P1133" t="n">
        <v>0</v>
      </c>
      <c r="Q1133" t="n">
        <v>0</v>
      </c>
      <c r="R1133" s="2" t="inlineStr"/>
    </row>
    <row r="1134" ht="15" customHeight="1">
      <c r="A1134" t="inlineStr">
        <is>
          <t>A 51903-2025</t>
        </is>
      </c>
      <c r="B1134" s="1" t="n">
        <v>45952.44857638889</v>
      </c>
      <c r="C1134" s="1" t="n">
        <v>46052</v>
      </c>
      <c r="D1134" t="inlineStr">
        <is>
          <t>JÄMTLANDS LÄN</t>
        </is>
      </c>
      <c r="E1134" t="inlineStr">
        <is>
          <t>RAGUNDA</t>
        </is>
      </c>
      <c r="F1134" t="inlineStr">
        <is>
          <t>SCA</t>
        </is>
      </c>
      <c r="G1134" t="n">
        <v>20.8</v>
      </c>
      <c r="H1134" t="n">
        <v>0</v>
      </c>
      <c r="I1134" t="n">
        <v>0</v>
      </c>
      <c r="J1134" t="n">
        <v>0</v>
      </c>
      <c r="K1134" t="n">
        <v>0</v>
      </c>
      <c r="L1134" t="n">
        <v>0</v>
      </c>
      <c r="M1134" t="n">
        <v>0</v>
      </c>
      <c r="N1134" t="n">
        <v>0</v>
      </c>
      <c r="O1134" t="n">
        <v>0</v>
      </c>
      <c r="P1134" t="n">
        <v>0</v>
      </c>
      <c r="Q1134" t="n">
        <v>0</v>
      </c>
      <c r="R1134" s="2" t="inlineStr"/>
    </row>
    <row r="1135" ht="15" customHeight="1">
      <c r="A1135" t="inlineStr">
        <is>
          <t>A 51932-2025</t>
        </is>
      </c>
      <c r="B1135" s="1" t="n">
        <v>45952.51094907407</v>
      </c>
      <c r="C1135" s="1" t="n">
        <v>46052</v>
      </c>
      <c r="D1135" t="inlineStr">
        <is>
          <t>JÄMTLANDS LÄN</t>
        </is>
      </c>
      <c r="E1135" t="inlineStr">
        <is>
          <t>RAGUNDA</t>
        </is>
      </c>
      <c r="F1135" t="inlineStr">
        <is>
          <t>SCA</t>
        </is>
      </c>
      <c r="G1135" t="n">
        <v>39.2</v>
      </c>
      <c r="H1135" t="n">
        <v>0</v>
      </c>
      <c r="I1135" t="n">
        <v>0</v>
      </c>
      <c r="J1135" t="n">
        <v>0</v>
      </c>
      <c r="K1135" t="n">
        <v>0</v>
      </c>
      <c r="L1135" t="n">
        <v>0</v>
      </c>
      <c r="M1135" t="n">
        <v>0</v>
      </c>
      <c r="N1135" t="n">
        <v>0</v>
      </c>
      <c r="O1135" t="n">
        <v>0</v>
      </c>
      <c r="P1135" t="n">
        <v>0</v>
      </c>
      <c r="Q1135" t="n">
        <v>0</v>
      </c>
      <c r="R1135" s="2" t="inlineStr"/>
    </row>
    <row r="1136" ht="15" customHeight="1">
      <c r="A1136" t="inlineStr">
        <is>
          <t>A 51906-2025</t>
        </is>
      </c>
      <c r="B1136" s="1" t="n">
        <v>45952.4615162037</v>
      </c>
      <c r="C1136" s="1" t="n">
        <v>46052</v>
      </c>
      <c r="D1136" t="inlineStr">
        <is>
          <t>JÄMTLANDS LÄN</t>
        </is>
      </c>
      <c r="E1136" t="inlineStr">
        <is>
          <t>RAGUNDA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52972-2025</t>
        </is>
      </c>
      <c r="B1137" s="1" t="n">
        <v>45957.67783564814</v>
      </c>
      <c r="C1137" s="1" t="n">
        <v>46052</v>
      </c>
      <c r="D1137" t="inlineStr">
        <is>
          <t>JÄMTLANDS LÄN</t>
        </is>
      </c>
      <c r="E1137" t="inlineStr">
        <is>
          <t>RAGUNDA</t>
        </is>
      </c>
      <c r="F1137" t="inlineStr">
        <is>
          <t>SCA</t>
        </is>
      </c>
      <c r="G1137" t="n">
        <v>53.4</v>
      </c>
      <c r="H1137" t="n">
        <v>0</v>
      </c>
      <c r="I1137" t="n">
        <v>0</v>
      </c>
      <c r="J1137" t="n">
        <v>0</v>
      </c>
      <c r="K1137" t="n">
        <v>0</v>
      </c>
      <c r="L1137" t="n">
        <v>0</v>
      </c>
      <c r="M1137" t="n">
        <v>0</v>
      </c>
      <c r="N1137" t="n">
        <v>0</v>
      </c>
      <c r="O1137" t="n">
        <v>0</v>
      </c>
      <c r="P1137" t="n">
        <v>0</v>
      </c>
      <c r="Q1137" t="n">
        <v>0</v>
      </c>
      <c r="R1137" s="2" t="inlineStr"/>
    </row>
    <row r="1138" ht="15" customHeight="1">
      <c r="A1138" t="inlineStr">
        <is>
          <t>A 52430-2025</t>
        </is>
      </c>
      <c r="B1138" s="1" t="n">
        <v>45954.38592592593</v>
      </c>
      <c r="C1138" s="1" t="n">
        <v>46052</v>
      </c>
      <c r="D1138" t="inlineStr">
        <is>
          <t>JÄMTLANDS LÄN</t>
        </is>
      </c>
      <c r="E1138" t="inlineStr">
        <is>
          <t>RAGUNDA</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52875-2025</t>
        </is>
      </c>
      <c r="B1139" s="1" t="n">
        <v>45957.53211805555</v>
      </c>
      <c r="C1139" s="1" t="n">
        <v>46052</v>
      </c>
      <c r="D1139" t="inlineStr">
        <is>
          <t>JÄMTLANDS LÄN</t>
        </is>
      </c>
      <c r="E1139" t="inlineStr">
        <is>
          <t>RAGUNDA</t>
        </is>
      </c>
      <c r="F1139" t="inlineStr">
        <is>
          <t>SCA</t>
        </is>
      </c>
      <c r="G1139" t="n">
        <v>34.3</v>
      </c>
      <c r="H1139" t="n">
        <v>0</v>
      </c>
      <c r="I1139" t="n">
        <v>0</v>
      </c>
      <c r="J1139" t="n">
        <v>0</v>
      </c>
      <c r="K1139" t="n">
        <v>0</v>
      </c>
      <c r="L1139" t="n">
        <v>0</v>
      </c>
      <c r="M1139" t="n">
        <v>0</v>
      </c>
      <c r="N1139" t="n">
        <v>0</v>
      </c>
      <c r="O1139" t="n">
        <v>0</v>
      </c>
      <c r="P1139" t="n">
        <v>0</v>
      </c>
      <c r="Q1139" t="n">
        <v>0</v>
      </c>
      <c r="R1139" s="2" t="inlineStr"/>
    </row>
    <row r="1140" ht="15" customHeight="1">
      <c r="A1140" t="inlineStr">
        <is>
          <t>A 52394-2025</t>
        </is>
      </c>
      <c r="B1140" s="1" t="n">
        <v>45954.34466435185</v>
      </c>
      <c r="C1140" s="1" t="n">
        <v>46052</v>
      </c>
      <c r="D1140" t="inlineStr">
        <is>
          <t>JÄMTLANDS LÄN</t>
        </is>
      </c>
      <c r="E1140" t="inlineStr">
        <is>
          <t>RAGUNDA</t>
        </is>
      </c>
      <c r="F1140" t="inlineStr">
        <is>
          <t>SCA</t>
        </is>
      </c>
      <c r="G1140" t="n">
        <v>53.8</v>
      </c>
      <c r="H1140" t="n">
        <v>0</v>
      </c>
      <c r="I1140" t="n">
        <v>0</v>
      </c>
      <c r="J1140" t="n">
        <v>0</v>
      </c>
      <c r="K1140" t="n">
        <v>0</v>
      </c>
      <c r="L1140" t="n">
        <v>0</v>
      </c>
      <c r="M1140" t="n">
        <v>0</v>
      </c>
      <c r="N1140" t="n">
        <v>0</v>
      </c>
      <c r="O1140" t="n">
        <v>0</v>
      </c>
      <c r="P1140" t="n">
        <v>0</v>
      </c>
      <c r="Q1140" t="n">
        <v>0</v>
      </c>
      <c r="R1140" s="2" t="inlineStr"/>
    </row>
    <row r="1141" ht="15" customHeight="1">
      <c r="A1141" t="inlineStr">
        <is>
          <t>A 52395-2025</t>
        </is>
      </c>
      <c r="B1141" s="1" t="n">
        <v>45954.34487268519</v>
      </c>
      <c r="C1141" s="1" t="n">
        <v>46052</v>
      </c>
      <c r="D1141" t="inlineStr">
        <is>
          <t>JÄMTLANDS LÄN</t>
        </is>
      </c>
      <c r="E1141" t="inlineStr">
        <is>
          <t>RAGUNDA</t>
        </is>
      </c>
      <c r="F1141" t="inlineStr">
        <is>
          <t>SCA</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53211-2025</t>
        </is>
      </c>
      <c r="B1142" s="1" t="n">
        <v>45958.59490740741</v>
      </c>
      <c r="C1142" s="1" t="n">
        <v>46052</v>
      </c>
      <c r="D1142" t="inlineStr">
        <is>
          <t>JÄMTLANDS LÄN</t>
        </is>
      </c>
      <c r="E1142" t="inlineStr">
        <is>
          <t>RAGUNDA</t>
        </is>
      </c>
      <c r="F1142" t="inlineStr">
        <is>
          <t>SCA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53032-2025</t>
        </is>
      </c>
      <c r="B1143" s="1" t="n">
        <v>45958.34462962963</v>
      </c>
      <c r="C1143" s="1" t="n">
        <v>46052</v>
      </c>
      <c r="D1143" t="inlineStr">
        <is>
          <t>JÄMTLANDS LÄN</t>
        </is>
      </c>
      <c r="E1143" t="inlineStr">
        <is>
          <t>RAGUNDA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53075-2025</t>
        </is>
      </c>
      <c r="B1144" s="1" t="n">
        <v>45958.38584490741</v>
      </c>
      <c r="C1144" s="1" t="n">
        <v>46052</v>
      </c>
      <c r="D1144" t="inlineStr">
        <is>
          <t>JÄMTLANDS LÄN</t>
        </is>
      </c>
      <c r="E1144" t="inlineStr">
        <is>
          <t>RAGUNDA</t>
        </is>
      </c>
      <c r="F1144" t="inlineStr">
        <is>
          <t>SCA</t>
        </is>
      </c>
      <c r="G1144" t="n">
        <v>28.9</v>
      </c>
      <c r="H1144" t="n">
        <v>0</v>
      </c>
      <c r="I1144" t="n">
        <v>0</v>
      </c>
      <c r="J1144" t="n">
        <v>0</v>
      </c>
      <c r="K1144" t="n">
        <v>0</v>
      </c>
      <c r="L1144" t="n">
        <v>0</v>
      </c>
      <c r="M1144" t="n">
        <v>0</v>
      </c>
      <c r="N1144" t="n">
        <v>0</v>
      </c>
      <c r="O1144" t="n">
        <v>0</v>
      </c>
      <c r="P1144" t="n">
        <v>0</v>
      </c>
      <c r="Q1144" t="n">
        <v>0</v>
      </c>
      <c r="R1144" s="2" t="inlineStr"/>
    </row>
    <row r="1145" ht="15" customHeight="1">
      <c r="A1145" t="inlineStr">
        <is>
          <t>A 52578-2025</t>
        </is>
      </c>
      <c r="B1145" s="1" t="n">
        <v>45954.61508101852</v>
      </c>
      <c r="C1145" s="1" t="n">
        <v>46052</v>
      </c>
      <c r="D1145" t="inlineStr">
        <is>
          <t>JÄMTLANDS LÄN</t>
        </is>
      </c>
      <c r="E1145" t="inlineStr">
        <is>
          <t>RAGUNDA</t>
        </is>
      </c>
      <c r="F1145" t="inlineStr">
        <is>
          <t>SCA</t>
        </is>
      </c>
      <c r="G1145" t="n">
        <v>25.2</v>
      </c>
      <c r="H1145" t="n">
        <v>0</v>
      </c>
      <c r="I1145" t="n">
        <v>0</v>
      </c>
      <c r="J1145" t="n">
        <v>0</v>
      </c>
      <c r="K1145" t="n">
        <v>0</v>
      </c>
      <c r="L1145" t="n">
        <v>0</v>
      </c>
      <c r="M1145" t="n">
        <v>0</v>
      </c>
      <c r="N1145" t="n">
        <v>0</v>
      </c>
      <c r="O1145" t="n">
        <v>0</v>
      </c>
      <c r="P1145" t="n">
        <v>0</v>
      </c>
      <c r="Q1145" t="n">
        <v>0</v>
      </c>
      <c r="R1145" s="2" t="inlineStr"/>
    </row>
    <row r="1146" ht="15" customHeight="1">
      <c r="A1146" t="inlineStr">
        <is>
          <t>A 53076-2025</t>
        </is>
      </c>
      <c r="B1146" s="1" t="n">
        <v>45958.38604166666</v>
      </c>
      <c r="C1146" s="1" t="n">
        <v>46052</v>
      </c>
      <c r="D1146" t="inlineStr">
        <is>
          <t>JÄMTLANDS LÄN</t>
        </is>
      </c>
      <c r="E1146" t="inlineStr">
        <is>
          <t>RAGUNDA</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25304-2023</t>
        </is>
      </c>
      <c r="B1147" s="1" t="n">
        <v>45086</v>
      </c>
      <c r="C1147" s="1" t="n">
        <v>46052</v>
      </c>
      <c r="D1147" t="inlineStr">
        <is>
          <t>JÄMTLANDS LÄN</t>
        </is>
      </c>
      <c r="E1147" t="inlineStr">
        <is>
          <t>RAGUNDA</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53986-2025</t>
        </is>
      </c>
      <c r="B1148" s="1" t="n">
        <v>45961.57381944444</v>
      </c>
      <c r="C1148" s="1" t="n">
        <v>46052</v>
      </c>
      <c r="D1148" t="inlineStr">
        <is>
          <t>JÄMTLANDS LÄN</t>
        </is>
      </c>
      <c r="E1148" t="inlineStr">
        <is>
          <t>RAGUNDA</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53973-2025</t>
        </is>
      </c>
      <c r="B1149" s="1" t="n">
        <v>45961.55246527777</v>
      </c>
      <c r="C1149" s="1" t="n">
        <v>46052</v>
      </c>
      <c r="D1149" t="inlineStr">
        <is>
          <t>JÄMTLANDS LÄN</t>
        </is>
      </c>
      <c r="E1149" t="inlineStr">
        <is>
          <t>RAGUNDA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53549-2025</t>
        </is>
      </c>
      <c r="B1150" s="1" t="n">
        <v>45960.38576388889</v>
      </c>
      <c r="C1150" s="1" t="n">
        <v>46052</v>
      </c>
      <c r="D1150" t="inlineStr">
        <is>
          <t>JÄMTLANDS LÄN</t>
        </is>
      </c>
      <c r="E1150" t="inlineStr">
        <is>
          <t>RAGUNDA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53975-2025</t>
        </is>
      </c>
      <c r="B1151" s="1" t="n">
        <v>45961.55277777778</v>
      </c>
      <c r="C1151" s="1" t="n">
        <v>46052</v>
      </c>
      <c r="D1151" t="inlineStr">
        <is>
          <t>JÄMTLANDS LÄN</t>
        </is>
      </c>
      <c r="E1151" t="inlineStr">
        <is>
          <t>RAGUNDA</t>
        </is>
      </c>
      <c r="F1151" t="inlineStr">
        <is>
          <t>SCA</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53726-2025</t>
        </is>
      </c>
      <c r="B1152" s="1" t="n">
        <v>45960.63597222222</v>
      </c>
      <c r="C1152" s="1" t="n">
        <v>46052</v>
      </c>
      <c r="D1152" t="inlineStr">
        <is>
          <t>JÄMTLANDS LÄN</t>
        </is>
      </c>
      <c r="E1152" t="inlineStr">
        <is>
          <t>RAGUNDA</t>
        </is>
      </c>
      <c r="F1152" t="inlineStr">
        <is>
          <t>SCA</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53748-2025</t>
        </is>
      </c>
      <c r="B1153" s="1" t="n">
        <v>45960.65673611111</v>
      </c>
      <c r="C1153" s="1" t="n">
        <v>46052</v>
      </c>
      <c r="D1153" t="inlineStr">
        <is>
          <t>JÄMTLANDS LÄN</t>
        </is>
      </c>
      <c r="E1153" t="inlineStr">
        <is>
          <t>RAGUNDA</t>
        </is>
      </c>
      <c r="F1153" t="inlineStr">
        <is>
          <t>SCA</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53727-2025</t>
        </is>
      </c>
      <c r="B1154" s="1" t="n">
        <v>45960.63630787037</v>
      </c>
      <c r="C1154" s="1" t="n">
        <v>46052</v>
      </c>
      <c r="D1154" t="inlineStr">
        <is>
          <t>JÄMTLANDS LÄN</t>
        </is>
      </c>
      <c r="E1154" t="inlineStr">
        <is>
          <t>RAGUNDA</t>
        </is>
      </c>
      <c r="F1154" t="inlineStr">
        <is>
          <t>SCA</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53765-2025</t>
        </is>
      </c>
      <c r="B1155" s="1" t="n">
        <v>45960.67753472222</v>
      </c>
      <c r="C1155" s="1" t="n">
        <v>46052</v>
      </c>
      <c r="D1155" t="inlineStr">
        <is>
          <t>JÄMTLANDS LÄN</t>
        </is>
      </c>
      <c r="E1155" t="inlineStr">
        <is>
          <t>RAGUNDA</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53951-2025</t>
        </is>
      </c>
      <c r="B1156" s="1" t="n">
        <v>45961.50200231482</v>
      </c>
      <c r="C1156" s="1" t="n">
        <v>46052</v>
      </c>
      <c r="D1156" t="inlineStr">
        <is>
          <t>JÄMTLANDS LÄN</t>
        </is>
      </c>
      <c r="E1156" t="inlineStr">
        <is>
          <t>RAGUNDA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53948-2025</t>
        </is>
      </c>
      <c r="B1157" s="1" t="n">
        <v>45961.50033564815</v>
      </c>
      <c r="C1157" s="1" t="n">
        <v>46052</v>
      </c>
      <c r="D1157" t="inlineStr">
        <is>
          <t>JÄMTLANDS LÄN</t>
        </is>
      </c>
      <c r="E1157" t="inlineStr">
        <is>
          <t>RAGUNDA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50160-2023</t>
        </is>
      </c>
      <c r="B1158" s="1" t="n">
        <v>45208</v>
      </c>
      <c r="C1158" s="1" t="n">
        <v>46052</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54195-2025</t>
        </is>
      </c>
      <c r="B1159" s="1" t="n">
        <v>45964.57413194444</v>
      </c>
      <c r="C1159" s="1" t="n">
        <v>46052</v>
      </c>
      <c r="D1159" t="inlineStr">
        <is>
          <t>JÄMTLANDS LÄN</t>
        </is>
      </c>
      <c r="E1159" t="inlineStr">
        <is>
          <t>RAGUNDA</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54396-2025</t>
        </is>
      </c>
      <c r="B1160" s="1" t="n">
        <v>45965.44849537037</v>
      </c>
      <c r="C1160" s="1" t="n">
        <v>46052</v>
      </c>
      <c r="D1160" t="inlineStr">
        <is>
          <t>JÄMTLANDS LÄN</t>
        </is>
      </c>
      <c r="E1160" t="inlineStr">
        <is>
          <t>RAGUNDA</t>
        </is>
      </c>
      <c r="F1160" t="inlineStr">
        <is>
          <t>SCA</t>
        </is>
      </c>
      <c r="G1160" t="n">
        <v>35.2</v>
      </c>
      <c r="H1160" t="n">
        <v>0</v>
      </c>
      <c r="I1160" t="n">
        <v>0</v>
      </c>
      <c r="J1160" t="n">
        <v>0</v>
      </c>
      <c r="K1160" t="n">
        <v>0</v>
      </c>
      <c r="L1160" t="n">
        <v>0</v>
      </c>
      <c r="M1160" t="n">
        <v>0</v>
      </c>
      <c r="N1160" t="n">
        <v>0</v>
      </c>
      <c r="O1160" t="n">
        <v>0</v>
      </c>
      <c r="P1160" t="n">
        <v>0</v>
      </c>
      <c r="Q1160" t="n">
        <v>0</v>
      </c>
      <c r="R1160" s="2" t="inlineStr"/>
    </row>
    <row r="1161" ht="15" customHeight="1">
      <c r="A1161" t="inlineStr">
        <is>
          <t>A 50157-2023</t>
        </is>
      </c>
      <c r="B1161" s="1" t="n">
        <v>45208</v>
      </c>
      <c r="C1161" s="1" t="n">
        <v>46052</v>
      </c>
      <c r="D1161" t="inlineStr">
        <is>
          <t>JÄMTLANDS LÄN</t>
        </is>
      </c>
      <c r="E1161" t="inlineStr">
        <is>
          <t>RAGUNDA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54794-2025</t>
        </is>
      </c>
      <c r="B1162" s="1" t="n">
        <v>45966.63592592593</v>
      </c>
      <c r="C1162" s="1" t="n">
        <v>46052</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54820-2025</t>
        </is>
      </c>
      <c r="B1163" s="1" t="n">
        <v>45966.65728009259</v>
      </c>
      <c r="C1163" s="1" t="n">
        <v>46052</v>
      </c>
      <c r="D1163" t="inlineStr">
        <is>
          <t>JÄMTLANDS LÄN</t>
        </is>
      </c>
      <c r="E1163" t="inlineStr">
        <is>
          <t>RAGUNDA</t>
        </is>
      </c>
      <c r="G1163" t="n">
        <v>15.3</v>
      </c>
      <c r="H1163" t="n">
        <v>0</v>
      </c>
      <c r="I1163" t="n">
        <v>0</v>
      </c>
      <c r="J1163" t="n">
        <v>0</v>
      </c>
      <c r="K1163" t="n">
        <v>0</v>
      </c>
      <c r="L1163" t="n">
        <v>0</v>
      </c>
      <c r="M1163" t="n">
        <v>0</v>
      </c>
      <c r="N1163" t="n">
        <v>0</v>
      </c>
      <c r="O1163" t="n">
        <v>0</v>
      </c>
      <c r="P1163" t="n">
        <v>0</v>
      </c>
      <c r="Q1163" t="n">
        <v>0</v>
      </c>
      <c r="R1163" s="2" t="inlineStr"/>
    </row>
    <row r="1164" ht="15" customHeight="1">
      <c r="A1164" t="inlineStr">
        <is>
          <t>A 58909-2025</t>
        </is>
      </c>
      <c r="B1164" s="1" t="n">
        <v>45987</v>
      </c>
      <c r="C1164" s="1" t="n">
        <v>46052</v>
      </c>
      <c r="D1164" t="inlineStr">
        <is>
          <t>JÄMTLANDS LÄN</t>
        </is>
      </c>
      <c r="E1164" t="inlineStr">
        <is>
          <t>RAGUNDA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55547-2025</t>
        </is>
      </c>
      <c r="B1165" s="1" t="n">
        <v>45971</v>
      </c>
      <c r="C1165" s="1" t="n">
        <v>46052</v>
      </c>
      <c r="D1165" t="inlineStr">
        <is>
          <t>JÄMTLANDS LÄN</t>
        </is>
      </c>
      <c r="E1165" t="inlineStr">
        <is>
          <t>RAGUNDA</t>
        </is>
      </c>
      <c r="F1165" t="inlineStr">
        <is>
          <t>SCA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63141-2025</t>
        </is>
      </c>
      <c r="B1166" s="1" t="n">
        <v>46010.34440972222</v>
      </c>
      <c r="C1166" s="1" t="n">
        <v>46052</v>
      </c>
      <c r="D1166" t="inlineStr">
        <is>
          <t>JÄMTLANDS LÄN</t>
        </is>
      </c>
      <c r="E1166" t="inlineStr">
        <is>
          <t>RAGUNDA</t>
        </is>
      </c>
      <c r="F1166" t="inlineStr">
        <is>
          <t>SCA</t>
        </is>
      </c>
      <c r="G1166" t="n">
        <v>24.4</v>
      </c>
      <c r="H1166" t="n">
        <v>0</v>
      </c>
      <c r="I1166" t="n">
        <v>0</v>
      </c>
      <c r="J1166" t="n">
        <v>0</v>
      </c>
      <c r="K1166" t="n">
        <v>0</v>
      </c>
      <c r="L1166" t="n">
        <v>0</v>
      </c>
      <c r="M1166" t="n">
        <v>0</v>
      </c>
      <c r="N1166" t="n">
        <v>0</v>
      </c>
      <c r="O1166" t="n">
        <v>0</v>
      </c>
      <c r="P1166" t="n">
        <v>0</v>
      </c>
      <c r="Q1166" t="n">
        <v>0</v>
      </c>
      <c r="R1166" s="2" t="inlineStr"/>
    </row>
    <row r="1167" ht="15" customHeight="1">
      <c r="A1167" t="inlineStr">
        <is>
          <t>A 63578-2025</t>
        </is>
      </c>
      <c r="B1167" s="1" t="n">
        <v>46013.67690972222</v>
      </c>
      <c r="C1167" s="1" t="n">
        <v>46052</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55797-2025</t>
        </is>
      </c>
      <c r="B1168" s="1" t="n">
        <v>45972.65693287037</v>
      </c>
      <c r="C1168" s="1" t="n">
        <v>46052</v>
      </c>
      <c r="D1168" t="inlineStr">
        <is>
          <t>JÄMTLANDS LÄN</t>
        </is>
      </c>
      <c r="E1168" t="inlineStr">
        <is>
          <t>RAGUNDA</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55671-2025</t>
        </is>
      </c>
      <c r="B1169" s="1" t="n">
        <v>45972</v>
      </c>
      <c r="C1169" s="1" t="n">
        <v>46052</v>
      </c>
      <c r="D1169" t="inlineStr">
        <is>
          <t>JÄMTLANDS LÄN</t>
        </is>
      </c>
      <c r="E1169" t="inlineStr">
        <is>
          <t>RAGUNDA</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55897-2025</t>
        </is>
      </c>
      <c r="B1170" s="1" t="n">
        <v>45973.38600694444</v>
      </c>
      <c r="C1170" s="1" t="n">
        <v>46052</v>
      </c>
      <c r="D1170" t="inlineStr">
        <is>
          <t>JÄMTLANDS LÄN</t>
        </is>
      </c>
      <c r="E1170" t="inlineStr">
        <is>
          <t>RAGUNDA</t>
        </is>
      </c>
      <c r="F1170" t="inlineStr">
        <is>
          <t>SCA</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63672-2025</t>
        </is>
      </c>
      <c r="B1171" s="1" t="n">
        <v>46014.47575231481</v>
      </c>
      <c r="C1171" s="1" t="n">
        <v>46052</v>
      </c>
      <c r="D1171" t="inlineStr">
        <is>
          <t>JÄMTLANDS LÄN</t>
        </is>
      </c>
      <c r="E1171" t="inlineStr">
        <is>
          <t>RAGUNDA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55633-2025</t>
        </is>
      </c>
      <c r="B1172" s="1" t="n">
        <v>45972</v>
      </c>
      <c r="C1172" s="1" t="n">
        <v>46052</v>
      </c>
      <c r="D1172" t="inlineStr">
        <is>
          <t>JÄMTLANDS LÄN</t>
        </is>
      </c>
      <c r="E1172" t="inlineStr">
        <is>
          <t>RAGUNDA</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63671-2025</t>
        </is>
      </c>
      <c r="B1173" s="1" t="n">
        <v>46014.46555555556</v>
      </c>
      <c r="C1173" s="1" t="n">
        <v>46052</v>
      </c>
      <c r="D1173" t="inlineStr">
        <is>
          <t>JÄMTLANDS LÄN</t>
        </is>
      </c>
      <c r="E1173" t="inlineStr">
        <is>
          <t>RAGUNDA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56435-2025</t>
        </is>
      </c>
      <c r="B1174" s="1" t="n">
        <v>45975.34679398148</v>
      </c>
      <c r="C1174" s="1" t="n">
        <v>46052</v>
      </c>
      <c r="D1174" t="inlineStr">
        <is>
          <t>JÄMTLANDS LÄN</t>
        </is>
      </c>
      <c r="E1174" t="inlineStr">
        <is>
          <t>RAGUNDA</t>
        </is>
      </c>
      <c r="F1174" t="inlineStr">
        <is>
          <t>SCA</t>
        </is>
      </c>
      <c r="G1174" t="n">
        <v>9.199999999999999</v>
      </c>
      <c r="H1174" t="n">
        <v>0</v>
      </c>
      <c r="I1174" t="n">
        <v>0</v>
      </c>
      <c r="J1174" t="n">
        <v>0</v>
      </c>
      <c r="K1174" t="n">
        <v>0</v>
      </c>
      <c r="L1174" t="n">
        <v>0</v>
      </c>
      <c r="M1174" t="n">
        <v>0</v>
      </c>
      <c r="N1174" t="n">
        <v>0</v>
      </c>
      <c r="O1174" t="n">
        <v>0</v>
      </c>
      <c r="P1174" t="n">
        <v>0</v>
      </c>
      <c r="Q1174" t="n">
        <v>0</v>
      </c>
      <c r="R1174" s="2" t="inlineStr"/>
      <c r="U1174">
        <f>HYPERLINK("https://klasma.github.io/Logging_2303/knärot/A 56435-2025 karta knärot.png", "A 56435-2025")</f>
        <v/>
      </c>
      <c r="V1174">
        <f>HYPERLINK("https://klasma.github.io/Logging_2303/klagomål/A 56435-2025 FSC-klagomål.docx", "A 56435-2025")</f>
        <v/>
      </c>
      <c r="W1174">
        <f>HYPERLINK("https://klasma.github.io/Logging_2303/klagomålsmail/A 56435-2025 FSC-klagomål mail.docx", "A 56435-2025")</f>
        <v/>
      </c>
      <c r="X1174">
        <f>HYPERLINK("https://klasma.github.io/Logging_2303/tillsyn/A 56435-2025 tillsynsbegäran.docx", "A 56435-2025")</f>
        <v/>
      </c>
      <c r="Y1174">
        <f>HYPERLINK("https://klasma.github.io/Logging_2303/tillsynsmail/A 56435-2025 tillsynsbegäran mail.docx", "A 56435-2025")</f>
        <v/>
      </c>
    </row>
    <row r="1175" ht="15" customHeight="1">
      <c r="A1175" t="inlineStr">
        <is>
          <t>A 56170-2025</t>
        </is>
      </c>
      <c r="B1175" s="1" t="n">
        <v>45974.39398148148</v>
      </c>
      <c r="C1175" s="1" t="n">
        <v>46052</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63828-2025</t>
        </is>
      </c>
      <c r="B1176" s="1" t="n">
        <v>46020.37814814815</v>
      </c>
      <c r="C1176" s="1" t="n">
        <v>46052</v>
      </c>
      <c r="D1176" t="inlineStr">
        <is>
          <t>JÄMTLANDS LÄN</t>
        </is>
      </c>
      <c r="E1176" t="inlineStr">
        <is>
          <t>RAGUNDA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57111-2025</t>
        </is>
      </c>
      <c r="B1177" s="1" t="n">
        <v>45978</v>
      </c>
      <c r="C1177" s="1" t="n">
        <v>46052</v>
      </c>
      <c r="D1177" t="inlineStr">
        <is>
          <t>JÄMTLANDS LÄN</t>
        </is>
      </c>
      <c r="E1177" t="inlineStr">
        <is>
          <t>RAGUNDA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57117-2025</t>
        </is>
      </c>
      <c r="B1178" s="1" t="n">
        <v>45978</v>
      </c>
      <c r="C1178" s="1" t="n">
        <v>46052</v>
      </c>
      <c r="D1178" t="inlineStr">
        <is>
          <t>JÄMTLANDS LÄN</t>
        </is>
      </c>
      <c r="E1178" t="inlineStr">
        <is>
          <t>RAGUNDA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56751-2025</t>
        </is>
      </c>
      <c r="B1179" s="1" t="n">
        <v>45978.36538194444</v>
      </c>
      <c r="C1179" s="1" t="n">
        <v>46052</v>
      </c>
      <c r="D1179" t="inlineStr">
        <is>
          <t>JÄMTLANDS LÄN</t>
        </is>
      </c>
      <c r="E1179" t="inlineStr">
        <is>
          <t>RAGUNDA</t>
        </is>
      </c>
      <c r="F1179" t="inlineStr">
        <is>
          <t>SCA</t>
        </is>
      </c>
      <c r="G1179" t="n">
        <v>34.5</v>
      </c>
      <c r="H1179" t="n">
        <v>0</v>
      </c>
      <c r="I1179" t="n">
        <v>0</v>
      </c>
      <c r="J1179" t="n">
        <v>0</v>
      </c>
      <c r="K1179" t="n">
        <v>0</v>
      </c>
      <c r="L1179" t="n">
        <v>0</v>
      </c>
      <c r="M1179" t="n">
        <v>0</v>
      </c>
      <c r="N1179" t="n">
        <v>0</v>
      </c>
      <c r="O1179" t="n">
        <v>0</v>
      </c>
      <c r="P1179" t="n">
        <v>0</v>
      </c>
      <c r="Q1179" t="n">
        <v>0</v>
      </c>
      <c r="R1179" s="2" t="inlineStr"/>
    </row>
    <row r="1180" ht="15" customHeight="1">
      <c r="A1180" t="inlineStr">
        <is>
          <t>A 56806-2025</t>
        </is>
      </c>
      <c r="B1180" s="1" t="n">
        <v>45978.44842592593</v>
      </c>
      <c r="C1180" s="1" t="n">
        <v>46052</v>
      </c>
      <c r="D1180" t="inlineStr">
        <is>
          <t>JÄMTLANDS LÄN</t>
        </is>
      </c>
      <c r="E1180" t="inlineStr">
        <is>
          <t>RAGUNDA</t>
        </is>
      </c>
      <c r="F1180" t="inlineStr">
        <is>
          <t>SCA</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63714-2025</t>
        </is>
      </c>
      <c r="B1181" s="1" t="n">
        <v>46014</v>
      </c>
      <c r="C1181" s="1" t="n">
        <v>46052</v>
      </c>
      <c r="D1181" t="inlineStr">
        <is>
          <t>JÄMTLANDS LÄN</t>
        </is>
      </c>
      <c r="E1181" t="inlineStr">
        <is>
          <t>RAGUNDA</t>
        </is>
      </c>
      <c r="F1181" t="inlineStr">
        <is>
          <t>Sveaskog</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57184-2025</t>
        </is>
      </c>
      <c r="B1182" s="1" t="n">
        <v>45979.57361111111</v>
      </c>
      <c r="C1182" s="1" t="n">
        <v>46052</v>
      </c>
      <c r="D1182" t="inlineStr">
        <is>
          <t>JÄMTLANDS LÄN</t>
        </is>
      </c>
      <c r="E1182" t="inlineStr">
        <is>
          <t>RAGUNDA</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57561-2025</t>
        </is>
      </c>
      <c r="B1183" s="1" t="n">
        <v>45980.69885416667</v>
      </c>
      <c r="C1183" s="1" t="n">
        <v>46052</v>
      </c>
      <c r="D1183" t="inlineStr">
        <is>
          <t>JÄMTLANDS LÄN</t>
        </is>
      </c>
      <c r="E1183" t="inlineStr">
        <is>
          <t>RAGUNDA</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57332-2025</t>
        </is>
      </c>
      <c r="B1184" s="1" t="n">
        <v>45980.34467592592</v>
      </c>
      <c r="C1184" s="1" t="n">
        <v>46052</v>
      </c>
      <c r="D1184" t="inlineStr">
        <is>
          <t>JÄMTLANDS LÄN</t>
        </is>
      </c>
      <c r="E1184" t="inlineStr">
        <is>
          <t>RAGUNDA</t>
        </is>
      </c>
      <c r="F1184" t="inlineStr">
        <is>
          <t>SCA</t>
        </is>
      </c>
      <c r="G1184" t="n">
        <v>22.6</v>
      </c>
      <c r="H1184" t="n">
        <v>0</v>
      </c>
      <c r="I1184" t="n">
        <v>0</v>
      </c>
      <c r="J1184" t="n">
        <v>0</v>
      </c>
      <c r="K1184" t="n">
        <v>0</v>
      </c>
      <c r="L1184" t="n">
        <v>0</v>
      </c>
      <c r="M1184" t="n">
        <v>0</v>
      </c>
      <c r="N1184" t="n">
        <v>0</v>
      </c>
      <c r="O1184" t="n">
        <v>0</v>
      </c>
      <c r="P1184" t="n">
        <v>0</v>
      </c>
      <c r="Q1184" t="n">
        <v>0</v>
      </c>
      <c r="R1184" s="2" t="inlineStr"/>
    </row>
    <row r="1185" ht="15" customHeight="1">
      <c r="A1185" t="inlineStr">
        <is>
          <t>A 57560-2025</t>
        </is>
      </c>
      <c r="B1185" s="1" t="n">
        <v>45980.6987962963</v>
      </c>
      <c r="C1185" s="1" t="n">
        <v>46052</v>
      </c>
      <c r="D1185" t="inlineStr">
        <is>
          <t>JÄMTLANDS LÄN</t>
        </is>
      </c>
      <c r="E1185" t="inlineStr">
        <is>
          <t>RAGUNDA</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57916-2025</t>
        </is>
      </c>
      <c r="B1186" s="1" t="n">
        <v>45981</v>
      </c>
      <c r="C1186" s="1" t="n">
        <v>46052</v>
      </c>
      <c r="D1186" t="inlineStr">
        <is>
          <t>JÄMTLANDS LÄN</t>
        </is>
      </c>
      <c r="E1186" t="inlineStr">
        <is>
          <t>RAGUNDA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57914-2025</t>
        </is>
      </c>
      <c r="B1187" s="1" t="n">
        <v>45981</v>
      </c>
      <c r="C1187" s="1" t="n">
        <v>46052</v>
      </c>
      <c r="D1187" t="inlineStr">
        <is>
          <t>JÄMTLANDS LÄN</t>
        </is>
      </c>
      <c r="E1187" t="inlineStr">
        <is>
          <t>RAGUNDA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57915-2025</t>
        </is>
      </c>
      <c r="B1188" s="1" t="n">
        <v>45981</v>
      </c>
      <c r="C1188" s="1" t="n">
        <v>46052</v>
      </c>
      <c r="D1188" t="inlineStr">
        <is>
          <t>JÄMTLANDS LÄN</t>
        </is>
      </c>
      <c r="E1188" t="inlineStr">
        <is>
          <t>RAGUNDA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57833-2025</t>
        </is>
      </c>
      <c r="B1189" s="1" t="n">
        <v>45981.61541666667</v>
      </c>
      <c r="C1189" s="1" t="n">
        <v>46052</v>
      </c>
      <c r="D1189" t="inlineStr">
        <is>
          <t>JÄMTLANDS LÄN</t>
        </is>
      </c>
      <c r="E1189" t="inlineStr">
        <is>
          <t>RAGUNDA</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64108-2025</t>
        </is>
      </c>
      <c r="B1190" s="1" t="n">
        <v>46013</v>
      </c>
      <c r="C1190" s="1" t="n">
        <v>46052</v>
      </c>
      <c r="D1190" t="inlineStr">
        <is>
          <t>JÄMTLANDS LÄN</t>
        </is>
      </c>
      <c r="E1190" t="inlineStr">
        <is>
          <t>RAGUNDA</t>
        </is>
      </c>
      <c r="F1190" t="inlineStr">
        <is>
          <t>Kyrkan</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57785-2025</t>
        </is>
      </c>
      <c r="B1191" s="1" t="n">
        <v>45981.57393518519</v>
      </c>
      <c r="C1191" s="1" t="n">
        <v>46052</v>
      </c>
      <c r="D1191" t="inlineStr">
        <is>
          <t>JÄMTLANDS LÄN</t>
        </is>
      </c>
      <c r="E1191" t="inlineStr">
        <is>
          <t>RAGUNDA</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58093-2025</t>
        </is>
      </c>
      <c r="B1192" s="1" t="n">
        <v>45982.5741087963</v>
      </c>
      <c r="C1192" s="1" t="n">
        <v>46052</v>
      </c>
      <c r="D1192" t="inlineStr">
        <is>
          <t>JÄMTLANDS LÄN</t>
        </is>
      </c>
      <c r="E1192" t="inlineStr">
        <is>
          <t>RAGUNDA</t>
        </is>
      </c>
      <c r="G1192" t="n">
        <v>22.2</v>
      </c>
      <c r="H1192" t="n">
        <v>0</v>
      </c>
      <c r="I1192" t="n">
        <v>0</v>
      </c>
      <c r="J1192" t="n">
        <v>0</v>
      </c>
      <c r="K1192" t="n">
        <v>0</v>
      </c>
      <c r="L1192" t="n">
        <v>0</v>
      </c>
      <c r="M1192" t="n">
        <v>0</v>
      </c>
      <c r="N1192" t="n">
        <v>0</v>
      </c>
      <c r="O1192" t="n">
        <v>0</v>
      </c>
      <c r="P1192" t="n">
        <v>0</v>
      </c>
      <c r="Q1192" t="n">
        <v>0</v>
      </c>
      <c r="R1192" s="2" t="inlineStr"/>
    </row>
    <row r="1193" ht="15" customHeight="1">
      <c r="A1193" t="inlineStr">
        <is>
          <t>A 222-2026</t>
        </is>
      </c>
      <c r="B1193" s="1" t="n">
        <v>46026.84054398148</v>
      </c>
      <c r="C1193" s="1" t="n">
        <v>46052</v>
      </c>
      <c r="D1193" t="inlineStr">
        <is>
          <t>JÄMTLANDS LÄN</t>
        </is>
      </c>
      <c r="E1193" t="inlineStr">
        <is>
          <t>RAGUNDA</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57970-2025</t>
        </is>
      </c>
      <c r="B1194" s="1" t="n">
        <v>45982.38582175926</v>
      </c>
      <c r="C1194" s="1" t="n">
        <v>46052</v>
      </c>
      <c r="D1194" t="inlineStr">
        <is>
          <t>JÄMTLANDS LÄN</t>
        </is>
      </c>
      <c r="E1194" t="inlineStr">
        <is>
          <t>RAGUNDA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58076-2025</t>
        </is>
      </c>
      <c r="B1195" s="1" t="n">
        <v>45982.55273148148</v>
      </c>
      <c r="C1195" s="1" t="n">
        <v>46052</v>
      </c>
      <c r="D1195" t="inlineStr">
        <is>
          <t>JÄMTLANDS LÄN</t>
        </is>
      </c>
      <c r="E1195" t="inlineStr">
        <is>
          <t>RAGUNDA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57963-2025</t>
        </is>
      </c>
      <c r="B1196" s="1" t="n">
        <v>45982.37800925926</v>
      </c>
      <c r="C1196" s="1" t="n">
        <v>46052</v>
      </c>
      <c r="D1196" t="inlineStr">
        <is>
          <t>JÄMTLANDS LÄN</t>
        </is>
      </c>
      <c r="E1196" t="inlineStr">
        <is>
          <t>RAGUNDA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122-2026</t>
        </is>
      </c>
      <c r="B1197" s="1" t="n">
        <v>46024.57335648148</v>
      </c>
      <c r="C1197" s="1" t="n">
        <v>46052</v>
      </c>
      <c r="D1197" t="inlineStr">
        <is>
          <t>JÄMTLANDS LÄN</t>
        </is>
      </c>
      <c r="E1197" t="inlineStr">
        <is>
          <t>RAGUNDA</t>
        </is>
      </c>
      <c r="F1197" t="inlineStr">
        <is>
          <t>SCA</t>
        </is>
      </c>
      <c r="G1197" t="n">
        <v>15.3</v>
      </c>
      <c r="H1197" t="n">
        <v>0</v>
      </c>
      <c r="I1197" t="n">
        <v>0</v>
      </c>
      <c r="J1197" t="n">
        <v>0</v>
      </c>
      <c r="K1197" t="n">
        <v>0</v>
      </c>
      <c r="L1197" t="n">
        <v>0</v>
      </c>
      <c r="M1197" t="n">
        <v>0</v>
      </c>
      <c r="N1197" t="n">
        <v>0</v>
      </c>
      <c r="O1197" t="n">
        <v>0</v>
      </c>
      <c r="P1197" t="n">
        <v>0</v>
      </c>
      <c r="Q1197" t="n">
        <v>0</v>
      </c>
      <c r="R1197" s="2" t="inlineStr"/>
    </row>
    <row r="1198" ht="15" customHeight="1">
      <c r="A1198" t="inlineStr">
        <is>
          <t>A 265-2026</t>
        </is>
      </c>
      <c r="B1198" s="1" t="n">
        <v>46027.44956018519</v>
      </c>
      <c r="C1198" s="1" t="n">
        <v>46052</v>
      </c>
      <c r="D1198" t="inlineStr">
        <is>
          <t>JÄMTLANDS LÄN</t>
        </is>
      </c>
      <c r="E1198" t="inlineStr">
        <is>
          <t>RAGUNDA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53109-2025</t>
        </is>
      </c>
      <c r="B1199" s="1" t="n">
        <v>45958</v>
      </c>
      <c r="C1199" s="1" t="n">
        <v>46052</v>
      </c>
      <c r="D1199" t="inlineStr">
        <is>
          <t>JÄMTLANDS LÄN</t>
        </is>
      </c>
      <c r="E1199" t="inlineStr">
        <is>
          <t>RAGUNDA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58918-2025</t>
        </is>
      </c>
      <c r="B1200" s="1" t="n">
        <v>45987.52952546296</v>
      </c>
      <c r="C1200" s="1" t="n">
        <v>46052</v>
      </c>
      <c r="D1200" t="inlineStr">
        <is>
          <t>JÄMTLANDS LÄN</t>
        </is>
      </c>
      <c r="E1200" t="inlineStr">
        <is>
          <t>RAGUNDA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647-2026</t>
        </is>
      </c>
      <c r="B1201" s="1" t="n">
        <v>46029.57357638889</v>
      </c>
      <c r="C1201" s="1" t="n">
        <v>46052</v>
      </c>
      <c r="D1201" t="inlineStr">
        <is>
          <t>JÄMTLANDS LÄN</t>
        </is>
      </c>
      <c r="E1201" t="inlineStr">
        <is>
          <t>RAGUNDA</t>
        </is>
      </c>
      <c r="F1201" t="inlineStr">
        <is>
          <t>SCA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58638-2025</t>
        </is>
      </c>
      <c r="B1202" s="1" t="n">
        <v>45986.49016203704</v>
      </c>
      <c r="C1202" s="1" t="n">
        <v>46052</v>
      </c>
      <c r="D1202" t="inlineStr">
        <is>
          <t>JÄMTLANDS LÄN</t>
        </is>
      </c>
      <c r="E1202" t="inlineStr">
        <is>
          <t>RAGUNDA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557-2026</t>
        </is>
      </c>
      <c r="B1203" s="1" t="n">
        <v>46021</v>
      </c>
      <c r="C1203" s="1" t="n">
        <v>46052</v>
      </c>
      <c r="D1203" t="inlineStr">
        <is>
          <t>JÄMTLANDS LÄN</t>
        </is>
      </c>
      <c r="E1203" t="inlineStr">
        <is>
          <t>RAGUNDA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58559-2025</t>
        </is>
      </c>
      <c r="B1204" s="1" t="n">
        <v>45986.34475694445</v>
      </c>
      <c r="C1204" s="1" t="n">
        <v>46052</v>
      </c>
      <c r="D1204" t="inlineStr">
        <is>
          <t>JÄMTLANDS LÄN</t>
        </is>
      </c>
      <c r="E1204" t="inlineStr">
        <is>
          <t>RAGUNDA</t>
        </is>
      </c>
      <c r="F1204" t="inlineStr">
        <is>
          <t>SCA</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59214-2025</t>
        </is>
      </c>
      <c r="B1205" s="1" t="n">
        <v>45988.61623842592</v>
      </c>
      <c r="C1205" s="1" t="n">
        <v>46052</v>
      </c>
      <c r="D1205" t="inlineStr">
        <is>
          <t>JÄMTLANDS LÄN</t>
        </is>
      </c>
      <c r="E1205" t="inlineStr">
        <is>
          <t>RAGUNDA</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59499-2025</t>
        </is>
      </c>
      <c r="B1206" s="1" t="n">
        <v>45989.61846064815</v>
      </c>
      <c r="C1206" s="1" t="n">
        <v>46052</v>
      </c>
      <c r="D1206" t="inlineStr">
        <is>
          <t>JÄMTLANDS LÄN</t>
        </is>
      </c>
      <c r="E1206" t="inlineStr">
        <is>
          <t>RAGUNDA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59491-2025</t>
        </is>
      </c>
      <c r="B1207" s="1" t="n">
        <v>45989.60376157407</v>
      </c>
      <c r="C1207" s="1" t="n">
        <v>46052</v>
      </c>
      <c r="D1207" t="inlineStr">
        <is>
          <t>JÄMTLANDS LÄN</t>
        </is>
      </c>
      <c r="E1207" t="inlineStr">
        <is>
          <t>RAGUNDA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1333-2026</t>
        </is>
      </c>
      <c r="B1208" s="1" t="n">
        <v>46031.57340277778</v>
      </c>
      <c r="C1208" s="1" t="n">
        <v>46052</v>
      </c>
      <c r="D1208" t="inlineStr">
        <is>
          <t>JÄMTLANDS LÄN</t>
        </is>
      </c>
      <c r="E1208" t="inlineStr">
        <is>
          <t>RAGUNDA</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59503-2025</t>
        </is>
      </c>
      <c r="B1209" s="1" t="n">
        <v>45989.62703703704</v>
      </c>
      <c r="C1209" s="1" t="n">
        <v>46052</v>
      </c>
      <c r="D1209" t="inlineStr">
        <is>
          <t>JÄMTLANDS LÄN</t>
        </is>
      </c>
      <c r="E1209" t="inlineStr">
        <is>
          <t>RAGUNDA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59692-2025</t>
        </is>
      </c>
      <c r="B1210" s="1" t="n">
        <v>45992.49001157407</v>
      </c>
      <c r="C1210" s="1" t="n">
        <v>46052</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59738-2025</t>
        </is>
      </c>
      <c r="B1211" s="1" t="n">
        <v>45992.57408564815</v>
      </c>
      <c r="C1211" s="1" t="n">
        <v>46052</v>
      </c>
      <c r="D1211" t="inlineStr">
        <is>
          <t>JÄMTLANDS LÄN</t>
        </is>
      </c>
      <c r="E1211" t="inlineStr">
        <is>
          <t>RAGUNDA</t>
        </is>
      </c>
      <c r="F1211" t="inlineStr">
        <is>
          <t>SCA</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59739-2025</t>
        </is>
      </c>
      <c r="B1212" s="1" t="n">
        <v>45992.57417824074</v>
      </c>
      <c r="C1212" s="1" t="n">
        <v>46052</v>
      </c>
      <c r="D1212" t="inlineStr">
        <is>
          <t>JÄMTLANDS LÄN</t>
        </is>
      </c>
      <c r="E1212" t="inlineStr">
        <is>
          <t>RAGUNDA</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59740-2025</t>
        </is>
      </c>
      <c r="B1213" s="1" t="n">
        <v>45992.5743287037</v>
      </c>
      <c r="C1213" s="1" t="n">
        <v>46052</v>
      </c>
      <c r="D1213" t="inlineStr">
        <is>
          <t>JÄMTLANDS LÄN</t>
        </is>
      </c>
      <c r="E1213" t="inlineStr">
        <is>
          <t>RAGUNDA</t>
        </is>
      </c>
      <c r="F1213" t="inlineStr">
        <is>
          <t>SCA</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59931-2025</t>
        </is>
      </c>
      <c r="B1214" s="1" t="n">
        <v>45993.40177083333</v>
      </c>
      <c r="C1214" s="1" t="n">
        <v>46052</v>
      </c>
      <c r="D1214" t="inlineStr">
        <is>
          <t>JÄMTLANDS LÄN</t>
        </is>
      </c>
      <c r="E1214" t="inlineStr">
        <is>
          <t>RAGUNDA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59693-2025</t>
        </is>
      </c>
      <c r="B1215" s="1" t="n">
        <v>45992.49009259259</v>
      </c>
      <c r="C1215" s="1" t="n">
        <v>46052</v>
      </c>
      <c r="D1215" t="inlineStr">
        <is>
          <t>JÄMTLANDS LÄN</t>
        </is>
      </c>
      <c r="E1215" t="inlineStr">
        <is>
          <t>RAGUNDA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60062-2025</t>
        </is>
      </c>
      <c r="B1216" s="1" t="n">
        <v>45993.65694444445</v>
      </c>
      <c r="C1216" s="1" t="n">
        <v>46052</v>
      </c>
      <c r="D1216" t="inlineStr">
        <is>
          <t>JÄMTLANDS LÄN</t>
        </is>
      </c>
      <c r="E1216" t="inlineStr">
        <is>
          <t>RAGUNDA</t>
        </is>
      </c>
      <c r="F1216" t="inlineStr">
        <is>
          <t>SCA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2123-2026</t>
        </is>
      </c>
      <c r="B1217" s="1" t="n">
        <v>46036.38618055556</v>
      </c>
      <c r="C1217" s="1" t="n">
        <v>46052</v>
      </c>
      <c r="D1217" t="inlineStr">
        <is>
          <t>JÄMTLANDS LÄN</t>
        </is>
      </c>
      <c r="E1217" t="inlineStr">
        <is>
          <t>RAGUNDA</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60128-2025</t>
        </is>
      </c>
      <c r="B1218" s="1" t="n">
        <v>45994.34456018519</v>
      </c>
      <c r="C1218" s="1" t="n">
        <v>46052</v>
      </c>
      <c r="D1218" t="inlineStr">
        <is>
          <t>JÄMTLANDS LÄN</t>
        </is>
      </c>
      <c r="E1218" t="inlineStr">
        <is>
          <t>RAGUNDA</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2173-2026</t>
        </is>
      </c>
      <c r="B1219" s="1" t="n">
        <v>46036.44984953704</v>
      </c>
      <c r="C1219" s="1" t="n">
        <v>46052</v>
      </c>
      <c r="D1219" t="inlineStr">
        <is>
          <t>JÄMTLANDS LÄN</t>
        </is>
      </c>
      <c r="E1219" t="inlineStr">
        <is>
          <t>RAGUNDA</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2271-2026</t>
        </is>
      </c>
      <c r="B1220" s="1" t="n">
        <v>46036.57347222222</v>
      </c>
      <c r="C1220" s="1" t="n">
        <v>46052</v>
      </c>
      <c r="D1220" t="inlineStr">
        <is>
          <t>JÄMTLANDS LÄN</t>
        </is>
      </c>
      <c r="E1220" t="inlineStr">
        <is>
          <t>RAGUNDA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60389-2025</t>
        </is>
      </c>
      <c r="B1221" s="1" t="n">
        <v>45995.38628472222</v>
      </c>
      <c r="C1221" s="1" t="n">
        <v>46052</v>
      </c>
      <c r="D1221" t="inlineStr">
        <is>
          <t>JÄMTLANDS LÄN</t>
        </is>
      </c>
      <c r="E1221" t="inlineStr">
        <is>
          <t>RAGUNDA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2282-2026</t>
        </is>
      </c>
      <c r="B1222" s="1" t="n">
        <v>46036.57798611111</v>
      </c>
      <c r="C1222" s="1" t="n">
        <v>46052</v>
      </c>
      <c r="D1222" t="inlineStr">
        <is>
          <t>JÄMTLANDS LÄN</t>
        </is>
      </c>
      <c r="E1222" t="inlineStr">
        <is>
          <t>RAGUNDA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60387-2025</t>
        </is>
      </c>
      <c r="B1223" s="1" t="n">
        <v>45995.38611111111</v>
      </c>
      <c r="C1223" s="1" t="n">
        <v>46052</v>
      </c>
      <c r="D1223" t="inlineStr">
        <is>
          <t>JÄMTLANDS LÄN</t>
        </is>
      </c>
      <c r="E1223" t="inlineStr">
        <is>
          <t>RAGUNDA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2316-2026</t>
        </is>
      </c>
      <c r="B1224" s="1" t="n">
        <v>46036.59826388889</v>
      </c>
      <c r="C1224" s="1" t="n">
        <v>46052</v>
      </c>
      <c r="D1224" t="inlineStr">
        <is>
          <t>JÄMTLANDS LÄN</t>
        </is>
      </c>
      <c r="E1224" t="inlineStr">
        <is>
          <t>RAGUNDA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2156-2026</t>
        </is>
      </c>
      <c r="B1225" s="1" t="n">
        <v>46036.42771990741</v>
      </c>
      <c r="C1225" s="1" t="n">
        <v>46052</v>
      </c>
      <c r="D1225" t="inlineStr">
        <is>
          <t>JÄMTLANDS LÄN</t>
        </is>
      </c>
      <c r="E1225" t="inlineStr">
        <is>
          <t>RAGUNDA</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60307-2025</t>
        </is>
      </c>
      <c r="B1226" s="1" t="n">
        <v>45994.6842824074</v>
      </c>
      <c r="C1226" s="1" t="n">
        <v>46052</v>
      </c>
      <c r="D1226" t="inlineStr">
        <is>
          <t>JÄMTLANDS LÄN</t>
        </is>
      </c>
      <c r="E1226" t="inlineStr">
        <is>
          <t>RAGUNDA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2233-2026</t>
        </is>
      </c>
      <c r="B1227" s="1" t="n">
        <v>46036.53207175926</v>
      </c>
      <c r="C1227" s="1" t="n">
        <v>46052</v>
      </c>
      <c r="D1227" t="inlineStr">
        <is>
          <t>JÄMTLANDS LÄN</t>
        </is>
      </c>
      <c r="E1227" t="inlineStr">
        <is>
          <t>RAGUNDA</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60130-2025</t>
        </is>
      </c>
      <c r="B1228" s="1" t="n">
        <v>45994.34467592592</v>
      </c>
      <c r="C1228" s="1" t="n">
        <v>46052</v>
      </c>
      <c r="D1228" t="inlineStr">
        <is>
          <t>JÄMTLANDS LÄN</t>
        </is>
      </c>
      <c r="E1228" t="inlineStr">
        <is>
          <t>RAGUNDA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60775-2025</t>
        </is>
      </c>
      <c r="B1229" s="1" t="n">
        <v>45999.3905787037</v>
      </c>
      <c r="C1229" s="1" t="n">
        <v>46052</v>
      </c>
      <c r="D1229" t="inlineStr">
        <is>
          <t>JÄMTLANDS LÄN</t>
        </is>
      </c>
      <c r="E1229" t="inlineStr">
        <is>
          <t>RAGUNDA</t>
        </is>
      </c>
      <c r="G1229" t="n">
        <v>15.7</v>
      </c>
      <c r="H1229" t="n">
        <v>0</v>
      </c>
      <c r="I1229" t="n">
        <v>0</v>
      </c>
      <c r="J1229" t="n">
        <v>0</v>
      </c>
      <c r="K1229" t="n">
        <v>0</v>
      </c>
      <c r="L1229" t="n">
        <v>0</v>
      </c>
      <c r="M1229" t="n">
        <v>0</v>
      </c>
      <c r="N1229" t="n">
        <v>0</v>
      </c>
      <c r="O1229" t="n">
        <v>0</v>
      </c>
      <c r="P1229" t="n">
        <v>0</v>
      </c>
      <c r="Q1229" t="n">
        <v>0</v>
      </c>
      <c r="R1229" s="2" t="inlineStr"/>
    </row>
    <row r="1230" ht="15" customHeight="1">
      <c r="A1230" t="inlineStr">
        <is>
          <t>A 60760-2025</t>
        </is>
      </c>
      <c r="B1230" s="1" t="n">
        <v>45999.38597222222</v>
      </c>
      <c r="C1230" s="1" t="n">
        <v>46052</v>
      </c>
      <c r="D1230" t="inlineStr">
        <is>
          <t>JÄMTLANDS LÄN</t>
        </is>
      </c>
      <c r="E1230" t="inlineStr">
        <is>
          <t>RAGUNDA</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3065-2026</t>
        </is>
      </c>
      <c r="B1231" s="1" t="n">
        <v>46040.47866898148</v>
      </c>
      <c r="C1231" s="1" t="n">
        <v>46052</v>
      </c>
      <c r="D1231" t="inlineStr">
        <is>
          <t>JÄMTLANDS LÄN</t>
        </is>
      </c>
      <c r="E1231" t="inlineStr">
        <is>
          <t>RAGUNDA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60630-2025</t>
        </is>
      </c>
      <c r="B1232" s="1" t="n">
        <v>45996.42120370371</v>
      </c>
      <c r="C1232" s="1" t="n">
        <v>46052</v>
      </c>
      <c r="D1232" t="inlineStr">
        <is>
          <t>JÄMTLANDS LÄN</t>
        </is>
      </c>
      <c r="E1232" t="inlineStr">
        <is>
          <t>RAGUNDA</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61233-2025</t>
        </is>
      </c>
      <c r="B1233" s="1" t="n">
        <v>46000.6359837963</v>
      </c>
      <c r="C1233" s="1" t="n">
        <v>46052</v>
      </c>
      <c r="D1233" t="inlineStr">
        <is>
          <t>JÄMTLANDS LÄN</t>
        </is>
      </c>
      <c r="E1233" t="inlineStr">
        <is>
          <t>RAGUNDA</t>
        </is>
      </c>
      <c r="F1233" t="inlineStr">
        <is>
          <t>SCA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3561-2026</t>
        </is>
      </c>
      <c r="B1234" s="1" t="n">
        <v>46042.67142361111</v>
      </c>
      <c r="C1234" s="1" t="n">
        <v>46052</v>
      </c>
      <c r="D1234" t="inlineStr">
        <is>
          <t>JÄMTLANDS LÄN</t>
        </is>
      </c>
      <c r="E1234" t="inlineStr">
        <is>
          <t>RAGUNDA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61509-2025</t>
        </is>
      </c>
      <c r="B1235" s="1" t="n">
        <v>46001.68189814815</v>
      </c>
      <c r="C1235" s="1" t="n">
        <v>46052</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61266-2025</t>
        </is>
      </c>
      <c r="B1236" s="1" t="n">
        <v>46000.67784722222</v>
      </c>
      <c r="C1236" s="1" t="n">
        <v>46052</v>
      </c>
      <c r="D1236" t="inlineStr">
        <is>
          <t>JÄMTLANDS LÄN</t>
        </is>
      </c>
      <c r="E1236" t="inlineStr">
        <is>
          <t>RAGUNDA</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3813-2026</t>
        </is>
      </c>
      <c r="B1237" s="1" t="n">
        <v>46043.58447916667</v>
      </c>
      <c r="C1237" s="1" t="n">
        <v>46052</v>
      </c>
      <c r="D1237" t="inlineStr">
        <is>
          <t>JÄMTLANDS LÄN</t>
        </is>
      </c>
      <c r="E1237" t="inlineStr">
        <is>
          <t>RAGUNDA</t>
        </is>
      </c>
      <c r="F1237" t="inlineStr">
        <is>
          <t>SCA</t>
        </is>
      </c>
      <c r="G1237" t="n">
        <v>23.2</v>
      </c>
      <c r="H1237" t="n">
        <v>0</v>
      </c>
      <c r="I1237" t="n">
        <v>0</v>
      </c>
      <c r="J1237" t="n">
        <v>0</v>
      </c>
      <c r="K1237" t="n">
        <v>0</v>
      </c>
      <c r="L1237" t="n">
        <v>0</v>
      </c>
      <c r="M1237" t="n">
        <v>0</v>
      </c>
      <c r="N1237" t="n">
        <v>0</v>
      </c>
      <c r="O1237" t="n">
        <v>0</v>
      </c>
      <c r="P1237" t="n">
        <v>0</v>
      </c>
      <c r="Q1237" t="n">
        <v>0</v>
      </c>
      <c r="R1237" s="2" t="inlineStr"/>
    </row>
    <row r="1238" ht="15" customHeight="1">
      <c r="A1238" t="inlineStr">
        <is>
          <t>A 61755-2025</t>
        </is>
      </c>
      <c r="B1238" s="1" t="n">
        <v>46002</v>
      </c>
      <c r="C1238" s="1" t="n">
        <v>46052</v>
      </c>
      <c r="D1238" t="inlineStr">
        <is>
          <t>JÄMTLANDS LÄN</t>
        </is>
      </c>
      <c r="E1238" t="inlineStr">
        <is>
          <t>RAGUNDA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4047-2026</t>
        </is>
      </c>
      <c r="B1239" s="1" t="n">
        <v>46044.46944444445</v>
      </c>
      <c r="C1239" s="1" t="n">
        <v>46052</v>
      </c>
      <c r="D1239" t="inlineStr">
        <is>
          <t>JÄMTLANDS LÄN</t>
        </is>
      </c>
      <c r="E1239" t="inlineStr">
        <is>
          <t>RAGUNDA</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4073-2026</t>
        </is>
      </c>
      <c r="B1240" s="1" t="n">
        <v>46044.53168981482</v>
      </c>
      <c r="C1240" s="1" t="n">
        <v>46052</v>
      </c>
      <c r="D1240" t="inlineStr">
        <is>
          <t>JÄMTLANDS LÄN</t>
        </is>
      </c>
      <c r="E1240" t="inlineStr">
        <is>
          <t>RAGUNDA</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3841-2026</t>
        </is>
      </c>
      <c r="B1241" s="1" t="n">
        <v>46043</v>
      </c>
      <c r="C1241" s="1" t="n">
        <v>46052</v>
      </c>
      <c r="D1241" t="inlineStr">
        <is>
          <t>JÄMTLANDS LÄN</t>
        </is>
      </c>
      <c r="E1241" t="inlineStr">
        <is>
          <t>RAGUNDA</t>
        </is>
      </c>
      <c r="F1241" t="inlineStr">
        <is>
          <t>Kommuner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4142-2026</t>
        </is>
      </c>
      <c r="B1242" s="1" t="n">
        <v>46044.63607638889</v>
      </c>
      <c r="C1242" s="1" t="n">
        <v>46052</v>
      </c>
      <c r="D1242" t="inlineStr">
        <is>
          <t>JÄMTLANDS LÄN</t>
        </is>
      </c>
      <c r="E1242" t="inlineStr">
        <is>
          <t>RAGUNDA</t>
        </is>
      </c>
      <c r="F1242" t="inlineStr">
        <is>
          <t>SCA</t>
        </is>
      </c>
      <c r="G1242" t="n">
        <v>19.3</v>
      </c>
      <c r="H1242" t="n">
        <v>0</v>
      </c>
      <c r="I1242" t="n">
        <v>0</v>
      </c>
      <c r="J1242" t="n">
        <v>0</v>
      </c>
      <c r="K1242" t="n">
        <v>0</v>
      </c>
      <c r="L1242" t="n">
        <v>0</v>
      </c>
      <c r="M1242" t="n">
        <v>0</v>
      </c>
      <c r="N1242" t="n">
        <v>0</v>
      </c>
      <c r="O1242" t="n">
        <v>0</v>
      </c>
      <c r="P1242" t="n">
        <v>0</v>
      </c>
      <c r="Q1242" t="n">
        <v>0</v>
      </c>
      <c r="R1242" s="2" t="inlineStr"/>
    </row>
    <row r="1243" ht="15" customHeight="1">
      <c r="A1243" t="inlineStr">
        <is>
          <t>A 4099-2026</t>
        </is>
      </c>
      <c r="B1243" s="1" t="n">
        <v>46044.57357638889</v>
      </c>
      <c r="C1243" s="1" t="n">
        <v>46052</v>
      </c>
      <c r="D1243" t="inlineStr">
        <is>
          <t>JÄMTLANDS LÄN</t>
        </is>
      </c>
      <c r="E1243" t="inlineStr">
        <is>
          <t>RAGUNDA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61697-2025</t>
        </is>
      </c>
      <c r="B1244" s="1" t="n">
        <v>46002</v>
      </c>
      <c r="C1244" s="1" t="n">
        <v>46052</v>
      </c>
      <c r="D1244" t="inlineStr">
        <is>
          <t>JÄMTLANDS LÄN</t>
        </is>
      </c>
      <c r="E1244" t="inlineStr">
        <is>
          <t>RAGUNDA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4237-2026</t>
        </is>
      </c>
      <c r="B1245" s="1" t="n">
        <v>46044.92743055556</v>
      </c>
      <c r="C1245" s="1" t="n">
        <v>46052</v>
      </c>
      <c r="D1245" t="inlineStr">
        <is>
          <t>JÄMTLANDS LÄN</t>
        </is>
      </c>
      <c r="E1245" t="inlineStr">
        <is>
          <t>RAGUNDA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4046-2026</t>
        </is>
      </c>
      <c r="B1246" s="1" t="n">
        <v>46044.46921296296</v>
      </c>
      <c r="C1246" s="1" t="n">
        <v>46052</v>
      </c>
      <c r="D1246" t="inlineStr">
        <is>
          <t>JÄMTLANDS LÄN</t>
        </is>
      </c>
      <c r="E1246" t="inlineStr">
        <is>
          <t>RAGUNDA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5073-2026</t>
        </is>
      </c>
      <c r="B1247" s="1" t="n">
        <v>46049.51126157407</v>
      </c>
      <c r="C1247" s="1" t="n">
        <v>46052</v>
      </c>
      <c r="D1247" t="inlineStr">
        <is>
          <t>JÄMTLANDS LÄN</t>
        </is>
      </c>
      <c r="E1247" t="inlineStr">
        <is>
          <t>RAGUNDA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5009-2026</t>
        </is>
      </c>
      <c r="B1248" s="1" t="n">
        <v>46049.42839120371</v>
      </c>
      <c r="C1248" s="1" t="n">
        <v>46052</v>
      </c>
      <c r="D1248" t="inlineStr">
        <is>
          <t>JÄMTLANDS LÄN</t>
        </is>
      </c>
      <c r="E1248" t="inlineStr">
        <is>
          <t>RAGUNDA</t>
        </is>
      </c>
      <c r="F1248" t="inlineStr">
        <is>
          <t>SCA</t>
        </is>
      </c>
      <c r="G1248" t="n">
        <v>37.4</v>
      </c>
      <c r="H1248" t="n">
        <v>0</v>
      </c>
      <c r="I1248" t="n">
        <v>0</v>
      </c>
      <c r="J1248" t="n">
        <v>0</v>
      </c>
      <c r="K1248" t="n">
        <v>0</v>
      </c>
      <c r="L1248" t="n">
        <v>0</v>
      </c>
      <c r="M1248" t="n">
        <v>0</v>
      </c>
      <c r="N1248" t="n">
        <v>0</v>
      </c>
      <c r="O1248" t="n">
        <v>0</v>
      </c>
      <c r="P1248" t="n">
        <v>0</v>
      </c>
      <c r="Q1248" t="n">
        <v>0</v>
      </c>
      <c r="R1248" s="2" t="inlineStr"/>
    </row>
    <row r="1249" ht="15" customHeight="1">
      <c r="A1249" t="inlineStr">
        <is>
          <t>A 62490-2025</t>
        </is>
      </c>
      <c r="B1249" s="1" t="n">
        <v>46007.5697337963</v>
      </c>
      <c r="C1249" s="1" t="n">
        <v>46052</v>
      </c>
      <c r="D1249" t="inlineStr">
        <is>
          <t>JÄMTLANDS LÄN</t>
        </is>
      </c>
      <c r="E1249" t="inlineStr">
        <is>
          <t>RAGUNDA</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4616-2026</t>
        </is>
      </c>
      <c r="B1250" s="1" t="n">
        <v>46048.37070601852</v>
      </c>
      <c r="C1250" s="1" t="n">
        <v>46052</v>
      </c>
      <c r="D1250" t="inlineStr">
        <is>
          <t>JÄMTLANDS LÄN</t>
        </is>
      </c>
      <c r="E1250" t="inlineStr">
        <is>
          <t>RAGUNDA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4628-2026</t>
        </is>
      </c>
      <c r="B1251" s="1" t="n">
        <v>46048.3862037037</v>
      </c>
      <c r="C1251" s="1" t="n">
        <v>46052</v>
      </c>
      <c r="D1251" t="inlineStr">
        <is>
          <t>JÄMTLANDS LÄN</t>
        </is>
      </c>
      <c r="E1251" t="inlineStr">
        <is>
          <t>RAGUNDA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62436-2025</t>
        </is>
      </c>
      <c r="B1252" s="1" t="n">
        <v>46007</v>
      </c>
      <c r="C1252" s="1" t="n">
        <v>46052</v>
      </c>
      <c r="D1252" t="inlineStr">
        <is>
          <t>JÄMTLANDS LÄN</t>
        </is>
      </c>
      <c r="E1252" t="inlineStr">
        <is>
          <t>RAGUNDA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4839-2026</t>
        </is>
      </c>
      <c r="B1253" s="1" t="n">
        <v>46048.61520833334</v>
      </c>
      <c r="C1253" s="1" t="n">
        <v>46052</v>
      </c>
      <c r="D1253" t="inlineStr">
        <is>
          <t>JÄMTLANDS LÄN</t>
        </is>
      </c>
      <c r="E1253" t="inlineStr">
        <is>
          <t>RAGUNDA</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4841-2026</t>
        </is>
      </c>
      <c r="B1254" s="1" t="n">
        <v>46048.61550925926</v>
      </c>
      <c r="C1254" s="1" t="n">
        <v>46052</v>
      </c>
      <c r="D1254" t="inlineStr">
        <is>
          <t>JÄMTLANDS LÄN</t>
        </is>
      </c>
      <c r="E1254" t="inlineStr">
        <is>
          <t>RAGUNDA</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4629-2026</t>
        </is>
      </c>
      <c r="B1255" s="1" t="n">
        <v>46048.38622685185</v>
      </c>
      <c r="C1255" s="1" t="n">
        <v>46052</v>
      </c>
      <c r="D1255" t="inlineStr">
        <is>
          <t>JÄMTLANDS LÄN</t>
        </is>
      </c>
      <c r="E1255" t="inlineStr">
        <is>
          <t>RAGUNDA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62432-2025</t>
        </is>
      </c>
      <c r="B1256" s="1" t="n">
        <v>46007</v>
      </c>
      <c r="C1256" s="1" t="n">
        <v>46052</v>
      </c>
      <c r="D1256" t="inlineStr">
        <is>
          <t>JÄMTLANDS LÄN</t>
        </is>
      </c>
      <c r="E1256" t="inlineStr">
        <is>
          <t>RAGUNDA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62467-2025</t>
        </is>
      </c>
      <c r="B1257" s="1" t="n">
        <v>46007.5108912037</v>
      </c>
      <c r="C1257" s="1" t="n">
        <v>46052</v>
      </c>
      <c r="D1257" t="inlineStr">
        <is>
          <t>JÄMTLANDS LÄN</t>
        </is>
      </c>
      <c r="E1257" t="inlineStr">
        <is>
          <t>RAGUNDA</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4627-2026</t>
        </is>
      </c>
      <c r="B1258" s="1" t="n">
        <v>46048.3860300926</v>
      </c>
      <c r="C1258" s="1" t="n">
        <v>46052</v>
      </c>
      <c r="D1258" t="inlineStr">
        <is>
          <t>JÄMTLANDS LÄN</t>
        </is>
      </c>
      <c r="E1258" t="inlineStr">
        <is>
          <t>RAGUNDA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63057-2025</t>
        </is>
      </c>
      <c r="B1259" s="1" t="n">
        <v>46009.63837962963</v>
      </c>
      <c r="C1259" s="1" t="n">
        <v>46052</v>
      </c>
      <c r="D1259" t="inlineStr">
        <is>
          <t>JÄMTLANDS LÄN</t>
        </is>
      </c>
      <c r="E1259" t="inlineStr">
        <is>
          <t>RAGUNDA</t>
        </is>
      </c>
      <c r="G1259" t="n">
        <v>13.7</v>
      </c>
      <c r="H1259" t="n">
        <v>0</v>
      </c>
      <c r="I1259" t="n">
        <v>0</v>
      </c>
      <c r="J1259" t="n">
        <v>0</v>
      </c>
      <c r="K1259" t="n">
        <v>0</v>
      </c>
      <c r="L1259" t="n">
        <v>0</v>
      </c>
      <c r="M1259" t="n">
        <v>0</v>
      </c>
      <c r="N1259" t="n">
        <v>0</v>
      </c>
      <c r="O1259" t="n">
        <v>0</v>
      </c>
      <c r="P1259" t="n">
        <v>0</v>
      </c>
      <c r="Q1259" t="n">
        <v>0</v>
      </c>
      <c r="R1259" s="2" t="inlineStr"/>
    </row>
    <row r="1260" ht="15" customHeight="1">
      <c r="A1260" t="inlineStr">
        <is>
          <t>A 5359-2026</t>
        </is>
      </c>
      <c r="B1260" s="1" t="n">
        <v>46050.4484837963</v>
      </c>
      <c r="C1260" s="1" t="n">
        <v>46052</v>
      </c>
      <c r="D1260" t="inlineStr">
        <is>
          <t>JÄMTLANDS LÄN</t>
        </is>
      </c>
      <c r="E1260" t="inlineStr">
        <is>
          <t>RAGUNDA</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62691-2025</t>
        </is>
      </c>
      <c r="B1261" s="1" t="n">
        <v>46008.4759837963</v>
      </c>
      <c r="C1261" s="1" t="n">
        <v>46052</v>
      </c>
      <c r="D1261" t="inlineStr">
        <is>
          <t>JÄMTLANDS LÄN</t>
        </is>
      </c>
      <c r="E1261" t="inlineStr">
        <is>
          <t>RAGUNDA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62927-2025</t>
        </is>
      </c>
      <c r="B1262" s="1" t="n">
        <v>46009.38609953703</v>
      </c>
      <c r="C1262" s="1" t="n">
        <v>46052</v>
      </c>
      <c r="D1262" t="inlineStr">
        <is>
          <t>JÄMTLANDS LÄN</t>
        </is>
      </c>
      <c r="E1262" t="inlineStr">
        <is>
          <t>RAGUNDA</t>
        </is>
      </c>
      <c r="G1262" t="n">
        <v>6.3</v>
      </c>
      <c r="H1262" t="n">
        <v>0</v>
      </c>
      <c r="I1262" t="n">
        <v>0</v>
      </c>
      <c r="J1262" t="n">
        <v>0</v>
      </c>
      <c r="K1262" t="n">
        <v>0</v>
      </c>
      <c r="L1262" t="n">
        <v>0</v>
      </c>
      <c r="M1262" t="n">
        <v>0</v>
      </c>
      <c r="N1262" t="n">
        <v>0</v>
      </c>
      <c r="O1262" t="n">
        <v>0</v>
      </c>
      <c r="P1262" t="n">
        <v>0</v>
      </c>
      <c r="Q1262" t="n">
        <v>0</v>
      </c>
      <c r="R1262" s="2" t="inlineStr"/>
      <c r="U1262">
        <f>HYPERLINK("https://klasma.github.io/Logging_2303/knärot/A 62927-2025 karta knärot.png", "A 62927-2025")</f>
        <v/>
      </c>
      <c r="V1262">
        <f>HYPERLINK("https://klasma.github.io/Logging_2303/klagomål/A 62927-2025 FSC-klagomål.docx", "A 62927-2025")</f>
        <v/>
      </c>
      <c r="W1262">
        <f>HYPERLINK("https://klasma.github.io/Logging_2303/klagomålsmail/A 62927-2025 FSC-klagomål mail.docx", "A 62927-2025")</f>
        <v/>
      </c>
      <c r="X1262">
        <f>HYPERLINK("https://klasma.github.io/Logging_2303/tillsyn/A 62927-2025 tillsynsbegäran.docx", "A 62927-2025")</f>
        <v/>
      </c>
      <c r="Y1262">
        <f>HYPERLINK("https://klasma.github.io/Logging_2303/tillsynsmail/A 62927-2025 tillsynsbegäran mail.docx", "A 62927-2025")</f>
        <v/>
      </c>
    </row>
    <row r="1263" ht="15" customHeight="1">
      <c r="A1263" t="inlineStr">
        <is>
          <t>A 62638-2025</t>
        </is>
      </c>
      <c r="B1263" s="1" t="n">
        <v>46008.36564814814</v>
      </c>
      <c r="C1263" s="1" t="n">
        <v>46052</v>
      </c>
      <c r="D1263" t="inlineStr">
        <is>
          <t>JÄMTLANDS LÄN</t>
        </is>
      </c>
      <c r="E1263" t="inlineStr">
        <is>
          <t>RAGUNDA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63060-2025</t>
        </is>
      </c>
      <c r="B1264" s="1" t="n">
        <v>46009.64414351852</v>
      </c>
      <c r="C1264" s="1" t="n">
        <v>46052</v>
      </c>
      <c r="D1264" t="inlineStr">
        <is>
          <t>JÄMTLANDS LÄN</t>
        </is>
      </c>
      <c r="E1264" t="inlineStr">
        <is>
          <t>RAGUNDA</t>
        </is>
      </c>
      <c r="G1264" t="n">
        <v>6.5</v>
      </c>
      <c r="H1264" t="n">
        <v>0</v>
      </c>
      <c r="I1264" t="n">
        <v>0</v>
      </c>
      <c r="J1264" t="n">
        <v>0</v>
      </c>
      <c r="K1264" t="n">
        <v>0</v>
      </c>
      <c r="L1264" t="n">
        <v>0</v>
      </c>
      <c r="M1264" t="n">
        <v>0</v>
      </c>
      <c r="N1264" t="n">
        <v>0</v>
      </c>
      <c r="O1264" t="n">
        <v>0</v>
      </c>
      <c r="P1264" t="n">
        <v>0</v>
      </c>
      <c r="Q1264" t="n">
        <v>0</v>
      </c>
      <c r="R1264" s="2" t="inlineStr"/>
    </row>
    <row r="1265">
      <c r="A1265" t="inlineStr">
        <is>
          <t>A 62819-2025</t>
        </is>
      </c>
      <c r="B1265" s="1" t="n">
        <v>46008</v>
      </c>
      <c r="C1265" s="1" t="n">
        <v>46052</v>
      </c>
      <c r="D1265" t="inlineStr">
        <is>
          <t>JÄMTLANDS LÄN</t>
        </is>
      </c>
      <c r="E1265" t="inlineStr">
        <is>
          <t>RAGUNDA</t>
        </is>
      </c>
      <c r="G1265" t="n">
        <v>3.5</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2026-01-30T10:58:39Z</dcterms:created>
  <dcterms:modified xmlns:dcterms="http://purl.org/dc/terms/" xmlns:xsi="http://www.w3.org/2001/XMLSchema-instance" xsi:type="dcterms:W3CDTF">2026-01-30T10:58:40Z</dcterms:modified>
</cp:coreProperties>
</file>