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46002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46002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46002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46002</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46002</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46002</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46002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46002</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46002</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46002</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46002</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46002</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46002</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46002</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46002</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38683-2022</t>
        </is>
      </c>
      <c r="B17" s="1" t="n">
        <v>44813</v>
      </c>
      <c r="C17" s="1" t="n">
        <v>46002</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10625-2024</t>
        </is>
      </c>
      <c r="B18" s="1" t="n">
        <v>45367.04916666666</v>
      </c>
      <c r="C18" s="1" t="n">
        <v>46002</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43533-2025</t>
        </is>
      </c>
      <c r="B19" s="1" t="n">
        <v>45911</v>
      </c>
      <c r="C19" s="1" t="n">
        <v>46002</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46002</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59762-2024</t>
        </is>
      </c>
      <c r="B21" s="1" t="n">
        <v>45639.55269675926</v>
      </c>
      <c r="C21" s="1" t="n">
        <v>46002</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46002</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46002</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46002</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46002</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46002</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46002</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46002</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46002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46002</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46002</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46002</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46002</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46002</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46002</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33822-2023</t>
        </is>
      </c>
      <c r="B36" s="1" t="n">
        <v>45121</v>
      </c>
      <c r="C36" s="1" t="n">
        <v>46002</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46002</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46002</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46002</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46002</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46002</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46002</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58876-2025</t>
        </is>
      </c>
      <c r="B43" s="1" t="n">
        <v>45987.46929398148</v>
      </c>
      <c r="C43" s="1" t="n">
        <v>46002</v>
      </c>
      <c r="D43" t="inlineStr">
        <is>
          <t>JÄMTLANDS LÄN</t>
        </is>
      </c>
      <c r="E43" t="inlineStr">
        <is>
          <t>RAGUNDA</t>
        </is>
      </c>
      <c r="F43" t="inlineStr">
        <is>
          <t>SCA</t>
        </is>
      </c>
      <c r="G43" t="n">
        <v>6.3</v>
      </c>
      <c r="H43" t="n">
        <v>2</v>
      </c>
      <c r="I43" t="n">
        <v>0</v>
      </c>
      <c r="J43" t="n">
        <v>7</v>
      </c>
      <c r="K43" t="n">
        <v>1</v>
      </c>
      <c r="L43" t="n">
        <v>0</v>
      </c>
      <c r="M43" t="n">
        <v>0</v>
      </c>
      <c r="N43" t="n">
        <v>0</v>
      </c>
      <c r="O43" t="n">
        <v>8</v>
      </c>
      <c r="P43" t="n">
        <v>1</v>
      </c>
      <c r="Q43" t="n">
        <v>9</v>
      </c>
      <c r="R43" s="2" t="inlineStr">
        <is>
          <t>Knärot
Gammelgransskål
Garnlav
Granticka
Lunglav
Rosenticka
Ullticka
Vitgrynig nållav
Fläcknycklar</t>
        </is>
      </c>
      <c r="S43">
        <f>HYPERLINK("https://klasma.github.io/Logging_2303/artfynd/A 58876-2025 artfynd.xlsx", "A 58876-2025")</f>
        <v/>
      </c>
      <c r="T43">
        <f>HYPERLINK("https://klasma.github.io/Logging_2303/kartor/A 58876-2025 karta.png", "A 58876-2025")</f>
        <v/>
      </c>
      <c r="U43">
        <f>HYPERLINK("https://klasma.github.io/Logging_2303/knärot/A 58876-2025 karta knärot.png", "A 58876-2025")</f>
        <v/>
      </c>
      <c r="V43">
        <f>HYPERLINK("https://klasma.github.io/Logging_2303/klagomål/A 58876-2025 FSC-klagomål.docx", "A 58876-2025")</f>
        <v/>
      </c>
      <c r="W43">
        <f>HYPERLINK("https://klasma.github.io/Logging_2303/klagomålsmail/A 58876-2025 FSC-klagomål mail.docx", "A 58876-2025")</f>
        <v/>
      </c>
      <c r="X43">
        <f>HYPERLINK("https://klasma.github.io/Logging_2303/tillsyn/A 58876-2025 tillsynsbegäran.docx", "A 58876-2025")</f>
        <v/>
      </c>
      <c r="Y43">
        <f>HYPERLINK("https://klasma.github.io/Logging_2303/tillsynsmail/A 58876-2025 tillsynsbegäran mail.docx", "A 58876-2025")</f>
        <v/>
      </c>
    </row>
    <row r="44" ht="15" customHeight="1">
      <c r="A44" t="inlineStr">
        <is>
          <t>A 45008-2023</t>
        </is>
      </c>
      <c r="B44" s="1" t="n">
        <v>45190.96092592592</v>
      </c>
      <c r="C44" s="1" t="n">
        <v>46002</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46002</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46002</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46002</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3634-2024</t>
        </is>
      </c>
      <c r="B48" s="1" t="n">
        <v>45320</v>
      </c>
      <c r="C48" s="1" t="n">
        <v>46002</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46002</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30335-2025</t>
        </is>
      </c>
      <c r="B50" s="1" t="n">
        <v>45827.5110300926</v>
      </c>
      <c r="C50" s="1" t="n">
        <v>46002</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46002</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59107-2025</t>
        </is>
      </c>
      <c r="B52" s="1" t="n">
        <v>45988.46924768519</v>
      </c>
      <c r="C52" s="1" t="n">
        <v>46002</v>
      </c>
      <c r="D52" t="inlineStr">
        <is>
          <t>JÄMTLANDS LÄN</t>
        </is>
      </c>
      <c r="E52" t="inlineStr">
        <is>
          <t>RAGUNDA</t>
        </is>
      </c>
      <c r="F52" t="inlineStr">
        <is>
          <t>SCA</t>
        </is>
      </c>
      <c r="G52" t="n">
        <v>22.6</v>
      </c>
      <c r="H52" t="n">
        <v>1</v>
      </c>
      <c r="I52" t="n">
        <v>4</v>
      </c>
      <c r="J52" t="n">
        <v>4</v>
      </c>
      <c r="K52" t="n">
        <v>0</v>
      </c>
      <c r="L52" t="n">
        <v>0</v>
      </c>
      <c r="M52" t="n">
        <v>0</v>
      </c>
      <c r="N52" t="n">
        <v>0</v>
      </c>
      <c r="O52" t="n">
        <v>4</v>
      </c>
      <c r="P52" t="n">
        <v>0</v>
      </c>
      <c r="Q52" t="n">
        <v>8</v>
      </c>
      <c r="R52" s="2" t="inlineStr">
        <is>
          <t>Garnlav
Lunglav
Skrovellav
Tretåig hackspett
Bårdlav
Luddlav
Skinnlav
Stuplav</t>
        </is>
      </c>
      <c r="S52">
        <f>HYPERLINK("https://klasma.github.io/Logging_2303/artfynd/A 59107-2025 artfynd.xlsx", "A 59107-2025")</f>
        <v/>
      </c>
      <c r="T52">
        <f>HYPERLINK("https://klasma.github.io/Logging_2303/kartor/A 59107-2025 karta.png", "A 59107-2025")</f>
        <v/>
      </c>
      <c r="V52">
        <f>HYPERLINK("https://klasma.github.io/Logging_2303/klagomål/A 59107-2025 FSC-klagomål.docx", "A 59107-2025")</f>
        <v/>
      </c>
      <c r="W52">
        <f>HYPERLINK("https://klasma.github.io/Logging_2303/klagomålsmail/A 59107-2025 FSC-klagomål mail.docx", "A 59107-2025")</f>
        <v/>
      </c>
      <c r="X52">
        <f>HYPERLINK("https://klasma.github.io/Logging_2303/tillsyn/A 59107-2025 tillsynsbegäran.docx", "A 59107-2025")</f>
        <v/>
      </c>
      <c r="Y52">
        <f>HYPERLINK("https://klasma.github.io/Logging_2303/tillsynsmail/A 59107-2025 tillsynsbegäran mail.docx", "A 59107-2025")</f>
        <v/>
      </c>
      <c r="Z52">
        <f>HYPERLINK("https://klasma.github.io/Logging_2303/fåglar/A 59107-2025 prioriterade fågelarter.docx", "A 59107-2025")</f>
        <v/>
      </c>
    </row>
    <row r="53" ht="15" customHeight="1">
      <c r="A53" t="inlineStr">
        <is>
          <t>A 51037-2025</t>
        </is>
      </c>
      <c r="B53" s="1" t="n">
        <v>45947.40729166667</v>
      </c>
      <c r="C53" s="1" t="n">
        <v>46002</v>
      </c>
      <c r="D53" t="inlineStr">
        <is>
          <t>JÄMTLANDS LÄN</t>
        </is>
      </c>
      <c r="E53" t="inlineStr">
        <is>
          <t>RAGUNDA</t>
        </is>
      </c>
      <c r="F53" t="inlineStr">
        <is>
          <t>SCA</t>
        </is>
      </c>
      <c r="G53" t="n">
        <v>3.8</v>
      </c>
      <c r="H53" t="n">
        <v>2</v>
      </c>
      <c r="I53" t="n">
        <v>2</v>
      </c>
      <c r="J53" t="n">
        <v>5</v>
      </c>
      <c r="K53" t="n">
        <v>1</v>
      </c>
      <c r="L53" t="n">
        <v>0</v>
      </c>
      <c r="M53" t="n">
        <v>0</v>
      </c>
      <c r="N53" t="n">
        <v>0</v>
      </c>
      <c r="O53" t="n">
        <v>6</v>
      </c>
      <c r="P53" t="n">
        <v>1</v>
      </c>
      <c r="Q53" t="n">
        <v>8</v>
      </c>
      <c r="R53" s="2" t="inlineStr">
        <is>
          <t>Knärot
Garnlav
Granticka
Lunglav
Rosenticka
Vedskivlav
Korallrot
Ögonpyrola</t>
        </is>
      </c>
      <c r="S53">
        <f>HYPERLINK("https://klasma.github.io/Logging_2303/artfynd/A 51037-2025 artfynd.xlsx", "A 51037-2025")</f>
        <v/>
      </c>
      <c r="T53">
        <f>HYPERLINK("https://klasma.github.io/Logging_2303/kartor/A 51037-2025 karta.png", "A 51037-2025")</f>
        <v/>
      </c>
      <c r="U53">
        <f>HYPERLINK("https://klasma.github.io/Logging_2303/knärot/A 51037-2025 karta knärot.png", "A 51037-2025")</f>
        <v/>
      </c>
      <c r="V53">
        <f>HYPERLINK("https://klasma.github.io/Logging_2303/klagomål/A 51037-2025 FSC-klagomål.docx", "A 51037-2025")</f>
        <v/>
      </c>
      <c r="W53">
        <f>HYPERLINK("https://klasma.github.io/Logging_2303/klagomålsmail/A 51037-2025 FSC-klagomål mail.docx", "A 51037-2025")</f>
        <v/>
      </c>
      <c r="X53">
        <f>HYPERLINK("https://klasma.github.io/Logging_2303/tillsyn/A 51037-2025 tillsynsbegäran.docx", "A 51037-2025")</f>
        <v/>
      </c>
      <c r="Y53">
        <f>HYPERLINK("https://klasma.github.io/Logging_2303/tillsynsmail/A 51037-2025 tillsynsbegäran mail.docx", "A 51037-2025")</f>
        <v/>
      </c>
    </row>
    <row r="54" ht="15" customHeight="1">
      <c r="A54" t="inlineStr">
        <is>
          <t>A 60129-2025</t>
        </is>
      </c>
      <c r="B54" s="1" t="n">
        <v>45994.34461805555</v>
      </c>
      <c r="C54" s="1" t="n">
        <v>46002</v>
      </c>
      <c r="D54" t="inlineStr">
        <is>
          <t>JÄMTLANDS LÄN</t>
        </is>
      </c>
      <c r="E54" t="inlineStr">
        <is>
          <t>RAGUNDA</t>
        </is>
      </c>
      <c r="G54" t="n">
        <v>5.9</v>
      </c>
      <c r="H54" t="n">
        <v>2</v>
      </c>
      <c r="I54" t="n">
        <v>4</v>
      </c>
      <c r="J54" t="n">
        <v>3</v>
      </c>
      <c r="K54" t="n">
        <v>0</v>
      </c>
      <c r="L54" t="n">
        <v>0</v>
      </c>
      <c r="M54" t="n">
        <v>0</v>
      </c>
      <c r="N54" t="n">
        <v>0</v>
      </c>
      <c r="O54" t="n">
        <v>3</v>
      </c>
      <c r="P54" t="n">
        <v>0</v>
      </c>
      <c r="Q54" t="n">
        <v>8</v>
      </c>
      <c r="R54" s="2" t="inlineStr">
        <is>
          <t>Garnlav
Lunglav
Spillkråka
Luddlav
Skinnlav
Stor aspticka
Stuplav
Revlummer</t>
        </is>
      </c>
      <c r="S54">
        <f>HYPERLINK("https://klasma.github.io/Logging_2303/artfynd/A 60129-2025 artfynd.xlsx", "A 60129-2025")</f>
        <v/>
      </c>
      <c r="T54">
        <f>HYPERLINK("https://klasma.github.io/Logging_2303/kartor/A 60129-2025 karta.png", "A 60129-2025")</f>
        <v/>
      </c>
      <c r="V54">
        <f>HYPERLINK("https://klasma.github.io/Logging_2303/klagomål/A 60129-2025 FSC-klagomål.docx", "A 60129-2025")</f>
        <v/>
      </c>
      <c r="W54">
        <f>HYPERLINK("https://klasma.github.io/Logging_2303/klagomålsmail/A 60129-2025 FSC-klagomål mail.docx", "A 60129-2025")</f>
        <v/>
      </c>
      <c r="X54">
        <f>HYPERLINK("https://klasma.github.io/Logging_2303/tillsyn/A 60129-2025 tillsynsbegäran.docx", "A 60129-2025")</f>
        <v/>
      </c>
      <c r="Y54">
        <f>HYPERLINK("https://klasma.github.io/Logging_2303/tillsynsmail/A 60129-2025 tillsynsbegäran mail.docx", "A 60129-2025")</f>
        <v/>
      </c>
      <c r="Z54">
        <f>HYPERLINK("https://klasma.github.io/Logging_2303/fåglar/A 60129-2025 prioriterade fågelarter.docx", "A 60129-2025")</f>
        <v/>
      </c>
    </row>
    <row r="55" ht="15" customHeight="1">
      <c r="A55" t="inlineStr">
        <is>
          <t>A 15665-2022</t>
        </is>
      </c>
      <c r="B55" s="1" t="n">
        <v>44662</v>
      </c>
      <c r="C55" s="1" t="n">
        <v>46002</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46002</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46002</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46002</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46002</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46002</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46002</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41929-2023</t>
        </is>
      </c>
      <c r="B62" s="1" t="n">
        <v>45176</v>
      </c>
      <c r="C62" s="1" t="n">
        <v>46002</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46002</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46002</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46002</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46002</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46002</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46002</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46002</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46002</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55646-2023</t>
        </is>
      </c>
      <c r="B71" s="1" t="n">
        <v>45238</v>
      </c>
      <c r="C71" s="1" t="n">
        <v>46002</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34317-2025</t>
        </is>
      </c>
      <c r="B72" s="1" t="n">
        <v>45846.41361111111</v>
      </c>
      <c r="C72" s="1" t="n">
        <v>46002</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19402-2025</t>
        </is>
      </c>
      <c r="B73" s="1" t="n">
        <v>45769.67778935185</v>
      </c>
      <c r="C73" s="1" t="n">
        <v>46002</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30884-2025</t>
        </is>
      </c>
      <c r="B74" s="1" t="n">
        <v>45832.34564814815</v>
      </c>
      <c r="C74" s="1" t="n">
        <v>46002</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53021-2022</t>
        </is>
      </c>
      <c r="B75" s="1" t="n">
        <v>44875</v>
      </c>
      <c r="C75" s="1" t="n">
        <v>46002</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36276-2025</t>
        </is>
      </c>
      <c r="B76" s="1" t="n">
        <v>45867.63619212963</v>
      </c>
      <c r="C76" s="1" t="n">
        <v>46002</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49291-2025</t>
        </is>
      </c>
      <c r="B77" s="1" t="n">
        <v>45938.53188657408</v>
      </c>
      <c r="C77" s="1" t="n">
        <v>46002</v>
      </c>
      <c r="D77" t="inlineStr">
        <is>
          <t>JÄMTLANDS LÄN</t>
        </is>
      </c>
      <c r="E77" t="inlineStr">
        <is>
          <t>RAGUNDA</t>
        </is>
      </c>
      <c r="F77" t="inlineStr">
        <is>
          <t>SCA</t>
        </is>
      </c>
      <c r="G77" t="n">
        <v>4.2</v>
      </c>
      <c r="H77" t="n">
        <v>1</v>
      </c>
      <c r="I77" t="n">
        <v>3</v>
      </c>
      <c r="J77" t="n">
        <v>2</v>
      </c>
      <c r="K77" t="n">
        <v>0</v>
      </c>
      <c r="L77" t="n">
        <v>0</v>
      </c>
      <c r="M77" t="n">
        <v>0</v>
      </c>
      <c r="N77" t="n">
        <v>0</v>
      </c>
      <c r="O77" t="n">
        <v>2</v>
      </c>
      <c r="P77" t="n">
        <v>0</v>
      </c>
      <c r="Q77" t="n">
        <v>6</v>
      </c>
      <c r="R77" s="2" t="inlineStr">
        <is>
          <t>Kolflarnlav
Lunglav
Korallblylav
Skinnlav
Vårärt
Blåsippa</t>
        </is>
      </c>
      <c r="S77">
        <f>HYPERLINK("https://klasma.github.io/Logging_2303/artfynd/A 49291-2025 artfynd.xlsx", "A 49291-2025")</f>
        <v/>
      </c>
      <c r="T77">
        <f>HYPERLINK("https://klasma.github.io/Logging_2303/kartor/A 49291-2025 karta.png", "A 49291-2025")</f>
        <v/>
      </c>
      <c r="V77">
        <f>HYPERLINK("https://klasma.github.io/Logging_2303/klagomål/A 49291-2025 FSC-klagomål.docx", "A 49291-2025")</f>
        <v/>
      </c>
      <c r="W77">
        <f>HYPERLINK("https://klasma.github.io/Logging_2303/klagomålsmail/A 49291-2025 FSC-klagomål mail.docx", "A 49291-2025")</f>
        <v/>
      </c>
      <c r="X77">
        <f>HYPERLINK("https://klasma.github.io/Logging_2303/tillsyn/A 49291-2025 tillsynsbegäran.docx", "A 49291-2025")</f>
        <v/>
      </c>
      <c r="Y77">
        <f>HYPERLINK("https://klasma.github.io/Logging_2303/tillsynsmail/A 49291-2025 tillsynsbegäran mail.docx", "A 49291-2025")</f>
        <v/>
      </c>
    </row>
    <row r="78" ht="15" customHeight="1">
      <c r="A78" t="inlineStr">
        <is>
          <t>A 30637-2024</t>
        </is>
      </c>
      <c r="B78" s="1" t="n">
        <v>45495.56244212963</v>
      </c>
      <c r="C78" s="1" t="n">
        <v>46002</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47115-2025</t>
        </is>
      </c>
      <c r="B79" s="1" t="n">
        <v>45929.67459490741</v>
      </c>
      <c r="C79" s="1" t="n">
        <v>46002</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46002</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46002</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46002</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46002</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14908-2022</t>
        </is>
      </c>
      <c r="B84" s="1" t="n">
        <v>44656</v>
      </c>
      <c r="C84" s="1" t="n">
        <v>46002</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Garnlav
Skrovellav
Bårdlav
Källmossa
Ögonpyrola</t>
        </is>
      </c>
      <c r="S84">
        <f>HYPERLINK("https://klasma.github.io/Logging_2303/artfynd/A 14908-2022 artfynd.xlsx", "A 14908-2022")</f>
        <v/>
      </c>
      <c r="T84">
        <f>HYPERLINK("https://klasma.github.io/Logging_2303/kartor/A 14908-2022 karta.png", "A 14908-2022")</f>
        <v/>
      </c>
      <c r="V84">
        <f>HYPERLINK("https://klasma.github.io/Logging_2303/klagomål/A 14908-2022 FSC-klagomål.docx", "A 14908-2022")</f>
        <v/>
      </c>
      <c r="W84">
        <f>HYPERLINK("https://klasma.github.io/Logging_2303/klagomålsmail/A 14908-2022 FSC-klagomål mail.docx", "A 14908-2022")</f>
        <v/>
      </c>
      <c r="X84">
        <f>HYPERLINK("https://klasma.github.io/Logging_2303/tillsyn/A 14908-2022 tillsynsbegäran.docx", "A 14908-2022")</f>
        <v/>
      </c>
      <c r="Y84">
        <f>HYPERLINK("https://klasma.github.io/Logging_2303/tillsynsmail/A 14908-2022 tillsynsbegäran mail.docx", "A 14908-2022")</f>
        <v/>
      </c>
    </row>
    <row r="85" ht="15" customHeight="1">
      <c r="A85" t="inlineStr">
        <is>
          <t>A 15379-2024</t>
        </is>
      </c>
      <c r="B85" s="1" t="n">
        <v>45400.94002314815</v>
      </c>
      <c r="C85" s="1" t="n">
        <v>46002</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45969-2023</t>
        </is>
      </c>
      <c r="B86" s="1" t="n">
        <v>45195</v>
      </c>
      <c r="C86" s="1" t="n">
        <v>46002</v>
      </c>
      <c r="D86" t="inlineStr">
        <is>
          <t>JÄMTLANDS LÄN</t>
        </is>
      </c>
      <c r="E86" t="inlineStr">
        <is>
          <t>RAGUNDA</t>
        </is>
      </c>
      <c r="F86" t="inlineStr">
        <is>
          <t>SCA</t>
        </is>
      </c>
      <c r="G86" t="n">
        <v>9.300000000000001</v>
      </c>
      <c r="H86" t="n">
        <v>1</v>
      </c>
      <c r="I86" t="n">
        <v>4</v>
      </c>
      <c r="J86" t="n">
        <v>1</v>
      </c>
      <c r="K86" t="n">
        <v>0</v>
      </c>
      <c r="L86" t="n">
        <v>0</v>
      </c>
      <c r="M86" t="n">
        <v>0</v>
      </c>
      <c r="N86" t="n">
        <v>0</v>
      </c>
      <c r="O86" t="n">
        <v>1</v>
      </c>
      <c r="P86" t="n">
        <v>0</v>
      </c>
      <c r="Q86" t="n">
        <v>5</v>
      </c>
      <c r="R86" s="2" t="inlineStr">
        <is>
          <t>Lunglav
Dropptaggsvamp
Grönpyrola
Plattlummer
Skarp dropptaggsvamp</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39365-2024</t>
        </is>
      </c>
      <c r="B87" s="1" t="n">
        <v>45551.46912037037</v>
      </c>
      <c r="C87" s="1" t="n">
        <v>46002</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15244-2025</t>
        </is>
      </c>
      <c r="B88" s="1" t="n">
        <v>45744.61550925926</v>
      </c>
      <c r="C88" s="1" t="n">
        <v>46002</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39974-2025</t>
        </is>
      </c>
      <c r="B89" s="1" t="n">
        <v>45893.38599537037</v>
      </c>
      <c r="C89" s="1" t="n">
        <v>46002</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27313-2024</t>
        </is>
      </c>
      <c r="B90" s="1" t="n">
        <v>45471.94623842592</v>
      </c>
      <c r="C90" s="1" t="n">
        <v>46002</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30886-2025</t>
        </is>
      </c>
      <c r="B91" s="1" t="n">
        <v>45832.34578703704</v>
      </c>
      <c r="C91" s="1" t="n">
        <v>46002</v>
      </c>
      <c r="D91" t="inlineStr">
        <is>
          <t>JÄMTLANDS LÄN</t>
        </is>
      </c>
      <c r="E91" t="inlineStr">
        <is>
          <t>RAGUNDA</t>
        </is>
      </c>
      <c r="F91" t="inlineStr">
        <is>
          <t>SCA</t>
        </is>
      </c>
      <c r="G91" t="n">
        <v>4.4</v>
      </c>
      <c r="H91" t="n">
        <v>3</v>
      </c>
      <c r="I91" t="n">
        <v>1</v>
      </c>
      <c r="J91" t="n">
        <v>2</v>
      </c>
      <c r="K91" t="n">
        <v>1</v>
      </c>
      <c r="L91" t="n">
        <v>0</v>
      </c>
      <c r="M91" t="n">
        <v>0</v>
      </c>
      <c r="N91" t="n">
        <v>0</v>
      </c>
      <c r="O91" t="n">
        <v>3</v>
      </c>
      <c r="P91" t="n">
        <v>1</v>
      </c>
      <c r="Q91" t="n">
        <v>5</v>
      </c>
      <c r="R91" s="2" t="inlineStr">
        <is>
          <t>Knärot
Järpe
Lunglav
Ögonpyrola
Nattviol</t>
        </is>
      </c>
      <c r="S91">
        <f>HYPERLINK("https://klasma.github.io/Logging_2303/artfynd/A 30886-2025 artfynd.xlsx", "A 30886-2025")</f>
        <v/>
      </c>
      <c r="T91">
        <f>HYPERLINK("https://klasma.github.io/Logging_2303/kartor/A 30886-2025 karta.png", "A 30886-2025")</f>
        <v/>
      </c>
      <c r="U91">
        <f>HYPERLINK("https://klasma.github.io/Logging_2303/knärot/A 30886-2025 karta knärot.png", "A 30886-2025")</f>
        <v/>
      </c>
      <c r="V91">
        <f>HYPERLINK("https://klasma.github.io/Logging_2303/klagomål/A 30886-2025 FSC-klagomål.docx", "A 30886-2025")</f>
        <v/>
      </c>
      <c r="W91">
        <f>HYPERLINK("https://klasma.github.io/Logging_2303/klagomålsmail/A 30886-2025 FSC-klagomål mail.docx", "A 30886-2025")</f>
        <v/>
      </c>
      <c r="X91">
        <f>HYPERLINK("https://klasma.github.io/Logging_2303/tillsyn/A 30886-2025 tillsynsbegäran.docx", "A 30886-2025")</f>
        <v/>
      </c>
      <c r="Y91">
        <f>HYPERLINK("https://klasma.github.io/Logging_2303/tillsynsmail/A 30886-2025 tillsynsbegäran mail.docx", "A 30886-2025")</f>
        <v/>
      </c>
      <c r="Z91">
        <f>HYPERLINK("https://klasma.github.io/Logging_2303/fåglar/A 30886-2025 prioriterade fågelarter.docx", "A 30886-2025")</f>
        <v/>
      </c>
    </row>
    <row r="92" ht="15" customHeight="1">
      <c r="A92" t="inlineStr">
        <is>
          <t>A 35344-2025</t>
        </is>
      </c>
      <c r="B92" s="1" t="n">
        <v>45854.61494212963</v>
      </c>
      <c r="C92" s="1" t="n">
        <v>46002</v>
      </c>
      <c r="D92" t="inlineStr">
        <is>
          <t>JÄMTLANDS LÄN</t>
        </is>
      </c>
      <c r="E92" t="inlineStr">
        <is>
          <t>RAGUNDA</t>
        </is>
      </c>
      <c r="F92" t="inlineStr">
        <is>
          <t>SCA</t>
        </is>
      </c>
      <c r="G92" t="n">
        <v>6.1</v>
      </c>
      <c r="H92" t="n">
        <v>0</v>
      </c>
      <c r="I92" t="n">
        <v>0</v>
      </c>
      <c r="J92" t="n">
        <v>5</v>
      </c>
      <c r="K92" t="n">
        <v>0</v>
      </c>
      <c r="L92" t="n">
        <v>0</v>
      </c>
      <c r="M92" t="n">
        <v>0</v>
      </c>
      <c r="N92" t="n">
        <v>0</v>
      </c>
      <c r="O92" t="n">
        <v>5</v>
      </c>
      <c r="P92" t="n">
        <v>0</v>
      </c>
      <c r="Q92" t="n">
        <v>5</v>
      </c>
      <c r="R92" s="2" t="inlineStr">
        <is>
          <t>Blå taggsvamp
Garnlav
Lunglav
Svart taggsvamp
Vedtrappmossa</t>
        </is>
      </c>
      <c r="S92">
        <f>HYPERLINK("https://klasma.github.io/Logging_2303/artfynd/A 35344-2025 artfynd.xlsx", "A 35344-2025")</f>
        <v/>
      </c>
      <c r="T92">
        <f>HYPERLINK("https://klasma.github.io/Logging_2303/kartor/A 35344-2025 karta.png", "A 35344-2025")</f>
        <v/>
      </c>
      <c r="V92">
        <f>HYPERLINK("https://klasma.github.io/Logging_2303/klagomål/A 35344-2025 FSC-klagomål.docx", "A 35344-2025")</f>
        <v/>
      </c>
      <c r="W92">
        <f>HYPERLINK("https://klasma.github.io/Logging_2303/klagomålsmail/A 35344-2025 FSC-klagomål mail.docx", "A 35344-2025")</f>
        <v/>
      </c>
      <c r="X92">
        <f>HYPERLINK("https://klasma.github.io/Logging_2303/tillsyn/A 35344-2025 tillsynsbegäran.docx", "A 35344-2025")</f>
        <v/>
      </c>
      <c r="Y92">
        <f>HYPERLINK("https://klasma.github.io/Logging_2303/tillsynsmail/A 35344-2025 tillsynsbegäran mail.docx", "A 35344-2025")</f>
        <v/>
      </c>
    </row>
    <row r="93" ht="15" customHeight="1">
      <c r="A93" t="inlineStr">
        <is>
          <t>A 2579-2025</t>
        </is>
      </c>
      <c r="B93" s="1" t="n">
        <v>45674.67744212963</v>
      </c>
      <c r="C93" s="1" t="n">
        <v>46002</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57073-2023</t>
        </is>
      </c>
      <c r="B94" s="1" t="n">
        <v>45244</v>
      </c>
      <c r="C94" s="1" t="n">
        <v>46002</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Aspgelélav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13266-2023</t>
        </is>
      </c>
      <c r="B95" s="1" t="n">
        <v>45002.94356481481</v>
      </c>
      <c r="C95" s="1" t="n">
        <v>46002</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38169-2024</t>
        </is>
      </c>
      <c r="B96" s="1" t="n">
        <v>45545.45748842593</v>
      </c>
      <c r="C96" s="1" t="n">
        <v>46002</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12024-2022</t>
        </is>
      </c>
      <c r="B97" s="1" t="n">
        <v>44635</v>
      </c>
      <c r="C97" s="1" t="n">
        <v>46002</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43106-2023</t>
        </is>
      </c>
      <c r="B98" s="1" t="n">
        <v>45182</v>
      </c>
      <c r="C98" s="1" t="n">
        <v>46002</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60683-2022</t>
        </is>
      </c>
      <c r="B99" s="1" t="n">
        <v>44911</v>
      </c>
      <c r="C99" s="1" t="n">
        <v>46002</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18629-2024</t>
        </is>
      </c>
      <c r="B100" s="1" t="n">
        <v>45425.96472222222</v>
      </c>
      <c r="C100" s="1" t="n">
        <v>46002</v>
      </c>
      <c r="D100" t="inlineStr">
        <is>
          <t>JÄMTLANDS LÄN</t>
        </is>
      </c>
      <c r="E100" t="inlineStr">
        <is>
          <t>RAGUNDA</t>
        </is>
      </c>
      <c r="F100" t="inlineStr">
        <is>
          <t>SCA</t>
        </is>
      </c>
      <c r="G100" t="n">
        <v>1.6</v>
      </c>
      <c r="H100" t="n">
        <v>2</v>
      </c>
      <c r="I100" t="n">
        <v>1</v>
      </c>
      <c r="J100" t="n">
        <v>3</v>
      </c>
      <c r="K100" t="n">
        <v>0</v>
      </c>
      <c r="L100" t="n">
        <v>0</v>
      </c>
      <c r="M100" t="n">
        <v>0</v>
      </c>
      <c r="N100" t="n">
        <v>0</v>
      </c>
      <c r="O100" t="n">
        <v>3</v>
      </c>
      <c r="P100" t="n">
        <v>0</v>
      </c>
      <c r="Q100" t="n">
        <v>5</v>
      </c>
      <c r="R100" s="2" t="inlineStr">
        <is>
          <t>Garnlav
Lunglav
Tretåig hackspett
Stuplav
Fläcknycklar</t>
        </is>
      </c>
      <c r="S100">
        <f>HYPERLINK("https://klasma.github.io/Logging_2303/artfynd/A 18629-2024 artfynd.xlsx", "A 18629-2024")</f>
        <v/>
      </c>
      <c r="T100">
        <f>HYPERLINK("https://klasma.github.io/Logging_2303/kartor/A 18629-2024 karta.png", "A 18629-2024")</f>
        <v/>
      </c>
      <c r="V100">
        <f>HYPERLINK("https://klasma.github.io/Logging_2303/klagomål/A 18629-2024 FSC-klagomål.docx", "A 18629-2024")</f>
        <v/>
      </c>
      <c r="W100">
        <f>HYPERLINK("https://klasma.github.io/Logging_2303/klagomålsmail/A 18629-2024 FSC-klagomål mail.docx", "A 18629-2024")</f>
        <v/>
      </c>
      <c r="X100">
        <f>HYPERLINK("https://klasma.github.io/Logging_2303/tillsyn/A 18629-2024 tillsynsbegäran.docx", "A 18629-2024")</f>
        <v/>
      </c>
      <c r="Y100">
        <f>HYPERLINK("https://klasma.github.io/Logging_2303/tillsynsmail/A 18629-2024 tillsynsbegäran mail.docx", "A 18629-2024")</f>
        <v/>
      </c>
      <c r="Z100">
        <f>HYPERLINK("https://klasma.github.io/Logging_2303/fåglar/A 18629-2024 prioriterade fågelarter.docx", "A 18629-2024")</f>
        <v/>
      </c>
    </row>
    <row r="101" ht="15" customHeight="1">
      <c r="A101" t="inlineStr">
        <is>
          <t>A 22469-2024</t>
        </is>
      </c>
      <c r="B101" s="1" t="n">
        <v>45446.95087962963</v>
      </c>
      <c r="C101" s="1" t="n">
        <v>46002</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8636-2021</t>
        </is>
      </c>
      <c r="B102" s="1" t="n">
        <v>44245</v>
      </c>
      <c r="C102" s="1" t="n">
        <v>46002</v>
      </c>
      <c r="D102" t="inlineStr">
        <is>
          <t>JÄMTLANDS LÄN</t>
        </is>
      </c>
      <c r="E102" t="inlineStr">
        <is>
          <t>RAGUNDA</t>
        </is>
      </c>
      <c r="F102" t="inlineStr">
        <is>
          <t>SCA</t>
        </is>
      </c>
      <c r="G102" t="n">
        <v>6.9</v>
      </c>
      <c r="H102" t="n">
        <v>0</v>
      </c>
      <c r="I102" t="n">
        <v>3</v>
      </c>
      <c r="J102" t="n">
        <v>1</v>
      </c>
      <c r="K102" t="n">
        <v>0</v>
      </c>
      <c r="L102" t="n">
        <v>0</v>
      </c>
      <c r="M102" t="n">
        <v>0</v>
      </c>
      <c r="N102" t="n">
        <v>0</v>
      </c>
      <c r="O102" t="n">
        <v>1</v>
      </c>
      <c r="P102" t="n">
        <v>0</v>
      </c>
      <c r="Q102" t="n">
        <v>4</v>
      </c>
      <c r="R102" s="2" t="inlineStr">
        <is>
          <t>Lunglav
Luddlav
Skinnlav
Stuplav</t>
        </is>
      </c>
      <c r="S102">
        <f>HYPERLINK("https://klasma.github.io/Logging_2303/artfynd/A 8636-2021 artfynd.xlsx", "A 8636-2021")</f>
        <v/>
      </c>
      <c r="T102">
        <f>HYPERLINK("https://klasma.github.io/Logging_2303/kartor/A 8636-2021 karta.png", "A 8636-2021")</f>
        <v/>
      </c>
      <c r="V102">
        <f>HYPERLINK("https://klasma.github.io/Logging_2303/klagomål/A 8636-2021 FSC-klagomål.docx", "A 8636-2021")</f>
        <v/>
      </c>
      <c r="W102">
        <f>HYPERLINK("https://klasma.github.io/Logging_2303/klagomålsmail/A 8636-2021 FSC-klagomål mail.docx", "A 8636-2021")</f>
        <v/>
      </c>
      <c r="X102">
        <f>HYPERLINK("https://klasma.github.io/Logging_2303/tillsyn/A 8636-2021 tillsynsbegäran.docx", "A 8636-2021")</f>
        <v/>
      </c>
      <c r="Y102">
        <f>HYPERLINK("https://klasma.github.io/Logging_2303/tillsynsmail/A 8636-2021 tillsynsbegäran mail.docx", "A 8636-2021")</f>
        <v/>
      </c>
    </row>
    <row r="103" ht="15" customHeight="1">
      <c r="A103" t="inlineStr">
        <is>
          <t>A 19851-2022</t>
        </is>
      </c>
      <c r="B103" s="1" t="n">
        <v>44696</v>
      </c>
      <c r="C103" s="1" t="n">
        <v>46002</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15667-2022</t>
        </is>
      </c>
      <c r="B104" s="1" t="n">
        <v>44662</v>
      </c>
      <c r="C104" s="1" t="n">
        <v>46002</v>
      </c>
      <c r="D104" t="inlineStr">
        <is>
          <t>JÄMTLANDS LÄN</t>
        </is>
      </c>
      <c r="E104" t="inlineStr">
        <is>
          <t>RAGUNDA</t>
        </is>
      </c>
      <c r="F104" t="inlineStr">
        <is>
          <t>SCA</t>
        </is>
      </c>
      <c r="G104" t="n">
        <v>2.9</v>
      </c>
      <c r="H104" t="n">
        <v>0</v>
      </c>
      <c r="I104" t="n">
        <v>2</v>
      </c>
      <c r="J104" t="n">
        <v>2</v>
      </c>
      <c r="K104" t="n">
        <v>0</v>
      </c>
      <c r="L104" t="n">
        <v>0</v>
      </c>
      <c r="M104" t="n">
        <v>0</v>
      </c>
      <c r="N104" t="n">
        <v>0</v>
      </c>
      <c r="O104" t="n">
        <v>2</v>
      </c>
      <c r="P104" t="n">
        <v>0</v>
      </c>
      <c r="Q104" t="n">
        <v>4</v>
      </c>
      <c r="R104" s="2" t="inlineStr">
        <is>
          <t>Garnlav
Lunglav
Källmossa
Ögonpyrola</t>
        </is>
      </c>
      <c r="S104">
        <f>HYPERLINK("https://klasma.github.io/Logging_2303/artfynd/A 15667-2022 artfynd.xlsx", "A 15667-2022")</f>
        <v/>
      </c>
      <c r="T104">
        <f>HYPERLINK("https://klasma.github.io/Logging_2303/kartor/A 15667-2022 karta.png", "A 15667-2022")</f>
        <v/>
      </c>
      <c r="V104">
        <f>HYPERLINK("https://klasma.github.io/Logging_2303/klagomål/A 15667-2022 FSC-klagomål.docx", "A 15667-2022")</f>
        <v/>
      </c>
      <c r="W104">
        <f>HYPERLINK("https://klasma.github.io/Logging_2303/klagomålsmail/A 15667-2022 FSC-klagomål mail.docx", "A 15667-2022")</f>
        <v/>
      </c>
      <c r="X104">
        <f>HYPERLINK("https://klasma.github.io/Logging_2303/tillsyn/A 15667-2022 tillsynsbegäran.docx", "A 15667-2022")</f>
        <v/>
      </c>
      <c r="Y104">
        <f>HYPERLINK("https://klasma.github.io/Logging_2303/tillsynsmail/A 15667-2022 tillsynsbegäran mail.docx", "A 15667-2022")</f>
        <v/>
      </c>
    </row>
    <row r="105" ht="15" customHeight="1">
      <c r="A105" t="inlineStr">
        <is>
          <t>A 60670-2022</t>
        </is>
      </c>
      <c r="B105" s="1" t="n">
        <v>44911</v>
      </c>
      <c r="C105" s="1" t="n">
        <v>46002</v>
      </c>
      <c r="D105" t="inlineStr">
        <is>
          <t>JÄMTLANDS LÄN</t>
        </is>
      </c>
      <c r="E105" t="inlineStr">
        <is>
          <t>RAGUNDA</t>
        </is>
      </c>
      <c r="F105" t="inlineStr">
        <is>
          <t>SCA</t>
        </is>
      </c>
      <c r="G105" t="n">
        <v>5.1</v>
      </c>
      <c r="H105" t="n">
        <v>0</v>
      </c>
      <c r="I105" t="n">
        <v>0</v>
      </c>
      <c r="J105" t="n">
        <v>4</v>
      </c>
      <c r="K105" t="n">
        <v>0</v>
      </c>
      <c r="L105" t="n">
        <v>0</v>
      </c>
      <c r="M105" t="n">
        <v>0</v>
      </c>
      <c r="N105" t="n">
        <v>0</v>
      </c>
      <c r="O105" t="n">
        <v>4</v>
      </c>
      <c r="P105" t="n">
        <v>0</v>
      </c>
      <c r="Q105" t="n">
        <v>4</v>
      </c>
      <c r="R105" s="2" t="inlineStr">
        <is>
          <t>Doftskinn
Gammelgransskål
Lunglav
Ullticka</t>
        </is>
      </c>
      <c r="S105">
        <f>HYPERLINK("https://klasma.github.io/Logging_2303/artfynd/A 60670-2022 artfynd.xlsx", "A 60670-2022")</f>
        <v/>
      </c>
      <c r="T105">
        <f>HYPERLINK("https://klasma.github.io/Logging_2303/kartor/A 60670-2022 karta.png", "A 60670-2022")</f>
        <v/>
      </c>
      <c r="V105">
        <f>HYPERLINK("https://klasma.github.io/Logging_2303/klagomål/A 60670-2022 FSC-klagomål.docx", "A 60670-2022")</f>
        <v/>
      </c>
      <c r="W105">
        <f>HYPERLINK("https://klasma.github.io/Logging_2303/klagomålsmail/A 60670-2022 FSC-klagomål mail.docx", "A 60670-2022")</f>
        <v/>
      </c>
      <c r="X105">
        <f>HYPERLINK("https://klasma.github.io/Logging_2303/tillsyn/A 60670-2022 tillsynsbegäran.docx", "A 60670-2022")</f>
        <v/>
      </c>
      <c r="Y105">
        <f>HYPERLINK("https://klasma.github.io/Logging_2303/tillsynsmail/A 60670-2022 tillsynsbegäran mail.docx", "A 60670-2022")</f>
        <v/>
      </c>
    </row>
    <row r="106" ht="15" customHeight="1">
      <c r="A106" t="inlineStr">
        <is>
          <t>A 32903-2024</t>
        </is>
      </c>
      <c r="B106" s="1" t="n">
        <v>45516.94723379629</v>
      </c>
      <c r="C106" s="1" t="n">
        <v>46002</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23682-2021</t>
        </is>
      </c>
      <c r="B107" s="1" t="n">
        <v>44334</v>
      </c>
      <c r="C107" s="1" t="n">
        <v>46002</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46002</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26082-2025</t>
        </is>
      </c>
      <c r="B109" s="1" t="n">
        <v>45805.34415509259</v>
      </c>
      <c r="C109" s="1" t="n">
        <v>46002</v>
      </c>
      <c r="D109" t="inlineStr">
        <is>
          <t>JÄMTLANDS LÄN</t>
        </is>
      </c>
      <c r="E109" t="inlineStr">
        <is>
          <t>RAGUNDA</t>
        </is>
      </c>
      <c r="F109" t="inlineStr">
        <is>
          <t>SCA</t>
        </is>
      </c>
      <c r="G109" t="n">
        <v>5</v>
      </c>
      <c r="H109" t="n">
        <v>1</v>
      </c>
      <c r="I109" t="n">
        <v>0</v>
      </c>
      <c r="J109" t="n">
        <v>3</v>
      </c>
      <c r="K109" t="n">
        <v>1</v>
      </c>
      <c r="L109" t="n">
        <v>0</v>
      </c>
      <c r="M109" t="n">
        <v>0</v>
      </c>
      <c r="N109" t="n">
        <v>0</v>
      </c>
      <c r="O109" t="n">
        <v>4</v>
      </c>
      <c r="P109" t="n">
        <v>1</v>
      </c>
      <c r="Q109" t="n">
        <v>4</v>
      </c>
      <c r="R109" s="2" t="inlineStr">
        <is>
          <t>Knärot
Gammelgransskål
Lunglav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43960-2023</t>
        </is>
      </c>
      <c r="B110" s="1" t="n">
        <v>45187</v>
      </c>
      <c r="C110" s="1" t="n">
        <v>46002</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30483-2024</t>
        </is>
      </c>
      <c r="B111" s="1" t="n">
        <v>45491</v>
      </c>
      <c r="C111" s="1" t="n">
        <v>46002</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40653-2025</t>
        </is>
      </c>
      <c r="B112" s="1" t="n">
        <v>45896.63618055556</v>
      </c>
      <c r="C112" s="1" t="n">
        <v>46002</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23931-2024</t>
        </is>
      </c>
      <c r="B113" s="1" t="n">
        <v>45455.96195601852</v>
      </c>
      <c r="C113" s="1" t="n">
        <v>46002</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32067-2024</t>
        </is>
      </c>
      <c r="B114" s="1" t="n">
        <v>45510</v>
      </c>
      <c r="C114" s="1" t="n">
        <v>46002</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30465-2024</t>
        </is>
      </c>
      <c r="B115" s="1" t="n">
        <v>45491</v>
      </c>
      <c r="C115" s="1" t="n">
        <v>46002</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15836-2024</t>
        </is>
      </c>
      <c r="B116" s="1" t="n">
        <v>45404</v>
      </c>
      <c r="C116" s="1" t="n">
        <v>46002</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52168-2025</t>
        </is>
      </c>
      <c r="B117" s="1" t="n">
        <v>45953.365625</v>
      </c>
      <c r="C117" s="1" t="n">
        <v>46002</v>
      </c>
      <c r="D117" t="inlineStr">
        <is>
          <t>JÄMTLANDS LÄN</t>
        </is>
      </c>
      <c r="E117" t="inlineStr">
        <is>
          <t>RAGUNDA</t>
        </is>
      </c>
      <c r="F117" t="inlineStr">
        <is>
          <t>SCA</t>
        </is>
      </c>
      <c r="G117" t="n">
        <v>19.5</v>
      </c>
      <c r="H117" t="n">
        <v>0</v>
      </c>
      <c r="I117" t="n">
        <v>1</v>
      </c>
      <c r="J117" t="n">
        <v>3</v>
      </c>
      <c r="K117" t="n">
        <v>0</v>
      </c>
      <c r="L117" t="n">
        <v>0</v>
      </c>
      <c r="M117" t="n">
        <v>0</v>
      </c>
      <c r="N117" t="n">
        <v>0</v>
      </c>
      <c r="O117" t="n">
        <v>3</v>
      </c>
      <c r="P117" t="n">
        <v>0</v>
      </c>
      <c r="Q117" t="n">
        <v>4</v>
      </c>
      <c r="R117" s="2" t="inlineStr">
        <is>
          <t>Garnlav
Granticka
Vitgrynig nållav
Källmossa</t>
        </is>
      </c>
      <c r="S117">
        <f>HYPERLINK("https://klasma.github.io/Logging_2303/artfynd/A 52168-2025 artfynd.xlsx", "A 52168-2025")</f>
        <v/>
      </c>
      <c r="T117">
        <f>HYPERLINK("https://klasma.github.io/Logging_2303/kartor/A 52168-2025 karta.png", "A 52168-2025")</f>
        <v/>
      </c>
      <c r="V117">
        <f>HYPERLINK("https://klasma.github.io/Logging_2303/klagomål/A 52168-2025 FSC-klagomål.docx", "A 52168-2025")</f>
        <v/>
      </c>
      <c r="W117">
        <f>HYPERLINK("https://klasma.github.io/Logging_2303/klagomålsmail/A 52168-2025 FSC-klagomål mail.docx", "A 52168-2025")</f>
        <v/>
      </c>
      <c r="X117">
        <f>HYPERLINK("https://klasma.github.io/Logging_2303/tillsyn/A 52168-2025 tillsynsbegäran.docx", "A 52168-2025")</f>
        <v/>
      </c>
      <c r="Y117">
        <f>HYPERLINK("https://klasma.github.io/Logging_2303/tillsynsmail/A 52168-2025 tillsynsbegäran mail.docx", "A 52168-2025")</f>
        <v/>
      </c>
    </row>
    <row r="118" ht="15" customHeight="1">
      <c r="A118" t="inlineStr">
        <is>
          <t>A 50342-2025</t>
        </is>
      </c>
      <c r="B118" s="1" t="n">
        <v>45944.53186342592</v>
      </c>
      <c r="C118" s="1" t="n">
        <v>46002</v>
      </c>
      <c r="D118" t="inlineStr">
        <is>
          <t>JÄMTLANDS LÄN</t>
        </is>
      </c>
      <c r="E118" t="inlineStr">
        <is>
          <t>RAGUNDA</t>
        </is>
      </c>
      <c r="F118" t="inlineStr">
        <is>
          <t>SCA</t>
        </is>
      </c>
      <c r="G118" t="n">
        <v>20.7</v>
      </c>
      <c r="H118" t="n">
        <v>1</v>
      </c>
      <c r="I118" t="n">
        <v>1</v>
      </c>
      <c r="J118" t="n">
        <v>3</v>
      </c>
      <c r="K118" t="n">
        <v>0</v>
      </c>
      <c r="L118" t="n">
        <v>0</v>
      </c>
      <c r="M118" t="n">
        <v>0</v>
      </c>
      <c r="N118" t="n">
        <v>0</v>
      </c>
      <c r="O118" t="n">
        <v>3</v>
      </c>
      <c r="P118" t="n">
        <v>0</v>
      </c>
      <c r="Q118" t="n">
        <v>4</v>
      </c>
      <c r="R118" s="2" t="inlineStr">
        <is>
          <t>Garnlav
Granticka
Tretåig hackspett
Trådticka</t>
        </is>
      </c>
      <c r="S118">
        <f>HYPERLINK("https://klasma.github.io/Logging_2303/artfynd/A 50342-2025 artfynd.xlsx", "A 50342-2025")</f>
        <v/>
      </c>
      <c r="T118">
        <f>HYPERLINK("https://klasma.github.io/Logging_2303/kartor/A 50342-2025 karta.png", "A 50342-2025")</f>
        <v/>
      </c>
      <c r="V118">
        <f>HYPERLINK("https://klasma.github.io/Logging_2303/klagomål/A 50342-2025 FSC-klagomål.docx", "A 50342-2025")</f>
        <v/>
      </c>
      <c r="W118">
        <f>HYPERLINK("https://klasma.github.io/Logging_2303/klagomålsmail/A 50342-2025 FSC-klagomål mail.docx", "A 50342-2025")</f>
        <v/>
      </c>
      <c r="X118">
        <f>HYPERLINK("https://klasma.github.io/Logging_2303/tillsyn/A 50342-2025 tillsynsbegäran.docx", "A 50342-2025")</f>
        <v/>
      </c>
      <c r="Y118">
        <f>HYPERLINK("https://klasma.github.io/Logging_2303/tillsynsmail/A 50342-2025 tillsynsbegäran mail.docx", "A 50342-2025")</f>
        <v/>
      </c>
      <c r="Z118">
        <f>HYPERLINK("https://klasma.github.io/Logging_2303/fåglar/A 50342-2025 prioriterade fågelarter.docx", "A 50342-2025")</f>
        <v/>
      </c>
    </row>
    <row r="119" ht="15" customHeight="1">
      <c r="A119" t="inlineStr">
        <is>
          <t>A 52644-2024</t>
        </is>
      </c>
      <c r="B119" s="1" t="n">
        <v>45610.34415509259</v>
      </c>
      <c r="C119" s="1" t="n">
        <v>46002</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19401-2025</t>
        </is>
      </c>
      <c r="B120" s="1" t="n">
        <v>45769.67767361111</v>
      </c>
      <c r="C120" s="1" t="n">
        <v>46002</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17092-2022</t>
        </is>
      </c>
      <c r="B121" s="1" t="n">
        <v>44677</v>
      </c>
      <c r="C121" s="1" t="n">
        <v>46002</v>
      </c>
      <c r="D121" t="inlineStr">
        <is>
          <t>JÄMTLANDS LÄN</t>
        </is>
      </c>
      <c r="E121" t="inlineStr">
        <is>
          <t>RAGUNDA</t>
        </is>
      </c>
      <c r="G121" t="n">
        <v>21.2</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17092-2022 artfynd.xlsx", "A 17092-2022")</f>
        <v/>
      </c>
      <c r="T121">
        <f>HYPERLINK("https://klasma.github.io/Logging_2303/kartor/A 17092-2022 karta.png", "A 17092-2022")</f>
        <v/>
      </c>
      <c r="U121">
        <f>HYPERLINK("https://klasma.github.io/Logging_2303/knärot/A 17092-2022 karta knärot.png", "A 17092-2022")</f>
        <v/>
      </c>
      <c r="V121">
        <f>HYPERLINK("https://klasma.github.io/Logging_2303/klagomål/A 17092-2022 FSC-klagomål.docx", "A 17092-2022")</f>
        <v/>
      </c>
      <c r="W121">
        <f>HYPERLINK("https://klasma.github.io/Logging_2303/klagomålsmail/A 17092-2022 FSC-klagomål mail.docx", "A 17092-2022")</f>
        <v/>
      </c>
      <c r="X121">
        <f>HYPERLINK("https://klasma.github.io/Logging_2303/tillsyn/A 17092-2022 tillsynsbegäran.docx", "A 17092-2022")</f>
        <v/>
      </c>
      <c r="Y121">
        <f>HYPERLINK("https://klasma.github.io/Logging_2303/tillsynsmail/A 17092-2022 tillsynsbegäran mail.docx", "A 17092-2022")</f>
        <v/>
      </c>
    </row>
    <row r="122" ht="15" customHeight="1">
      <c r="A122" t="inlineStr">
        <is>
          <t>A 21372-2025</t>
        </is>
      </c>
      <c r="B122" s="1" t="n">
        <v>45782.44871527778</v>
      </c>
      <c r="C122" s="1" t="n">
        <v>46002</v>
      </c>
      <c r="D122" t="inlineStr">
        <is>
          <t>JÄMTLANDS LÄN</t>
        </is>
      </c>
      <c r="E122" t="inlineStr">
        <is>
          <t>RAGUNDA</t>
        </is>
      </c>
      <c r="F122" t="inlineStr">
        <is>
          <t>SCA</t>
        </is>
      </c>
      <c r="G122" t="n">
        <v>2.7</v>
      </c>
      <c r="H122" t="n">
        <v>1</v>
      </c>
      <c r="I122" t="n">
        <v>1</v>
      </c>
      <c r="J122" t="n">
        <v>2</v>
      </c>
      <c r="K122" t="n">
        <v>0</v>
      </c>
      <c r="L122" t="n">
        <v>0</v>
      </c>
      <c r="M122" t="n">
        <v>0</v>
      </c>
      <c r="N122" t="n">
        <v>0</v>
      </c>
      <c r="O122" t="n">
        <v>2</v>
      </c>
      <c r="P122" t="n">
        <v>0</v>
      </c>
      <c r="Q122" t="n">
        <v>4</v>
      </c>
      <c r="R122" s="2" t="inlineStr">
        <is>
          <t>Garnlav
Lunglav
Stuplav
Tjäder</t>
        </is>
      </c>
      <c r="S122">
        <f>HYPERLINK("https://klasma.github.io/Logging_2303/artfynd/A 21372-2025 artfynd.xlsx", "A 21372-2025")</f>
        <v/>
      </c>
      <c r="T122">
        <f>HYPERLINK("https://klasma.github.io/Logging_2303/kartor/A 21372-2025 karta.png", "A 21372-2025")</f>
        <v/>
      </c>
      <c r="V122">
        <f>HYPERLINK("https://klasma.github.io/Logging_2303/klagomål/A 21372-2025 FSC-klagomål.docx", "A 21372-2025")</f>
        <v/>
      </c>
      <c r="W122">
        <f>HYPERLINK("https://klasma.github.io/Logging_2303/klagomålsmail/A 21372-2025 FSC-klagomål mail.docx", "A 21372-2025")</f>
        <v/>
      </c>
      <c r="X122">
        <f>HYPERLINK("https://klasma.github.io/Logging_2303/tillsyn/A 21372-2025 tillsynsbegäran.docx", "A 21372-2025")</f>
        <v/>
      </c>
      <c r="Y122">
        <f>HYPERLINK("https://klasma.github.io/Logging_2303/tillsynsmail/A 21372-2025 tillsynsbegäran mail.docx", "A 21372-2025")</f>
        <v/>
      </c>
      <c r="Z122">
        <f>HYPERLINK("https://klasma.github.io/Logging_2303/fåglar/A 21372-2025 prioriterade fågelarter.docx", "A 21372-2025")</f>
        <v/>
      </c>
    </row>
    <row r="123" ht="15" customHeight="1">
      <c r="A123" t="inlineStr">
        <is>
          <t>A 12640-2024</t>
        </is>
      </c>
      <c r="B123" s="1" t="n">
        <v>45384</v>
      </c>
      <c r="C123" s="1" t="n">
        <v>46002</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46002</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48052-2022</t>
        </is>
      </c>
      <c r="B125" s="1" t="n">
        <v>44855</v>
      </c>
      <c r="C125" s="1" t="n">
        <v>46002</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46002</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46002</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46002</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46002</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53022-2022</t>
        </is>
      </c>
      <c r="B130" s="1" t="n">
        <v>44875</v>
      </c>
      <c r="C130" s="1" t="n">
        <v>46002</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25769-2025</t>
        </is>
      </c>
      <c r="B131" s="1" t="n">
        <v>45804.34474537037</v>
      </c>
      <c r="C131" s="1" t="n">
        <v>46002</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30470-2024</t>
        </is>
      </c>
      <c r="B132" s="1" t="n">
        <v>45491.94715277778</v>
      </c>
      <c r="C132" s="1" t="n">
        <v>46002</v>
      </c>
      <c r="D132" t="inlineStr">
        <is>
          <t>JÄMTLANDS LÄN</t>
        </is>
      </c>
      <c r="E132" t="inlineStr">
        <is>
          <t>RAGUNDA</t>
        </is>
      </c>
      <c r="F132" t="inlineStr">
        <is>
          <t>SCA</t>
        </is>
      </c>
      <c r="G132" t="n">
        <v>1.4</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HYPERLINK("https://klasma.github.io/Logging_2303/artfynd/A 30470-2024 artfynd.xlsx", "A 30470-2024")</f>
        <v/>
      </c>
      <c r="T132">
        <f>HYPERLINK("https://klasma.github.io/Logging_2303/kartor/A 30470-2024 karta.png", "A 30470-2024")</f>
        <v/>
      </c>
      <c r="U132">
        <f>HYPERLINK("https://klasma.github.io/Logging_2303/knärot/A 30470-2024 karta knärot.png", "A 30470-2024")</f>
        <v/>
      </c>
      <c r="V132">
        <f>HYPERLINK("https://klasma.github.io/Logging_2303/klagomål/A 30470-2024 FSC-klagomål.docx", "A 30470-2024")</f>
        <v/>
      </c>
      <c r="W132">
        <f>HYPERLINK("https://klasma.github.io/Logging_2303/klagomålsmail/A 30470-2024 FSC-klagomål mail.docx", "A 30470-2024")</f>
        <v/>
      </c>
      <c r="X132">
        <f>HYPERLINK("https://klasma.github.io/Logging_2303/tillsyn/A 30470-2024 tillsynsbegäran.docx", "A 30470-2024")</f>
        <v/>
      </c>
      <c r="Y132">
        <f>HYPERLINK("https://klasma.github.io/Logging_2303/tillsynsmail/A 30470-2024 tillsynsbegäran mail.docx", "A 30470-2024")</f>
        <v/>
      </c>
      <c r="Z132">
        <f>HYPERLINK("https://klasma.github.io/Logging_2303/fåglar/A 30470-2024 prioriterade fågelarter.docx", "A 30470-2024")</f>
        <v/>
      </c>
    </row>
    <row r="133" ht="15" customHeight="1">
      <c r="A133" t="inlineStr">
        <is>
          <t>A 57941-2024</t>
        </is>
      </c>
      <c r="B133" s="1" t="n">
        <v>45631</v>
      </c>
      <c r="C133" s="1" t="n">
        <v>46002</v>
      </c>
      <c r="D133" t="inlineStr">
        <is>
          <t>JÄMTLANDS LÄN</t>
        </is>
      </c>
      <c r="E133" t="inlineStr">
        <is>
          <t>RAGUNDA</t>
        </is>
      </c>
      <c r="F133" t="inlineStr">
        <is>
          <t>SCA</t>
        </is>
      </c>
      <c r="G133" t="n">
        <v>4.2</v>
      </c>
      <c r="H133" t="n">
        <v>1</v>
      </c>
      <c r="I133" t="n">
        <v>0</v>
      </c>
      <c r="J133" t="n">
        <v>3</v>
      </c>
      <c r="K133" t="n">
        <v>0</v>
      </c>
      <c r="L133" t="n">
        <v>0</v>
      </c>
      <c r="M133" t="n">
        <v>0</v>
      </c>
      <c r="N133" t="n">
        <v>0</v>
      </c>
      <c r="O133" t="n">
        <v>3</v>
      </c>
      <c r="P133" t="n">
        <v>0</v>
      </c>
      <c r="Q133" t="n">
        <v>3</v>
      </c>
      <c r="R133" s="2" t="inlineStr">
        <is>
          <t>Garnlav
Lunglav
Tretåig hackspett</t>
        </is>
      </c>
      <c r="S133">
        <f>HYPERLINK("https://klasma.github.io/Logging_2303/artfynd/A 57941-2024 artfynd.xlsx", "A 57941-2024")</f>
        <v/>
      </c>
      <c r="T133">
        <f>HYPERLINK("https://klasma.github.io/Logging_2303/kartor/A 57941-2024 karta.png", "A 57941-2024")</f>
        <v/>
      </c>
      <c r="V133">
        <f>HYPERLINK("https://klasma.github.io/Logging_2303/klagomål/A 57941-2024 FSC-klagomål.docx", "A 57941-2024")</f>
        <v/>
      </c>
      <c r="W133">
        <f>HYPERLINK("https://klasma.github.io/Logging_2303/klagomålsmail/A 57941-2024 FSC-klagomål mail.docx", "A 57941-2024")</f>
        <v/>
      </c>
      <c r="X133">
        <f>HYPERLINK("https://klasma.github.io/Logging_2303/tillsyn/A 57941-2024 tillsynsbegäran.docx", "A 57941-2024")</f>
        <v/>
      </c>
      <c r="Y133">
        <f>HYPERLINK("https://klasma.github.io/Logging_2303/tillsynsmail/A 57941-2024 tillsynsbegäran mail.docx", "A 57941-2024")</f>
        <v/>
      </c>
      <c r="Z133">
        <f>HYPERLINK("https://klasma.github.io/Logging_2303/fåglar/A 57941-2024 prioriterade fågelarter.docx", "A 57941-2024")</f>
        <v/>
      </c>
    </row>
    <row r="134" ht="15" customHeight="1">
      <c r="A134" t="inlineStr">
        <is>
          <t>A 58737-2022</t>
        </is>
      </c>
      <c r="B134" s="1" t="n">
        <v>44902</v>
      </c>
      <c r="C134" s="1" t="n">
        <v>46002</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22571-2025</t>
        </is>
      </c>
      <c r="B135" s="1" t="n">
        <v>45789.36503472222</v>
      </c>
      <c r="C135" s="1" t="n">
        <v>46002</v>
      </c>
      <c r="D135" t="inlineStr">
        <is>
          <t>JÄMTLANDS LÄN</t>
        </is>
      </c>
      <c r="E135" t="inlineStr">
        <is>
          <t>RAGUNDA</t>
        </is>
      </c>
      <c r="F135" t="inlineStr">
        <is>
          <t>SCA</t>
        </is>
      </c>
      <c r="G135" t="n">
        <v>18.2</v>
      </c>
      <c r="H135" t="n">
        <v>2</v>
      </c>
      <c r="I135" t="n">
        <v>0</v>
      </c>
      <c r="J135" t="n">
        <v>2</v>
      </c>
      <c r="K135" t="n">
        <v>0</v>
      </c>
      <c r="L135" t="n">
        <v>0</v>
      </c>
      <c r="M135" t="n">
        <v>0</v>
      </c>
      <c r="N135" t="n">
        <v>0</v>
      </c>
      <c r="O135" t="n">
        <v>2</v>
      </c>
      <c r="P135" t="n">
        <v>0</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34585-2025</t>
        </is>
      </c>
      <c r="B136" s="1" t="n">
        <v>45847.61498842593</v>
      </c>
      <c r="C136" s="1" t="n">
        <v>46002</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28178-2023</t>
        </is>
      </c>
      <c r="B137" s="1" t="n">
        <v>45093</v>
      </c>
      <c r="C137" s="1" t="n">
        <v>46002</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32416-2025</t>
        </is>
      </c>
      <c r="B138" s="1" t="n">
        <v>45838</v>
      </c>
      <c r="C138" s="1" t="n">
        <v>46002</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49047-2023</t>
        </is>
      </c>
      <c r="B139" s="1" t="n">
        <v>45209</v>
      </c>
      <c r="C139" s="1" t="n">
        <v>46002</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57667-2025</t>
        </is>
      </c>
      <c r="B140" s="1" t="n">
        <v>45981.42767361111</v>
      </c>
      <c r="C140" s="1" t="n">
        <v>46002</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14814-2024</t>
        </is>
      </c>
      <c r="B141" s="1" t="n">
        <v>45397.95748842593</v>
      </c>
      <c r="C141" s="1" t="n">
        <v>46002</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46002</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7519-2023</t>
        </is>
      </c>
      <c r="B143" s="1" t="n">
        <v>44971</v>
      </c>
      <c r="C143" s="1" t="n">
        <v>46002</v>
      </c>
      <c r="D143" t="inlineStr">
        <is>
          <t>JÄMTLANDS LÄN</t>
        </is>
      </c>
      <c r="E143" t="inlineStr">
        <is>
          <t>RAGUNDA</t>
        </is>
      </c>
      <c r="F143" t="inlineStr">
        <is>
          <t>SCA</t>
        </is>
      </c>
      <c r="G143" t="n">
        <v>3.2</v>
      </c>
      <c r="H143" t="n">
        <v>0</v>
      </c>
      <c r="I143" t="n">
        <v>1</v>
      </c>
      <c r="J143" t="n">
        <v>2</v>
      </c>
      <c r="K143" t="n">
        <v>0</v>
      </c>
      <c r="L143" t="n">
        <v>0</v>
      </c>
      <c r="M143" t="n">
        <v>0</v>
      </c>
      <c r="N143" t="n">
        <v>0</v>
      </c>
      <c r="O143" t="n">
        <v>2</v>
      </c>
      <c r="P143" t="n">
        <v>0</v>
      </c>
      <c r="Q143" t="n">
        <v>3</v>
      </c>
      <c r="R143" s="2" t="inlineStr">
        <is>
          <t>Granticka
Lunglav
Stor aspticka</t>
        </is>
      </c>
      <c r="S143">
        <f>HYPERLINK("https://klasma.github.io/Logging_2303/artfynd/A 7519-2023 artfynd.xlsx", "A 7519-2023")</f>
        <v/>
      </c>
      <c r="T143">
        <f>HYPERLINK("https://klasma.github.io/Logging_2303/kartor/A 7519-2023 karta.png", "A 7519-2023")</f>
        <v/>
      </c>
      <c r="V143">
        <f>HYPERLINK("https://klasma.github.io/Logging_2303/klagomål/A 7519-2023 FSC-klagomål.docx", "A 7519-2023")</f>
        <v/>
      </c>
      <c r="W143">
        <f>HYPERLINK("https://klasma.github.io/Logging_2303/klagomålsmail/A 7519-2023 FSC-klagomål mail.docx", "A 7519-2023")</f>
        <v/>
      </c>
      <c r="X143">
        <f>HYPERLINK("https://klasma.github.io/Logging_2303/tillsyn/A 7519-2023 tillsynsbegäran.docx", "A 7519-2023")</f>
        <v/>
      </c>
      <c r="Y143">
        <f>HYPERLINK("https://klasma.github.io/Logging_2303/tillsynsmail/A 7519-2023 tillsynsbegäran mail.docx", "A 7519-2023")</f>
        <v/>
      </c>
    </row>
    <row r="144" ht="15" customHeight="1">
      <c r="A144" t="inlineStr">
        <is>
          <t>A 59179-2025</t>
        </is>
      </c>
      <c r="B144" s="1" t="n">
        <v>45988.57350694444</v>
      </c>
      <c r="C144" s="1" t="n">
        <v>46002</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12737-2025</t>
        </is>
      </c>
      <c r="B145" s="1" t="n">
        <v>45733</v>
      </c>
      <c r="C145" s="1" t="n">
        <v>46002</v>
      </c>
      <c r="D145" t="inlineStr">
        <is>
          <t>JÄMTLANDS LÄN</t>
        </is>
      </c>
      <c r="E145" t="inlineStr">
        <is>
          <t>RAGUNDA</t>
        </is>
      </c>
      <c r="G145" t="n">
        <v>16.1</v>
      </c>
      <c r="H145" t="n">
        <v>2</v>
      </c>
      <c r="I145" t="n">
        <v>2</v>
      </c>
      <c r="J145" t="n">
        <v>0</v>
      </c>
      <c r="K145" t="n">
        <v>1</v>
      </c>
      <c r="L145" t="n">
        <v>0</v>
      </c>
      <c r="M145" t="n">
        <v>0</v>
      </c>
      <c r="N145" t="n">
        <v>0</v>
      </c>
      <c r="O145" t="n">
        <v>1</v>
      </c>
      <c r="P145" t="n">
        <v>1</v>
      </c>
      <c r="Q145" t="n">
        <v>3</v>
      </c>
      <c r="R145" s="2" t="inlineStr">
        <is>
          <t>Knärot
Plattlummer
Skarp dropptaggsvamp</t>
        </is>
      </c>
      <c r="S145">
        <f>HYPERLINK("https://klasma.github.io/Logging_2303/artfynd/A 12737-2025 artfynd.xlsx", "A 12737-2025")</f>
        <v/>
      </c>
      <c r="T145">
        <f>HYPERLINK("https://klasma.github.io/Logging_2303/kartor/A 12737-2025 karta.png", "A 12737-2025")</f>
        <v/>
      </c>
      <c r="U145">
        <f>HYPERLINK("https://klasma.github.io/Logging_2303/knärot/A 12737-2025 karta knärot.png", "A 12737-2025")</f>
        <v/>
      </c>
      <c r="V145">
        <f>HYPERLINK("https://klasma.github.io/Logging_2303/klagomål/A 12737-2025 FSC-klagomål.docx", "A 12737-2025")</f>
        <v/>
      </c>
      <c r="W145">
        <f>HYPERLINK("https://klasma.github.io/Logging_2303/klagomålsmail/A 12737-2025 FSC-klagomål mail.docx", "A 12737-2025")</f>
        <v/>
      </c>
      <c r="X145">
        <f>HYPERLINK("https://klasma.github.io/Logging_2303/tillsyn/A 12737-2025 tillsynsbegäran.docx", "A 12737-2025")</f>
        <v/>
      </c>
      <c r="Y145">
        <f>HYPERLINK("https://klasma.github.io/Logging_2303/tillsynsmail/A 12737-2025 tillsynsbegäran mail.docx", "A 12737-2025")</f>
        <v/>
      </c>
    </row>
    <row r="146" ht="15" customHeight="1">
      <c r="A146" t="inlineStr">
        <is>
          <t>A 5048-2025</t>
        </is>
      </c>
      <c r="B146" s="1" t="n">
        <v>45691.44769675926</v>
      </c>
      <c r="C146" s="1" t="n">
        <v>46002</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61790-2023</t>
        </is>
      </c>
      <c r="B147" s="1" t="n">
        <v>45265</v>
      </c>
      <c r="C147" s="1" t="n">
        <v>46002</v>
      </c>
      <c r="D147" t="inlineStr">
        <is>
          <t>JÄMTLANDS LÄN</t>
        </is>
      </c>
      <c r="E147" t="inlineStr">
        <is>
          <t>RAGUNDA</t>
        </is>
      </c>
      <c r="F147" t="inlineStr">
        <is>
          <t>SCA</t>
        </is>
      </c>
      <c r="G147" t="n">
        <v>6.1</v>
      </c>
      <c r="H147" t="n">
        <v>0</v>
      </c>
      <c r="I147" t="n">
        <v>0</v>
      </c>
      <c r="J147" t="n">
        <v>3</v>
      </c>
      <c r="K147" t="n">
        <v>0</v>
      </c>
      <c r="L147" t="n">
        <v>0</v>
      </c>
      <c r="M147" t="n">
        <v>0</v>
      </c>
      <c r="N147" t="n">
        <v>0</v>
      </c>
      <c r="O147" t="n">
        <v>3</v>
      </c>
      <c r="P147" t="n">
        <v>0</v>
      </c>
      <c r="Q147" t="n">
        <v>3</v>
      </c>
      <c r="R147" s="2" t="inlineStr">
        <is>
          <t>Gammelgransskål
Lunglav
Skrovellav</t>
        </is>
      </c>
      <c r="S147">
        <f>HYPERLINK("https://klasma.github.io/Logging_2303/artfynd/A 61790-2023 artfynd.xlsx", "A 61790-2023")</f>
        <v/>
      </c>
      <c r="T147">
        <f>HYPERLINK("https://klasma.github.io/Logging_2303/kartor/A 61790-2023 karta.png", "A 61790-2023")</f>
        <v/>
      </c>
      <c r="V147">
        <f>HYPERLINK("https://klasma.github.io/Logging_2303/klagomål/A 61790-2023 FSC-klagomål.docx", "A 61790-2023")</f>
        <v/>
      </c>
      <c r="W147">
        <f>HYPERLINK("https://klasma.github.io/Logging_2303/klagomålsmail/A 61790-2023 FSC-klagomål mail.docx", "A 61790-2023")</f>
        <v/>
      </c>
      <c r="X147">
        <f>HYPERLINK("https://klasma.github.io/Logging_2303/tillsyn/A 61790-2023 tillsynsbegäran.docx", "A 61790-2023")</f>
        <v/>
      </c>
      <c r="Y147">
        <f>HYPERLINK("https://klasma.github.io/Logging_2303/tillsynsmail/A 61790-2023 tillsynsbegäran mail.docx", "A 61790-2023")</f>
        <v/>
      </c>
    </row>
    <row r="148" ht="15" customHeight="1">
      <c r="A148" t="inlineStr">
        <is>
          <t>A 48054-2022</t>
        </is>
      </c>
      <c r="B148" s="1" t="n">
        <v>44855</v>
      </c>
      <c r="C148" s="1" t="n">
        <v>46002</v>
      </c>
      <c r="D148" t="inlineStr">
        <is>
          <t>JÄMTLANDS LÄN</t>
        </is>
      </c>
      <c r="E148" t="inlineStr">
        <is>
          <t>RAGUNDA</t>
        </is>
      </c>
      <c r="F148" t="inlineStr">
        <is>
          <t>SCA</t>
        </is>
      </c>
      <c r="G148" t="n">
        <v>1.5</v>
      </c>
      <c r="H148" t="n">
        <v>2</v>
      </c>
      <c r="I148" t="n">
        <v>0</v>
      </c>
      <c r="J148" t="n">
        <v>1</v>
      </c>
      <c r="K148" t="n">
        <v>1</v>
      </c>
      <c r="L148" t="n">
        <v>0</v>
      </c>
      <c r="M148" t="n">
        <v>0</v>
      </c>
      <c r="N148" t="n">
        <v>0</v>
      </c>
      <c r="O148" t="n">
        <v>2</v>
      </c>
      <c r="P148" t="n">
        <v>1</v>
      </c>
      <c r="Q148" t="n">
        <v>3</v>
      </c>
      <c r="R148" s="2" t="inlineStr">
        <is>
          <t>Knärot
Lunglav
Blåsippa</t>
        </is>
      </c>
      <c r="S148">
        <f>HYPERLINK("https://klasma.github.io/Logging_2303/artfynd/A 48054-2022 artfynd.xlsx", "A 48054-2022")</f>
        <v/>
      </c>
      <c r="T148">
        <f>HYPERLINK("https://klasma.github.io/Logging_2303/kartor/A 48054-2022 karta.png", "A 48054-2022")</f>
        <v/>
      </c>
      <c r="U148">
        <f>HYPERLINK("https://klasma.github.io/Logging_2303/knärot/A 48054-2022 karta knärot.png", "A 48054-2022")</f>
        <v/>
      </c>
      <c r="V148">
        <f>HYPERLINK("https://klasma.github.io/Logging_2303/klagomål/A 48054-2022 FSC-klagomål.docx", "A 48054-2022")</f>
        <v/>
      </c>
      <c r="W148">
        <f>HYPERLINK("https://klasma.github.io/Logging_2303/klagomålsmail/A 48054-2022 FSC-klagomål mail.docx", "A 48054-2022")</f>
        <v/>
      </c>
      <c r="X148">
        <f>HYPERLINK("https://klasma.github.io/Logging_2303/tillsyn/A 48054-2022 tillsynsbegäran.docx", "A 48054-2022")</f>
        <v/>
      </c>
      <c r="Y148">
        <f>HYPERLINK("https://klasma.github.io/Logging_2303/tillsynsmail/A 48054-2022 tillsynsbegäran mail.docx", "A 48054-2022")</f>
        <v/>
      </c>
    </row>
    <row r="149" ht="15" customHeight="1">
      <c r="A149" t="inlineStr">
        <is>
          <t>A 20776-2024</t>
        </is>
      </c>
      <c r="B149" s="1" t="n">
        <v>45436.94686342592</v>
      </c>
      <c r="C149" s="1" t="n">
        <v>46002</v>
      </c>
      <c r="D149" t="inlineStr">
        <is>
          <t>JÄMTLANDS LÄN</t>
        </is>
      </c>
      <c r="E149" t="inlineStr">
        <is>
          <t>RAGUNDA</t>
        </is>
      </c>
      <c r="F149" t="inlineStr">
        <is>
          <t>SCA</t>
        </is>
      </c>
      <c r="G149" t="n">
        <v>5.2</v>
      </c>
      <c r="H149" t="n">
        <v>0</v>
      </c>
      <c r="I149" t="n">
        <v>0</v>
      </c>
      <c r="J149" t="n">
        <v>2</v>
      </c>
      <c r="K149" t="n">
        <v>1</v>
      </c>
      <c r="L149" t="n">
        <v>0</v>
      </c>
      <c r="M149" t="n">
        <v>0</v>
      </c>
      <c r="N149" t="n">
        <v>0</v>
      </c>
      <c r="O149" t="n">
        <v>3</v>
      </c>
      <c r="P149" t="n">
        <v>1</v>
      </c>
      <c r="Q149" t="n">
        <v>3</v>
      </c>
      <c r="R149" s="2" t="inlineStr">
        <is>
          <t>Liten hornflikmossa
Garnlav
Vedtrappmossa</t>
        </is>
      </c>
      <c r="S149">
        <f>HYPERLINK("https://klasma.github.io/Logging_2303/artfynd/A 20776-2024 artfynd.xlsx", "A 20776-2024")</f>
        <v/>
      </c>
      <c r="T149">
        <f>HYPERLINK("https://klasma.github.io/Logging_2303/kartor/A 20776-2024 karta.png", "A 20776-2024")</f>
        <v/>
      </c>
      <c r="V149">
        <f>HYPERLINK("https://klasma.github.io/Logging_2303/klagomål/A 20776-2024 FSC-klagomål.docx", "A 20776-2024")</f>
        <v/>
      </c>
      <c r="W149">
        <f>HYPERLINK("https://klasma.github.io/Logging_2303/klagomålsmail/A 20776-2024 FSC-klagomål mail.docx", "A 20776-2024")</f>
        <v/>
      </c>
      <c r="X149">
        <f>HYPERLINK("https://klasma.github.io/Logging_2303/tillsyn/A 20776-2024 tillsynsbegäran.docx", "A 20776-2024")</f>
        <v/>
      </c>
      <c r="Y149">
        <f>HYPERLINK("https://klasma.github.io/Logging_2303/tillsynsmail/A 20776-2024 tillsynsbegäran mail.docx", "A 20776-2024")</f>
        <v/>
      </c>
    </row>
    <row r="150" ht="15" customHeight="1">
      <c r="A150" t="inlineStr">
        <is>
          <t>A 36504-2023</t>
        </is>
      </c>
      <c r="B150" s="1" t="n">
        <v>45152</v>
      </c>
      <c r="C150" s="1" t="n">
        <v>46002</v>
      </c>
      <c r="D150" t="inlineStr">
        <is>
          <t>JÄMTLANDS LÄN</t>
        </is>
      </c>
      <c r="E150" t="inlineStr">
        <is>
          <t>RAGUNDA</t>
        </is>
      </c>
      <c r="F150" t="inlineStr">
        <is>
          <t>SCA</t>
        </is>
      </c>
      <c r="G150" t="n">
        <v>2</v>
      </c>
      <c r="H150" t="n">
        <v>0</v>
      </c>
      <c r="I150" t="n">
        <v>0</v>
      </c>
      <c r="J150" t="n">
        <v>3</v>
      </c>
      <c r="K150" t="n">
        <v>0</v>
      </c>
      <c r="L150" t="n">
        <v>0</v>
      </c>
      <c r="M150" t="n">
        <v>0</v>
      </c>
      <c r="N150" t="n">
        <v>0</v>
      </c>
      <c r="O150" t="n">
        <v>3</v>
      </c>
      <c r="P150" t="n">
        <v>0</v>
      </c>
      <c r="Q150" t="n">
        <v>3</v>
      </c>
      <c r="R150" s="2" t="inlineStr">
        <is>
          <t>Gammelgransskål
Garnlav
Granticka</t>
        </is>
      </c>
      <c r="S150">
        <f>HYPERLINK("https://klasma.github.io/Logging_2303/artfynd/A 36504-2023 artfynd.xlsx", "A 36504-2023")</f>
        <v/>
      </c>
      <c r="T150">
        <f>HYPERLINK("https://klasma.github.io/Logging_2303/kartor/A 36504-2023 karta.png", "A 36504-2023")</f>
        <v/>
      </c>
      <c r="V150">
        <f>HYPERLINK("https://klasma.github.io/Logging_2303/klagomål/A 36504-2023 FSC-klagomål.docx", "A 36504-2023")</f>
        <v/>
      </c>
      <c r="W150">
        <f>HYPERLINK("https://klasma.github.io/Logging_2303/klagomålsmail/A 36504-2023 FSC-klagomål mail.docx", "A 36504-2023")</f>
        <v/>
      </c>
      <c r="X150">
        <f>HYPERLINK("https://klasma.github.io/Logging_2303/tillsyn/A 36504-2023 tillsynsbegäran.docx", "A 36504-2023")</f>
        <v/>
      </c>
      <c r="Y150">
        <f>HYPERLINK("https://klasma.github.io/Logging_2303/tillsynsmail/A 36504-2023 tillsynsbegäran mail.docx", "A 36504-2023")</f>
        <v/>
      </c>
    </row>
    <row r="151" ht="15" customHeight="1">
      <c r="A151" t="inlineStr">
        <is>
          <t>A 16305-2025</t>
        </is>
      </c>
      <c r="B151" s="1" t="n">
        <v>45751.34650462963</v>
      </c>
      <c r="C151" s="1" t="n">
        <v>46002</v>
      </c>
      <c r="D151" t="inlineStr">
        <is>
          <t>JÄMTLANDS LÄN</t>
        </is>
      </c>
      <c r="E151" t="inlineStr">
        <is>
          <t>RAGUNDA</t>
        </is>
      </c>
      <c r="F151" t="inlineStr">
        <is>
          <t>SCA</t>
        </is>
      </c>
      <c r="G151" t="n">
        <v>2.5</v>
      </c>
      <c r="H151" t="n">
        <v>0</v>
      </c>
      <c r="I151" t="n">
        <v>2</v>
      </c>
      <c r="J151" t="n">
        <v>1</v>
      </c>
      <c r="K151" t="n">
        <v>0</v>
      </c>
      <c r="L151" t="n">
        <v>0</v>
      </c>
      <c r="M151" t="n">
        <v>0</v>
      </c>
      <c r="N151" t="n">
        <v>0</v>
      </c>
      <c r="O151" t="n">
        <v>1</v>
      </c>
      <c r="P151" t="n">
        <v>0</v>
      </c>
      <c r="Q151" t="n">
        <v>3</v>
      </c>
      <c r="R151" s="2" t="inlineStr">
        <is>
          <t>Lunglav
Bollvitmossa
Källmossa</t>
        </is>
      </c>
      <c r="S151">
        <f>HYPERLINK("https://klasma.github.io/Logging_2303/artfynd/A 16305-2025 artfynd.xlsx", "A 16305-2025")</f>
        <v/>
      </c>
      <c r="T151">
        <f>HYPERLINK("https://klasma.github.io/Logging_2303/kartor/A 16305-2025 karta.png", "A 16305-2025")</f>
        <v/>
      </c>
      <c r="V151">
        <f>HYPERLINK("https://klasma.github.io/Logging_2303/klagomål/A 16305-2025 FSC-klagomål.docx", "A 16305-2025")</f>
        <v/>
      </c>
      <c r="W151">
        <f>HYPERLINK("https://klasma.github.io/Logging_2303/klagomålsmail/A 16305-2025 FSC-klagomål mail.docx", "A 16305-2025")</f>
        <v/>
      </c>
      <c r="X151">
        <f>HYPERLINK("https://klasma.github.io/Logging_2303/tillsyn/A 16305-2025 tillsynsbegäran.docx", "A 16305-2025")</f>
        <v/>
      </c>
      <c r="Y151">
        <f>HYPERLINK("https://klasma.github.io/Logging_2303/tillsynsmail/A 16305-2025 tillsynsbegäran mail.docx", "A 16305-2025")</f>
        <v/>
      </c>
    </row>
    <row r="152" ht="15" customHeight="1">
      <c r="A152" t="inlineStr">
        <is>
          <t>A 22730-2023</t>
        </is>
      </c>
      <c r="B152" s="1" t="n">
        <v>45071</v>
      </c>
      <c r="C152" s="1" t="n">
        <v>46002</v>
      </c>
      <c r="D152" t="inlineStr">
        <is>
          <t>JÄMTLANDS LÄN</t>
        </is>
      </c>
      <c r="E152" t="inlineStr">
        <is>
          <t>RAGUNDA</t>
        </is>
      </c>
      <c r="G152" t="n">
        <v>3.6</v>
      </c>
      <c r="H152" t="n">
        <v>0</v>
      </c>
      <c r="I152" t="n">
        <v>0</v>
      </c>
      <c r="J152" t="n">
        <v>3</v>
      </c>
      <c r="K152" t="n">
        <v>0</v>
      </c>
      <c r="L152" t="n">
        <v>0</v>
      </c>
      <c r="M152" t="n">
        <v>0</v>
      </c>
      <c r="N152" t="n">
        <v>0</v>
      </c>
      <c r="O152" t="n">
        <v>3</v>
      </c>
      <c r="P152" t="n">
        <v>0</v>
      </c>
      <c r="Q152" t="n">
        <v>3</v>
      </c>
      <c r="R152" s="2" t="inlineStr">
        <is>
          <t>Garnlav
Lunglav
Vitgrynig nållav</t>
        </is>
      </c>
      <c r="S152">
        <f>HYPERLINK("https://klasma.github.io/Logging_2303/artfynd/A 22730-2023 artfynd.xlsx", "A 22730-2023")</f>
        <v/>
      </c>
      <c r="T152">
        <f>HYPERLINK("https://klasma.github.io/Logging_2303/kartor/A 22730-2023 karta.png", "A 22730-2023")</f>
        <v/>
      </c>
      <c r="V152">
        <f>HYPERLINK("https://klasma.github.io/Logging_2303/klagomål/A 22730-2023 FSC-klagomål.docx", "A 22730-2023")</f>
        <v/>
      </c>
      <c r="W152">
        <f>HYPERLINK("https://klasma.github.io/Logging_2303/klagomålsmail/A 22730-2023 FSC-klagomål mail.docx", "A 22730-2023")</f>
        <v/>
      </c>
      <c r="X152">
        <f>HYPERLINK("https://klasma.github.io/Logging_2303/tillsyn/A 22730-2023 tillsynsbegäran.docx", "A 22730-2023")</f>
        <v/>
      </c>
      <c r="Y152">
        <f>HYPERLINK("https://klasma.github.io/Logging_2303/tillsynsmail/A 22730-2023 tillsynsbegäran mail.docx", "A 22730-2023")</f>
        <v/>
      </c>
    </row>
    <row r="153" ht="15" customHeight="1">
      <c r="A153" t="inlineStr">
        <is>
          <t>A 33432-2023</t>
        </is>
      </c>
      <c r="B153" s="1" t="n">
        <v>45128</v>
      </c>
      <c r="C153" s="1" t="n">
        <v>46002</v>
      </c>
      <c r="D153" t="inlineStr">
        <is>
          <t>JÄMTLANDS LÄN</t>
        </is>
      </c>
      <c r="E153" t="inlineStr">
        <is>
          <t>RAGUNDA</t>
        </is>
      </c>
      <c r="F153" t="inlineStr">
        <is>
          <t>SCA</t>
        </is>
      </c>
      <c r="G153" t="n">
        <v>10</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33432-2023 artfynd.xlsx", "A 33432-2023")</f>
        <v/>
      </c>
      <c r="T153">
        <f>HYPERLINK("https://klasma.github.io/Logging_2303/kartor/A 33432-2023 karta.png", "A 33432-2023")</f>
        <v/>
      </c>
      <c r="V153">
        <f>HYPERLINK("https://klasma.github.io/Logging_2303/klagomål/A 33432-2023 FSC-klagomål.docx", "A 33432-2023")</f>
        <v/>
      </c>
      <c r="W153">
        <f>HYPERLINK("https://klasma.github.io/Logging_2303/klagomålsmail/A 33432-2023 FSC-klagomål mail.docx", "A 33432-2023")</f>
        <v/>
      </c>
      <c r="X153">
        <f>HYPERLINK("https://klasma.github.io/Logging_2303/tillsyn/A 33432-2023 tillsynsbegäran.docx", "A 33432-2023")</f>
        <v/>
      </c>
      <c r="Y153">
        <f>HYPERLINK("https://klasma.github.io/Logging_2303/tillsynsmail/A 33432-2023 tillsynsbegäran mail.docx", "A 33432-2023")</f>
        <v/>
      </c>
      <c r="Z153">
        <f>HYPERLINK("https://klasma.github.io/Logging_2303/fåglar/A 33432-2023 prioriterade fågelarter.docx", "A 33432-2023")</f>
        <v/>
      </c>
    </row>
    <row r="154" ht="15" customHeight="1">
      <c r="A154" t="inlineStr">
        <is>
          <t>A 21248-2025</t>
        </is>
      </c>
      <c r="B154" s="1" t="n">
        <v>45779.57392361111</v>
      </c>
      <c r="C154" s="1" t="n">
        <v>46002</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17043-2022</t>
        </is>
      </c>
      <c r="B155" s="1" t="n">
        <v>44676</v>
      </c>
      <c r="C155" s="1" t="n">
        <v>46002</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21037-2021</t>
        </is>
      </c>
      <c r="B156" s="1" t="n">
        <v>44319</v>
      </c>
      <c r="C156" s="1" t="n">
        <v>46002</v>
      </c>
      <c r="D156" t="inlineStr">
        <is>
          <t>JÄMTLANDS LÄN</t>
        </is>
      </c>
      <c r="E156" t="inlineStr">
        <is>
          <t>RAGUNDA</t>
        </is>
      </c>
      <c r="F156" t="inlineStr">
        <is>
          <t>Kyrkan</t>
        </is>
      </c>
      <c r="G156" t="n">
        <v>0.8</v>
      </c>
      <c r="H156" t="n">
        <v>0</v>
      </c>
      <c r="I156" t="n">
        <v>0</v>
      </c>
      <c r="J156" t="n">
        <v>2</v>
      </c>
      <c r="K156" t="n">
        <v>0</v>
      </c>
      <c r="L156" t="n">
        <v>0</v>
      </c>
      <c r="M156" t="n">
        <v>0</v>
      </c>
      <c r="N156" t="n">
        <v>0</v>
      </c>
      <c r="O156" t="n">
        <v>2</v>
      </c>
      <c r="P156" t="n">
        <v>0</v>
      </c>
      <c r="Q156" t="n">
        <v>2</v>
      </c>
      <c r="R156" s="2" t="inlineStr">
        <is>
          <t>Olivbrun gytterlav
Persiljespindling</t>
        </is>
      </c>
      <c r="S156">
        <f>HYPERLINK("https://klasma.github.io/Logging_2303/artfynd/A 21037-2021 artfynd.xlsx", "A 21037-2021")</f>
        <v/>
      </c>
      <c r="T156">
        <f>HYPERLINK("https://klasma.github.io/Logging_2303/kartor/A 21037-2021 karta.png", "A 21037-2021")</f>
        <v/>
      </c>
      <c r="V156">
        <f>HYPERLINK("https://klasma.github.io/Logging_2303/klagomål/A 21037-2021 FSC-klagomål.docx", "A 21037-2021")</f>
        <v/>
      </c>
      <c r="W156">
        <f>HYPERLINK("https://klasma.github.io/Logging_2303/klagomålsmail/A 21037-2021 FSC-klagomål mail.docx", "A 21037-2021")</f>
        <v/>
      </c>
      <c r="X156">
        <f>HYPERLINK("https://klasma.github.io/Logging_2303/tillsyn/A 21037-2021 tillsynsbegäran.docx", "A 21037-2021")</f>
        <v/>
      </c>
      <c r="Y156">
        <f>HYPERLINK("https://klasma.github.io/Logging_2303/tillsynsmail/A 21037-2021 tillsynsbegäran mail.docx", "A 21037-2021")</f>
        <v/>
      </c>
    </row>
    <row r="157" ht="15" customHeight="1">
      <c r="A157" t="inlineStr">
        <is>
          <t>A 48059-2022</t>
        </is>
      </c>
      <c r="B157" s="1" t="n">
        <v>44855</v>
      </c>
      <c r="C157" s="1" t="n">
        <v>46002</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19384-2025</t>
        </is>
      </c>
      <c r="B158" s="1" t="n">
        <v>45769.65692129629</v>
      </c>
      <c r="C158" s="1" t="n">
        <v>46002</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25155-2025</t>
        </is>
      </c>
      <c r="B159" s="1" t="n">
        <v>45800.42782407408</v>
      </c>
      <c r="C159" s="1" t="n">
        <v>46002</v>
      </c>
      <c r="D159" t="inlineStr">
        <is>
          <t>JÄMTLANDS LÄN</t>
        </is>
      </c>
      <c r="E159" t="inlineStr">
        <is>
          <t>RAGUNDA</t>
        </is>
      </c>
      <c r="F159" t="inlineStr">
        <is>
          <t>SCA</t>
        </is>
      </c>
      <c r="G159" t="n">
        <v>1.7</v>
      </c>
      <c r="H159" t="n">
        <v>1</v>
      </c>
      <c r="I159" t="n">
        <v>0</v>
      </c>
      <c r="J159" t="n">
        <v>1</v>
      </c>
      <c r="K159" t="n">
        <v>0</v>
      </c>
      <c r="L159" t="n">
        <v>0</v>
      </c>
      <c r="M159" t="n">
        <v>0</v>
      </c>
      <c r="N159" t="n">
        <v>0</v>
      </c>
      <c r="O159" t="n">
        <v>1</v>
      </c>
      <c r="P159" t="n">
        <v>0</v>
      </c>
      <c r="Q159" t="n">
        <v>2</v>
      </c>
      <c r="R159" s="2" t="inlineStr">
        <is>
          <t>Leptoporus mollis
Fläcknycklar</t>
        </is>
      </c>
      <c r="S159">
        <f>HYPERLINK("https://klasma.github.io/Logging_2303/artfynd/A 25155-2025 artfynd.xlsx", "A 25155-2025")</f>
        <v/>
      </c>
      <c r="T159">
        <f>HYPERLINK("https://klasma.github.io/Logging_2303/kartor/A 25155-2025 karta.png", "A 25155-2025")</f>
        <v/>
      </c>
      <c r="V159">
        <f>HYPERLINK("https://klasma.github.io/Logging_2303/klagomål/A 25155-2025 FSC-klagomål.docx", "A 25155-2025")</f>
        <v/>
      </c>
      <c r="W159">
        <f>HYPERLINK("https://klasma.github.io/Logging_2303/klagomålsmail/A 25155-2025 FSC-klagomål mail.docx", "A 25155-2025")</f>
        <v/>
      </c>
      <c r="X159">
        <f>HYPERLINK("https://klasma.github.io/Logging_2303/tillsyn/A 25155-2025 tillsynsbegäran.docx", "A 25155-2025")</f>
        <v/>
      </c>
      <c r="Y159">
        <f>HYPERLINK("https://klasma.github.io/Logging_2303/tillsynsmail/A 25155-2025 tillsynsbegäran mail.docx", "A 25155-2025")</f>
        <v/>
      </c>
    </row>
    <row r="160" ht="15" customHeight="1">
      <c r="A160" t="inlineStr">
        <is>
          <t>A 32736-2023</t>
        </is>
      </c>
      <c r="B160" s="1" t="n">
        <v>45121</v>
      </c>
      <c r="C160" s="1" t="n">
        <v>46002</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57940-2024</t>
        </is>
      </c>
      <c r="B161" s="1" t="n">
        <v>45631</v>
      </c>
      <c r="C161" s="1" t="n">
        <v>46002</v>
      </c>
      <c r="D161" t="inlineStr">
        <is>
          <t>JÄMTLANDS LÄN</t>
        </is>
      </c>
      <c r="E161" t="inlineStr">
        <is>
          <t>RAGUNDA</t>
        </is>
      </c>
      <c r="F161" t="inlineStr">
        <is>
          <t>SCA</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HYPERLINK("https://klasma.github.io/Logging_2303/artfynd/A 57940-2024 artfynd.xlsx", "A 57940-2024")</f>
        <v/>
      </c>
      <c r="T161">
        <f>HYPERLINK("https://klasma.github.io/Logging_2303/kartor/A 57940-2024 karta.png", "A 57940-2024")</f>
        <v/>
      </c>
      <c r="V161">
        <f>HYPERLINK("https://klasma.github.io/Logging_2303/klagomål/A 57940-2024 FSC-klagomål.docx", "A 57940-2024")</f>
        <v/>
      </c>
      <c r="W161">
        <f>HYPERLINK("https://klasma.github.io/Logging_2303/klagomålsmail/A 57940-2024 FSC-klagomål mail.docx", "A 57940-2024")</f>
        <v/>
      </c>
      <c r="X161">
        <f>HYPERLINK("https://klasma.github.io/Logging_2303/tillsyn/A 57940-2024 tillsynsbegäran.docx", "A 57940-2024")</f>
        <v/>
      </c>
      <c r="Y161">
        <f>HYPERLINK("https://klasma.github.io/Logging_2303/tillsynsmail/A 57940-2024 tillsynsbegäran mail.docx", "A 57940-2024")</f>
        <v/>
      </c>
      <c r="Z161">
        <f>HYPERLINK("https://klasma.github.io/Logging_2303/fåglar/A 57940-2024 prioriterade fågelarter.docx", "A 57940-2024")</f>
        <v/>
      </c>
    </row>
    <row r="162" ht="15" customHeight="1">
      <c r="A162" t="inlineStr">
        <is>
          <t>A 55647-2023</t>
        </is>
      </c>
      <c r="B162" s="1" t="n">
        <v>45238</v>
      </c>
      <c r="C162" s="1" t="n">
        <v>46002</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48427-2023</t>
        </is>
      </c>
      <c r="B163" s="1" t="n">
        <v>45205</v>
      </c>
      <c r="C163" s="1" t="n">
        <v>46002</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47267-2022</t>
        </is>
      </c>
      <c r="B164" s="1" t="n">
        <v>44852</v>
      </c>
      <c r="C164" s="1" t="n">
        <v>46002</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46002</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31960-2025</t>
        </is>
      </c>
      <c r="B166" s="1" t="n">
        <v>45835.344375</v>
      </c>
      <c r="C166" s="1" t="n">
        <v>46002</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35131-2025</t>
        </is>
      </c>
      <c r="B167" s="1" t="n">
        <v>45852.63597222222</v>
      </c>
      <c r="C167" s="1" t="n">
        <v>46002</v>
      </c>
      <c r="D167" t="inlineStr">
        <is>
          <t>JÄMTLANDS LÄN</t>
        </is>
      </c>
      <c r="E167" t="inlineStr">
        <is>
          <t>RAGUNDA</t>
        </is>
      </c>
      <c r="F167" t="inlineStr">
        <is>
          <t>SCA</t>
        </is>
      </c>
      <c r="G167" t="n">
        <v>6.9</v>
      </c>
      <c r="H167" t="n">
        <v>1</v>
      </c>
      <c r="I167" t="n">
        <v>1</v>
      </c>
      <c r="J167" t="n">
        <v>0</v>
      </c>
      <c r="K167" t="n">
        <v>0</v>
      </c>
      <c r="L167" t="n">
        <v>0</v>
      </c>
      <c r="M167" t="n">
        <v>0</v>
      </c>
      <c r="N167" t="n">
        <v>0</v>
      </c>
      <c r="O167" t="n">
        <v>0</v>
      </c>
      <c r="P167" t="n">
        <v>0</v>
      </c>
      <c r="Q167" t="n">
        <v>2</v>
      </c>
      <c r="R167" s="2" t="inlineStr">
        <is>
          <t>Ögonpyrola
Nattviol</t>
        </is>
      </c>
      <c r="S167">
        <f>HYPERLINK("https://klasma.github.io/Logging_2303/artfynd/A 35131-2025 artfynd.xlsx", "A 35131-2025")</f>
        <v/>
      </c>
      <c r="T167">
        <f>HYPERLINK("https://klasma.github.io/Logging_2303/kartor/A 35131-2025 karta.png", "A 35131-2025")</f>
        <v/>
      </c>
      <c r="V167">
        <f>HYPERLINK("https://klasma.github.io/Logging_2303/klagomål/A 35131-2025 FSC-klagomål.docx", "A 35131-2025")</f>
        <v/>
      </c>
      <c r="W167">
        <f>HYPERLINK("https://klasma.github.io/Logging_2303/klagomålsmail/A 35131-2025 FSC-klagomål mail.docx", "A 35131-2025")</f>
        <v/>
      </c>
      <c r="X167">
        <f>HYPERLINK("https://klasma.github.io/Logging_2303/tillsyn/A 35131-2025 tillsynsbegäran.docx", "A 35131-2025")</f>
        <v/>
      </c>
      <c r="Y167">
        <f>HYPERLINK("https://klasma.github.io/Logging_2303/tillsynsmail/A 35131-2025 tillsynsbegäran mail.docx", "A 35131-2025")</f>
        <v/>
      </c>
    </row>
    <row r="168" ht="15" customHeight="1">
      <c r="A168" t="inlineStr">
        <is>
          <t>A 30053-2024</t>
        </is>
      </c>
      <c r="B168" s="1" t="n">
        <v>45488.94747685185</v>
      </c>
      <c r="C168" s="1" t="n">
        <v>46002</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50089-2022</t>
        </is>
      </c>
      <c r="B169" s="1" t="n">
        <v>44865</v>
      </c>
      <c r="C169" s="1" t="n">
        <v>46002</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47850-2025</t>
        </is>
      </c>
      <c r="B170" s="1" t="n">
        <v>45932.38626157407</v>
      </c>
      <c r="C170" s="1" t="n">
        <v>46002</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56634-2025</t>
        </is>
      </c>
      <c r="B171" s="1" t="n">
        <v>45975.61619212963</v>
      </c>
      <c r="C171" s="1" t="n">
        <v>46002</v>
      </c>
      <c r="D171" t="inlineStr">
        <is>
          <t>JÄMTLANDS LÄN</t>
        </is>
      </c>
      <c r="E171" t="inlineStr">
        <is>
          <t>RAGUNDA</t>
        </is>
      </c>
      <c r="F171" t="inlineStr">
        <is>
          <t>SCA</t>
        </is>
      </c>
      <c r="G171" t="n">
        <v>86.59999999999999</v>
      </c>
      <c r="H171" t="n">
        <v>0</v>
      </c>
      <c r="I171" t="n">
        <v>1</v>
      </c>
      <c r="J171" t="n">
        <v>1</v>
      </c>
      <c r="K171" t="n">
        <v>0</v>
      </c>
      <c r="L171" t="n">
        <v>0</v>
      </c>
      <c r="M171" t="n">
        <v>0</v>
      </c>
      <c r="N171" t="n">
        <v>0</v>
      </c>
      <c r="O171" t="n">
        <v>1</v>
      </c>
      <c r="P171" t="n">
        <v>0</v>
      </c>
      <c r="Q171" t="n">
        <v>2</v>
      </c>
      <c r="R171" s="2" t="inlineStr">
        <is>
          <t>Garnlav
Skuggblåslav</t>
        </is>
      </c>
      <c r="S171">
        <f>HYPERLINK("https://klasma.github.io/Logging_2303/artfynd/A 56634-2025 artfynd.xlsx", "A 56634-2025")</f>
        <v/>
      </c>
      <c r="T171">
        <f>HYPERLINK("https://klasma.github.io/Logging_2303/kartor/A 56634-2025 karta.png", "A 56634-2025")</f>
        <v/>
      </c>
      <c r="V171">
        <f>HYPERLINK("https://klasma.github.io/Logging_2303/klagomål/A 56634-2025 FSC-klagomål.docx", "A 56634-2025")</f>
        <v/>
      </c>
      <c r="W171">
        <f>HYPERLINK("https://klasma.github.io/Logging_2303/klagomålsmail/A 56634-2025 FSC-klagomål mail.docx", "A 56634-2025")</f>
        <v/>
      </c>
      <c r="X171">
        <f>HYPERLINK("https://klasma.github.io/Logging_2303/tillsyn/A 56634-2025 tillsynsbegäran.docx", "A 56634-2025")</f>
        <v/>
      </c>
      <c r="Y171">
        <f>HYPERLINK("https://klasma.github.io/Logging_2303/tillsynsmail/A 56634-2025 tillsynsbegäran mail.docx", "A 56634-2025")</f>
        <v/>
      </c>
    </row>
    <row r="172" ht="15" customHeight="1">
      <c r="A172" t="inlineStr">
        <is>
          <t>A 11086-2025</t>
        </is>
      </c>
      <c r="B172" s="1" t="n">
        <v>45723.57329861111</v>
      </c>
      <c r="C172" s="1" t="n">
        <v>46002</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40826-2023</t>
        </is>
      </c>
      <c r="B173" s="1" t="n">
        <v>45171</v>
      </c>
      <c r="C173" s="1" t="n">
        <v>46002</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41490-2022</t>
        </is>
      </c>
      <c r="B174" s="1" t="n">
        <v>44826.94976851852</v>
      </c>
      <c r="C174" s="1" t="n">
        <v>46002</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14502-2024</t>
        </is>
      </c>
      <c r="B175" s="1" t="n">
        <v>45394</v>
      </c>
      <c r="C175" s="1" t="n">
        <v>46002</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46771-2024</t>
        </is>
      </c>
      <c r="B176" s="1" t="n">
        <v>45583.49642361111</v>
      </c>
      <c r="C176" s="1" t="n">
        <v>46002</v>
      </c>
      <c r="D176" t="inlineStr">
        <is>
          <t>JÄMTLANDS LÄN</t>
        </is>
      </c>
      <c r="E176" t="inlineStr">
        <is>
          <t>RAGUNDA</t>
        </is>
      </c>
      <c r="F176" t="inlineStr">
        <is>
          <t>SCA</t>
        </is>
      </c>
      <c r="G176" t="n">
        <v>3.1</v>
      </c>
      <c r="H176" t="n">
        <v>0</v>
      </c>
      <c r="I176" t="n">
        <v>0</v>
      </c>
      <c r="J176" t="n">
        <v>2</v>
      </c>
      <c r="K176" t="n">
        <v>0</v>
      </c>
      <c r="L176" t="n">
        <v>0</v>
      </c>
      <c r="M176" t="n">
        <v>0</v>
      </c>
      <c r="N176" t="n">
        <v>0</v>
      </c>
      <c r="O176" t="n">
        <v>2</v>
      </c>
      <c r="P176" t="n">
        <v>0</v>
      </c>
      <c r="Q176" t="n">
        <v>2</v>
      </c>
      <c r="R176" s="2" t="inlineStr">
        <is>
          <t>Doftskinn
Gammelgransskål</t>
        </is>
      </c>
      <c r="S176">
        <f>HYPERLINK("https://klasma.github.io/Logging_2303/artfynd/A 46771-2024 artfynd.xlsx", "A 46771-2024")</f>
        <v/>
      </c>
      <c r="T176">
        <f>HYPERLINK("https://klasma.github.io/Logging_2303/kartor/A 46771-2024 karta.png", "A 46771-2024")</f>
        <v/>
      </c>
      <c r="V176">
        <f>HYPERLINK("https://klasma.github.io/Logging_2303/klagomål/A 46771-2024 FSC-klagomål.docx", "A 46771-2024")</f>
        <v/>
      </c>
      <c r="W176">
        <f>HYPERLINK("https://klasma.github.io/Logging_2303/klagomålsmail/A 46771-2024 FSC-klagomål mail.docx", "A 46771-2024")</f>
        <v/>
      </c>
      <c r="X176">
        <f>HYPERLINK("https://klasma.github.io/Logging_2303/tillsyn/A 46771-2024 tillsynsbegäran.docx", "A 46771-2024")</f>
        <v/>
      </c>
      <c r="Y176">
        <f>HYPERLINK("https://klasma.github.io/Logging_2303/tillsynsmail/A 46771-2024 tillsynsbegäran mail.docx", "A 46771-2024")</f>
        <v/>
      </c>
    </row>
    <row r="177" ht="15" customHeight="1">
      <c r="A177" t="inlineStr">
        <is>
          <t>A 44409-2023</t>
        </is>
      </c>
      <c r="B177" s="1" t="n">
        <v>45188</v>
      </c>
      <c r="C177" s="1" t="n">
        <v>46002</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12271-2024</t>
        </is>
      </c>
      <c r="B178" s="1" t="n">
        <v>45378</v>
      </c>
      <c r="C178" s="1" t="n">
        <v>46002</v>
      </c>
      <c r="D178" t="inlineStr">
        <is>
          <t>JÄMTLANDS LÄN</t>
        </is>
      </c>
      <c r="E178" t="inlineStr">
        <is>
          <t>RAGUNDA</t>
        </is>
      </c>
      <c r="F178" t="inlineStr">
        <is>
          <t>Kommuner</t>
        </is>
      </c>
      <c r="G178" t="n">
        <v>6.1</v>
      </c>
      <c r="H178" t="n">
        <v>0</v>
      </c>
      <c r="I178" t="n">
        <v>0</v>
      </c>
      <c r="J178" t="n">
        <v>2</v>
      </c>
      <c r="K178" t="n">
        <v>0</v>
      </c>
      <c r="L178" t="n">
        <v>0</v>
      </c>
      <c r="M178" t="n">
        <v>0</v>
      </c>
      <c r="N178" t="n">
        <v>0</v>
      </c>
      <c r="O178" t="n">
        <v>2</v>
      </c>
      <c r="P178" t="n">
        <v>0</v>
      </c>
      <c r="Q178" t="n">
        <v>2</v>
      </c>
      <c r="R178" s="2" t="inlineStr">
        <is>
          <t>Garnlav
Lunglav</t>
        </is>
      </c>
      <c r="S178">
        <f>HYPERLINK("https://klasma.github.io/Logging_2303/artfynd/A 12271-2024 artfynd.xlsx", "A 12271-2024")</f>
        <v/>
      </c>
      <c r="T178">
        <f>HYPERLINK("https://klasma.github.io/Logging_2303/kartor/A 12271-2024 karta.png", "A 12271-2024")</f>
        <v/>
      </c>
      <c r="V178">
        <f>HYPERLINK("https://klasma.github.io/Logging_2303/klagomål/A 12271-2024 FSC-klagomål.docx", "A 12271-2024")</f>
        <v/>
      </c>
      <c r="W178">
        <f>HYPERLINK("https://klasma.github.io/Logging_2303/klagomålsmail/A 12271-2024 FSC-klagomål mail.docx", "A 12271-2024")</f>
        <v/>
      </c>
      <c r="X178">
        <f>HYPERLINK("https://klasma.github.io/Logging_2303/tillsyn/A 12271-2024 tillsynsbegäran.docx", "A 12271-2024")</f>
        <v/>
      </c>
      <c r="Y178">
        <f>HYPERLINK("https://klasma.github.io/Logging_2303/tillsynsmail/A 12271-2024 tillsynsbegäran mail.docx", "A 12271-2024")</f>
        <v/>
      </c>
    </row>
    <row r="179" ht="15" customHeight="1">
      <c r="A179" t="inlineStr">
        <is>
          <t>A 34715-2024</t>
        </is>
      </c>
      <c r="B179" s="1" t="n">
        <v>45526.56393518519</v>
      </c>
      <c r="C179" s="1" t="n">
        <v>46002</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10866-2025</t>
        </is>
      </c>
      <c r="B180" s="1" t="n">
        <v>45722.61543981481</v>
      </c>
      <c r="C180" s="1" t="n">
        <v>46002</v>
      </c>
      <c r="D180" t="inlineStr">
        <is>
          <t>JÄMTLANDS LÄN</t>
        </is>
      </c>
      <c r="E180" t="inlineStr">
        <is>
          <t>RAGUNDA</t>
        </is>
      </c>
      <c r="F180" t="inlineStr">
        <is>
          <t>SCA</t>
        </is>
      </c>
      <c r="G180" t="n">
        <v>15.9</v>
      </c>
      <c r="H180" t="n">
        <v>0</v>
      </c>
      <c r="I180" t="n">
        <v>1</v>
      </c>
      <c r="J180" t="n">
        <v>1</v>
      </c>
      <c r="K180" t="n">
        <v>0</v>
      </c>
      <c r="L180" t="n">
        <v>0</v>
      </c>
      <c r="M180" t="n">
        <v>0</v>
      </c>
      <c r="N180" t="n">
        <v>0</v>
      </c>
      <c r="O180" t="n">
        <v>1</v>
      </c>
      <c r="P180" t="n">
        <v>0</v>
      </c>
      <c r="Q180" t="n">
        <v>2</v>
      </c>
      <c r="R180" s="2" t="inlineStr">
        <is>
          <t>Garnlav
Norrlandslav</t>
        </is>
      </c>
      <c r="S180">
        <f>HYPERLINK("https://klasma.github.io/Logging_2303/artfynd/A 10866-2025 artfynd.xlsx", "A 10866-2025")</f>
        <v/>
      </c>
      <c r="T180">
        <f>HYPERLINK("https://klasma.github.io/Logging_2303/kartor/A 10866-2025 karta.png", "A 10866-2025")</f>
        <v/>
      </c>
      <c r="V180">
        <f>HYPERLINK("https://klasma.github.io/Logging_2303/klagomål/A 10866-2025 FSC-klagomål.docx", "A 10866-2025")</f>
        <v/>
      </c>
      <c r="W180">
        <f>HYPERLINK("https://klasma.github.io/Logging_2303/klagomålsmail/A 10866-2025 FSC-klagomål mail.docx", "A 10866-2025")</f>
        <v/>
      </c>
      <c r="X180">
        <f>HYPERLINK("https://klasma.github.io/Logging_2303/tillsyn/A 10866-2025 tillsynsbegäran.docx", "A 10866-2025")</f>
        <v/>
      </c>
      <c r="Y180">
        <f>HYPERLINK("https://klasma.github.io/Logging_2303/tillsynsmail/A 10866-2025 tillsynsbegäran mail.docx", "A 10866-2025")</f>
        <v/>
      </c>
    </row>
    <row r="181" ht="15" customHeight="1">
      <c r="A181" t="inlineStr">
        <is>
          <t>A 10884-2025</t>
        </is>
      </c>
      <c r="B181" s="1" t="n">
        <v>45722.65670138889</v>
      </c>
      <c r="C181" s="1" t="n">
        <v>46002</v>
      </c>
      <c r="D181" t="inlineStr">
        <is>
          <t>JÄMTLANDS LÄN</t>
        </is>
      </c>
      <c r="E181" t="inlineStr">
        <is>
          <t>RAGUNDA</t>
        </is>
      </c>
      <c r="F181" t="inlineStr">
        <is>
          <t>SCA</t>
        </is>
      </c>
      <c r="G181" t="n">
        <v>5.4</v>
      </c>
      <c r="H181" t="n">
        <v>0</v>
      </c>
      <c r="I181" t="n">
        <v>1</v>
      </c>
      <c r="J181" t="n">
        <v>1</v>
      </c>
      <c r="K181" t="n">
        <v>0</v>
      </c>
      <c r="L181" t="n">
        <v>0</v>
      </c>
      <c r="M181" t="n">
        <v>0</v>
      </c>
      <c r="N181" t="n">
        <v>0</v>
      </c>
      <c r="O181" t="n">
        <v>1</v>
      </c>
      <c r="P181" t="n">
        <v>0</v>
      </c>
      <c r="Q181" t="n">
        <v>2</v>
      </c>
      <c r="R181" s="2" t="inlineStr">
        <is>
          <t>Vitgrynig nållav
Dropptaggsvamp</t>
        </is>
      </c>
      <c r="S181">
        <f>HYPERLINK("https://klasma.github.io/Logging_2303/artfynd/A 10884-2025 artfynd.xlsx", "A 10884-2025")</f>
        <v/>
      </c>
      <c r="T181">
        <f>HYPERLINK("https://klasma.github.io/Logging_2303/kartor/A 10884-2025 karta.png", "A 10884-2025")</f>
        <v/>
      </c>
      <c r="V181">
        <f>HYPERLINK("https://klasma.github.io/Logging_2303/klagomål/A 10884-2025 FSC-klagomål.docx", "A 10884-2025")</f>
        <v/>
      </c>
      <c r="W181">
        <f>HYPERLINK("https://klasma.github.io/Logging_2303/klagomålsmail/A 10884-2025 FSC-klagomål mail.docx", "A 10884-2025")</f>
        <v/>
      </c>
      <c r="X181">
        <f>HYPERLINK("https://klasma.github.io/Logging_2303/tillsyn/A 10884-2025 tillsynsbegäran.docx", "A 10884-2025")</f>
        <v/>
      </c>
      <c r="Y181">
        <f>HYPERLINK("https://klasma.github.io/Logging_2303/tillsynsmail/A 10884-2025 tillsynsbegäran mail.docx", "A 10884-2025")</f>
        <v/>
      </c>
    </row>
    <row r="182" ht="15" customHeight="1">
      <c r="A182" t="inlineStr">
        <is>
          <t>A 3838-2024</t>
        </is>
      </c>
      <c r="B182" s="1" t="n">
        <v>45321</v>
      </c>
      <c r="C182" s="1" t="n">
        <v>46002</v>
      </c>
      <c r="D182" t="inlineStr">
        <is>
          <t>JÄMTLANDS LÄN</t>
        </is>
      </c>
      <c r="E182" t="inlineStr">
        <is>
          <t>RAGUNDA</t>
        </is>
      </c>
      <c r="F182" t="inlineStr">
        <is>
          <t>SCA</t>
        </is>
      </c>
      <c r="G182" t="n">
        <v>2</v>
      </c>
      <c r="H182" t="n">
        <v>1</v>
      </c>
      <c r="I182" t="n">
        <v>1</v>
      </c>
      <c r="J182" t="n">
        <v>1</v>
      </c>
      <c r="K182" t="n">
        <v>0</v>
      </c>
      <c r="L182" t="n">
        <v>0</v>
      </c>
      <c r="M182" t="n">
        <v>0</v>
      </c>
      <c r="N182" t="n">
        <v>0</v>
      </c>
      <c r="O182" t="n">
        <v>1</v>
      </c>
      <c r="P182" t="n">
        <v>0</v>
      </c>
      <c r="Q182" t="n">
        <v>2</v>
      </c>
      <c r="R182" s="2" t="inlineStr">
        <is>
          <t>Garnlav
Guckusko</t>
        </is>
      </c>
      <c r="S182">
        <f>HYPERLINK("https://klasma.github.io/Logging_2303/artfynd/A 3838-2024 artfynd.xlsx", "A 3838-2024")</f>
        <v/>
      </c>
      <c r="T182">
        <f>HYPERLINK("https://klasma.github.io/Logging_2303/kartor/A 3838-2024 karta.png", "A 3838-2024")</f>
        <v/>
      </c>
      <c r="V182">
        <f>HYPERLINK("https://klasma.github.io/Logging_2303/klagomål/A 3838-2024 FSC-klagomål.docx", "A 3838-2024")</f>
        <v/>
      </c>
      <c r="W182">
        <f>HYPERLINK("https://klasma.github.io/Logging_2303/klagomålsmail/A 3838-2024 FSC-klagomål mail.docx", "A 3838-2024")</f>
        <v/>
      </c>
      <c r="X182">
        <f>HYPERLINK("https://klasma.github.io/Logging_2303/tillsyn/A 3838-2024 tillsynsbegäran.docx", "A 3838-2024")</f>
        <v/>
      </c>
      <c r="Y182">
        <f>HYPERLINK("https://klasma.github.io/Logging_2303/tillsynsmail/A 3838-2024 tillsynsbegäran mail.docx", "A 3838-2024")</f>
        <v/>
      </c>
    </row>
    <row r="183" ht="15" customHeight="1">
      <c r="A183" t="inlineStr">
        <is>
          <t>A 36756-2023</t>
        </is>
      </c>
      <c r="B183" s="1" t="n">
        <v>45153</v>
      </c>
      <c r="C183" s="1" t="n">
        <v>46002</v>
      </c>
      <c r="D183" t="inlineStr">
        <is>
          <t>JÄMTLANDS LÄN</t>
        </is>
      </c>
      <c r="E183" t="inlineStr">
        <is>
          <t>RAGUNDA</t>
        </is>
      </c>
      <c r="G183" t="n">
        <v>3.5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HYPERLINK("https://klasma.github.io/Logging_2303/artfynd/A 36756-2023 artfynd.xlsx", "A 36756-2023")</f>
        <v/>
      </c>
      <c r="T183">
        <f>HYPERLINK("https://klasma.github.io/Logging_2303/kartor/A 36756-2023 karta.png", "A 36756-2023")</f>
        <v/>
      </c>
      <c r="V183">
        <f>HYPERLINK("https://klasma.github.io/Logging_2303/klagomål/A 36756-2023 FSC-klagomål.docx", "A 36756-2023")</f>
        <v/>
      </c>
      <c r="W183">
        <f>HYPERLINK("https://klasma.github.io/Logging_2303/klagomålsmail/A 36756-2023 FSC-klagomål mail.docx", "A 36756-2023")</f>
        <v/>
      </c>
      <c r="X183">
        <f>HYPERLINK("https://klasma.github.io/Logging_2303/tillsyn/A 36756-2023 tillsynsbegäran.docx", "A 36756-2023")</f>
        <v/>
      </c>
      <c r="Y183">
        <f>HYPERLINK("https://klasma.github.io/Logging_2303/tillsynsmail/A 36756-2023 tillsynsbegäran mail.docx", "A 36756-2023")</f>
        <v/>
      </c>
      <c r="Z183">
        <f>HYPERLINK("https://klasma.github.io/Logging_2303/fåglar/A 36756-2023 prioriterade fågelarter.docx", "A 36756-2023")</f>
        <v/>
      </c>
    </row>
    <row r="184" ht="15" customHeight="1">
      <c r="A184" t="inlineStr">
        <is>
          <t>A 56285-2023</t>
        </is>
      </c>
      <c r="B184" s="1" t="n">
        <v>45241</v>
      </c>
      <c r="C184" s="1" t="n">
        <v>46002</v>
      </c>
      <c r="D184" t="inlineStr">
        <is>
          <t>JÄMTLANDS LÄN</t>
        </is>
      </c>
      <c r="E184" t="inlineStr">
        <is>
          <t>RAGUNDA</t>
        </is>
      </c>
      <c r="F184" t="inlineStr">
        <is>
          <t>SCA</t>
        </is>
      </c>
      <c r="G184" t="n">
        <v>5.5</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56285-2023 artfynd.xlsx", "A 56285-2023")</f>
        <v/>
      </c>
      <c r="T184">
        <f>HYPERLINK("https://klasma.github.io/Logging_2303/kartor/A 56285-2023 karta.png", "A 56285-2023")</f>
        <v/>
      </c>
      <c r="V184">
        <f>HYPERLINK("https://klasma.github.io/Logging_2303/klagomål/A 56285-2023 FSC-klagomål.docx", "A 56285-2023")</f>
        <v/>
      </c>
      <c r="W184">
        <f>HYPERLINK("https://klasma.github.io/Logging_2303/klagomålsmail/A 56285-2023 FSC-klagomål mail.docx", "A 56285-2023")</f>
        <v/>
      </c>
      <c r="X184">
        <f>HYPERLINK("https://klasma.github.io/Logging_2303/tillsyn/A 56285-2023 tillsynsbegäran.docx", "A 56285-2023")</f>
        <v/>
      </c>
      <c r="Y184">
        <f>HYPERLINK("https://klasma.github.io/Logging_2303/tillsynsmail/A 56285-2023 tillsynsbegäran mail.docx", "A 56285-2023")</f>
        <v/>
      </c>
    </row>
    <row r="185" ht="15" customHeight="1">
      <c r="A185" t="inlineStr">
        <is>
          <t>A 39495-2024</t>
        </is>
      </c>
      <c r="B185" s="1" t="n">
        <v>45551.65726851852</v>
      </c>
      <c r="C185" s="1" t="n">
        <v>46002</v>
      </c>
      <c r="D185" t="inlineStr">
        <is>
          <t>JÄMTLANDS LÄN</t>
        </is>
      </c>
      <c r="E185" t="inlineStr">
        <is>
          <t>RAGUNDA</t>
        </is>
      </c>
      <c r="F185" t="inlineStr">
        <is>
          <t>SCA</t>
        </is>
      </c>
      <c r="G185" t="n">
        <v>6.6</v>
      </c>
      <c r="H185" t="n">
        <v>0</v>
      </c>
      <c r="I185" t="n">
        <v>0</v>
      </c>
      <c r="J185" t="n">
        <v>2</v>
      </c>
      <c r="K185" t="n">
        <v>0</v>
      </c>
      <c r="L185" t="n">
        <v>0</v>
      </c>
      <c r="M185" t="n">
        <v>0</v>
      </c>
      <c r="N185" t="n">
        <v>0</v>
      </c>
      <c r="O185" t="n">
        <v>2</v>
      </c>
      <c r="P185" t="n">
        <v>0</v>
      </c>
      <c r="Q185" t="n">
        <v>2</v>
      </c>
      <c r="R185" s="2" t="inlineStr">
        <is>
          <t>Garnlav
Ullticka</t>
        </is>
      </c>
      <c r="S185">
        <f>HYPERLINK("https://klasma.github.io/Logging_2303/artfynd/A 39495-2024 artfynd.xlsx", "A 39495-2024")</f>
        <v/>
      </c>
      <c r="T185">
        <f>HYPERLINK("https://klasma.github.io/Logging_2303/kartor/A 39495-2024 karta.png", "A 39495-2024")</f>
        <v/>
      </c>
      <c r="V185">
        <f>HYPERLINK("https://klasma.github.io/Logging_2303/klagomål/A 39495-2024 FSC-klagomål.docx", "A 39495-2024")</f>
        <v/>
      </c>
      <c r="W185">
        <f>HYPERLINK("https://klasma.github.io/Logging_2303/klagomålsmail/A 39495-2024 FSC-klagomål mail.docx", "A 39495-2024")</f>
        <v/>
      </c>
      <c r="X185">
        <f>HYPERLINK("https://klasma.github.io/Logging_2303/tillsyn/A 39495-2024 tillsynsbegäran.docx", "A 39495-2024")</f>
        <v/>
      </c>
      <c r="Y185">
        <f>HYPERLINK("https://klasma.github.io/Logging_2303/tillsynsmail/A 39495-2024 tillsynsbegäran mail.docx", "A 39495-2024")</f>
        <v/>
      </c>
    </row>
    <row r="186" ht="15" customHeight="1">
      <c r="A186" t="inlineStr">
        <is>
          <t>A 19728-2025</t>
        </is>
      </c>
      <c r="B186" s="1" t="n">
        <v>45771.36548611111</v>
      </c>
      <c r="C186" s="1" t="n">
        <v>46002</v>
      </c>
      <c r="D186" t="inlineStr">
        <is>
          <t>JÄMTLANDS LÄN</t>
        </is>
      </c>
      <c r="E186" t="inlineStr">
        <is>
          <t>RAGUNDA</t>
        </is>
      </c>
      <c r="F186" t="inlineStr">
        <is>
          <t>SCA</t>
        </is>
      </c>
      <c r="G186" t="n">
        <v>6.2</v>
      </c>
      <c r="H186" t="n">
        <v>1</v>
      </c>
      <c r="I186" t="n">
        <v>0</v>
      </c>
      <c r="J186" t="n">
        <v>2</v>
      </c>
      <c r="K186" t="n">
        <v>0</v>
      </c>
      <c r="L186" t="n">
        <v>0</v>
      </c>
      <c r="M186" t="n">
        <v>0</v>
      </c>
      <c r="N186" t="n">
        <v>0</v>
      </c>
      <c r="O186" t="n">
        <v>2</v>
      </c>
      <c r="P186" t="n">
        <v>0</v>
      </c>
      <c r="Q186" t="n">
        <v>2</v>
      </c>
      <c r="R186" s="2" t="inlineStr">
        <is>
          <t>Stjärntagging
Tretåig hackspett</t>
        </is>
      </c>
      <c r="S186">
        <f>HYPERLINK("https://klasma.github.io/Logging_2303/artfynd/A 19728-2025 artfynd.xlsx", "A 19728-2025")</f>
        <v/>
      </c>
      <c r="T186">
        <f>HYPERLINK("https://klasma.github.io/Logging_2303/kartor/A 19728-2025 karta.png", "A 19728-2025")</f>
        <v/>
      </c>
      <c r="V186">
        <f>HYPERLINK("https://klasma.github.io/Logging_2303/klagomål/A 19728-2025 FSC-klagomål.docx", "A 19728-2025")</f>
        <v/>
      </c>
      <c r="W186">
        <f>HYPERLINK("https://klasma.github.io/Logging_2303/klagomålsmail/A 19728-2025 FSC-klagomål mail.docx", "A 19728-2025")</f>
        <v/>
      </c>
      <c r="X186">
        <f>HYPERLINK("https://klasma.github.io/Logging_2303/tillsyn/A 19728-2025 tillsynsbegäran.docx", "A 19728-2025")</f>
        <v/>
      </c>
      <c r="Y186">
        <f>HYPERLINK("https://klasma.github.io/Logging_2303/tillsynsmail/A 19728-2025 tillsynsbegäran mail.docx", "A 19728-2025")</f>
        <v/>
      </c>
      <c r="Z186">
        <f>HYPERLINK("https://klasma.github.io/Logging_2303/fåglar/A 19728-2025 prioriterade fågelarter.docx", "A 19728-2025")</f>
        <v/>
      </c>
    </row>
    <row r="187" ht="15" customHeight="1">
      <c r="A187" t="inlineStr">
        <is>
          <t>A 45035-2023</t>
        </is>
      </c>
      <c r="B187" s="1" t="n">
        <v>45191</v>
      </c>
      <c r="C187" s="1" t="n">
        <v>46002</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11544-2024</t>
        </is>
      </c>
      <c r="B188" s="1" t="n">
        <v>45372.95680555556</v>
      </c>
      <c r="C188" s="1" t="n">
        <v>46002</v>
      </c>
      <c r="D188" t="inlineStr">
        <is>
          <t>JÄMTLANDS LÄN</t>
        </is>
      </c>
      <c r="E188" t="inlineStr">
        <is>
          <t>RAGUNDA</t>
        </is>
      </c>
      <c r="F188" t="inlineStr">
        <is>
          <t>SCA</t>
        </is>
      </c>
      <c r="G188" t="n">
        <v>15.5</v>
      </c>
      <c r="H188" t="n">
        <v>0</v>
      </c>
      <c r="I188" t="n">
        <v>0</v>
      </c>
      <c r="J188" t="n">
        <v>2</v>
      </c>
      <c r="K188" t="n">
        <v>0</v>
      </c>
      <c r="L188" t="n">
        <v>0</v>
      </c>
      <c r="M188" t="n">
        <v>0</v>
      </c>
      <c r="N188" t="n">
        <v>0</v>
      </c>
      <c r="O188" t="n">
        <v>2</v>
      </c>
      <c r="P188" t="n">
        <v>0</v>
      </c>
      <c r="Q188" t="n">
        <v>2</v>
      </c>
      <c r="R188" s="2" t="inlineStr">
        <is>
          <t>Granticka
Mörk kolflarnlav</t>
        </is>
      </c>
      <c r="S188">
        <f>HYPERLINK("https://klasma.github.io/Logging_2303/artfynd/A 11544-2024 artfynd.xlsx", "A 11544-2024")</f>
        <v/>
      </c>
      <c r="T188">
        <f>HYPERLINK("https://klasma.github.io/Logging_2303/kartor/A 11544-2024 karta.png", "A 11544-2024")</f>
        <v/>
      </c>
      <c r="V188">
        <f>HYPERLINK("https://klasma.github.io/Logging_2303/klagomål/A 11544-2024 FSC-klagomål.docx", "A 11544-2024")</f>
        <v/>
      </c>
      <c r="W188">
        <f>HYPERLINK("https://klasma.github.io/Logging_2303/klagomålsmail/A 11544-2024 FSC-klagomål mail.docx", "A 11544-2024")</f>
        <v/>
      </c>
      <c r="X188">
        <f>HYPERLINK("https://klasma.github.io/Logging_2303/tillsyn/A 11544-2024 tillsynsbegäran.docx", "A 11544-2024")</f>
        <v/>
      </c>
      <c r="Y188">
        <f>HYPERLINK("https://klasma.github.io/Logging_2303/tillsynsmail/A 11544-2024 tillsynsbegäran mail.docx", "A 11544-2024")</f>
        <v/>
      </c>
    </row>
    <row r="189" ht="15" customHeight="1">
      <c r="A189" t="inlineStr">
        <is>
          <t>A 11843-2023</t>
        </is>
      </c>
      <c r="B189" s="1" t="n">
        <v>44993</v>
      </c>
      <c r="C189" s="1" t="n">
        <v>46002</v>
      </c>
      <c r="D189" t="inlineStr">
        <is>
          <t>JÄMTLANDS LÄN</t>
        </is>
      </c>
      <c r="E189" t="inlineStr">
        <is>
          <t>RAGUNDA</t>
        </is>
      </c>
      <c r="G189" t="n">
        <v>6.4</v>
      </c>
      <c r="H189" t="n">
        <v>2</v>
      </c>
      <c r="I189" t="n">
        <v>0</v>
      </c>
      <c r="J189" t="n">
        <v>1</v>
      </c>
      <c r="K189" t="n">
        <v>0</v>
      </c>
      <c r="L189" t="n">
        <v>0</v>
      </c>
      <c r="M189" t="n">
        <v>0</v>
      </c>
      <c r="N189" t="n">
        <v>0</v>
      </c>
      <c r="O189" t="n">
        <v>1</v>
      </c>
      <c r="P189" t="n">
        <v>0</v>
      </c>
      <c r="Q189" t="n">
        <v>2</v>
      </c>
      <c r="R189" s="2" t="inlineStr">
        <is>
          <t>Spillkråka
Revlummer</t>
        </is>
      </c>
      <c r="S189">
        <f>HYPERLINK("https://klasma.github.io/Logging_2303/artfynd/A 11843-2023 artfynd.xlsx", "A 11843-2023")</f>
        <v/>
      </c>
      <c r="T189">
        <f>HYPERLINK("https://klasma.github.io/Logging_2303/kartor/A 11843-2023 karta.png", "A 11843-2023")</f>
        <v/>
      </c>
      <c r="V189">
        <f>HYPERLINK("https://klasma.github.io/Logging_2303/klagomål/A 11843-2023 FSC-klagomål.docx", "A 11843-2023")</f>
        <v/>
      </c>
      <c r="W189">
        <f>HYPERLINK("https://klasma.github.io/Logging_2303/klagomålsmail/A 11843-2023 FSC-klagomål mail.docx", "A 11843-2023")</f>
        <v/>
      </c>
      <c r="X189">
        <f>HYPERLINK("https://klasma.github.io/Logging_2303/tillsyn/A 11843-2023 tillsynsbegäran.docx", "A 11843-2023")</f>
        <v/>
      </c>
      <c r="Y189">
        <f>HYPERLINK("https://klasma.github.io/Logging_2303/tillsynsmail/A 11843-2023 tillsynsbegäran mail.docx", "A 11843-2023")</f>
        <v/>
      </c>
      <c r="Z189">
        <f>HYPERLINK("https://klasma.github.io/Logging_2303/fåglar/A 11843-2023 prioriterade fågelarter.docx", "A 11843-2023")</f>
        <v/>
      </c>
    </row>
    <row r="190" ht="15" customHeight="1">
      <c r="A190" t="inlineStr">
        <is>
          <t>A 17733-2022</t>
        </is>
      </c>
      <c r="B190" s="1" t="n">
        <v>44680</v>
      </c>
      <c r="C190" s="1" t="n">
        <v>46002</v>
      </c>
      <c r="D190" t="inlineStr">
        <is>
          <t>JÄMTLANDS LÄN</t>
        </is>
      </c>
      <c r="E190" t="inlineStr">
        <is>
          <t>RAGUNDA</t>
        </is>
      </c>
      <c r="G190" t="n">
        <v>2.2</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17733-2022 artfynd.xlsx", "A 17733-2022")</f>
        <v/>
      </c>
      <c r="T190">
        <f>HYPERLINK("https://klasma.github.io/Logging_2303/kartor/A 17733-2022 karta.png", "A 17733-2022")</f>
        <v/>
      </c>
      <c r="V190">
        <f>HYPERLINK("https://klasma.github.io/Logging_2303/klagomål/A 17733-2022 FSC-klagomål.docx", "A 17733-2022")</f>
        <v/>
      </c>
      <c r="W190">
        <f>HYPERLINK("https://klasma.github.io/Logging_2303/klagomålsmail/A 17733-2022 FSC-klagomål mail.docx", "A 17733-2022")</f>
        <v/>
      </c>
      <c r="X190">
        <f>HYPERLINK("https://klasma.github.io/Logging_2303/tillsyn/A 17733-2022 tillsynsbegäran.docx", "A 17733-2022")</f>
        <v/>
      </c>
      <c r="Y190">
        <f>HYPERLINK("https://klasma.github.io/Logging_2303/tillsynsmail/A 17733-2022 tillsynsbegäran mail.docx", "A 17733-2022")</f>
        <v/>
      </c>
    </row>
    <row r="191" ht="15" customHeight="1">
      <c r="A191" t="inlineStr">
        <is>
          <t>A 26482-2023</t>
        </is>
      </c>
      <c r="B191" s="1" t="n">
        <v>45089</v>
      </c>
      <c r="C191" s="1" t="n">
        <v>46002</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46002</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26324-2024</t>
        </is>
      </c>
      <c r="B193" s="1" t="n">
        <v>45468.97495370371</v>
      </c>
      <c r="C193" s="1" t="n">
        <v>46002</v>
      </c>
      <c r="D193" t="inlineStr">
        <is>
          <t>JÄMTLANDS LÄN</t>
        </is>
      </c>
      <c r="E193" t="inlineStr">
        <is>
          <t>RAGUNDA</t>
        </is>
      </c>
      <c r="F193" t="inlineStr">
        <is>
          <t>SCA</t>
        </is>
      </c>
      <c r="G193" t="n">
        <v>2</v>
      </c>
      <c r="H193" t="n">
        <v>1</v>
      </c>
      <c r="I193" t="n">
        <v>0</v>
      </c>
      <c r="J193" t="n">
        <v>1</v>
      </c>
      <c r="K193" t="n">
        <v>1</v>
      </c>
      <c r="L193" t="n">
        <v>0</v>
      </c>
      <c r="M193" t="n">
        <v>0</v>
      </c>
      <c r="N193" t="n">
        <v>0</v>
      </c>
      <c r="O193" t="n">
        <v>2</v>
      </c>
      <c r="P193" t="n">
        <v>1</v>
      </c>
      <c r="Q193" t="n">
        <v>2</v>
      </c>
      <c r="R193" s="2" t="inlineStr">
        <is>
          <t>Knärot
Vedtrappmossa</t>
        </is>
      </c>
      <c r="S193">
        <f>HYPERLINK("https://klasma.github.io/Logging_2303/artfynd/A 26324-2024 artfynd.xlsx", "A 26324-2024")</f>
        <v/>
      </c>
      <c r="T193">
        <f>HYPERLINK("https://klasma.github.io/Logging_2303/kartor/A 26324-2024 karta.png", "A 26324-2024")</f>
        <v/>
      </c>
      <c r="U193">
        <f>HYPERLINK("https://klasma.github.io/Logging_2303/knärot/A 26324-2024 karta knärot.png", "A 26324-2024")</f>
        <v/>
      </c>
      <c r="V193">
        <f>HYPERLINK("https://klasma.github.io/Logging_2303/klagomål/A 26324-2024 FSC-klagomål.docx", "A 26324-2024")</f>
        <v/>
      </c>
      <c r="W193">
        <f>HYPERLINK("https://klasma.github.io/Logging_2303/klagomålsmail/A 26324-2024 FSC-klagomål mail.docx", "A 26324-2024")</f>
        <v/>
      </c>
      <c r="X193">
        <f>HYPERLINK("https://klasma.github.io/Logging_2303/tillsyn/A 26324-2024 tillsynsbegäran.docx", "A 26324-2024")</f>
        <v/>
      </c>
      <c r="Y193">
        <f>HYPERLINK("https://klasma.github.io/Logging_2303/tillsynsmail/A 26324-2024 tillsynsbegäran mail.docx", "A 26324-2024")</f>
        <v/>
      </c>
    </row>
    <row r="194" ht="15" customHeight="1">
      <c r="A194" t="inlineStr">
        <is>
          <t>A 21245-2025</t>
        </is>
      </c>
      <c r="B194" s="1" t="n">
        <v>45779.57350694444</v>
      </c>
      <c r="C194" s="1" t="n">
        <v>46002</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51916-2021</t>
        </is>
      </c>
      <c r="B195" s="1" t="n">
        <v>44462</v>
      </c>
      <c r="C195" s="1" t="n">
        <v>46002</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46002</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46002</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46002</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46002</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46002</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6703-2024</t>
        </is>
      </c>
      <c r="B201" s="1" t="n">
        <v>45341</v>
      </c>
      <c r="C201" s="1" t="n">
        <v>46002</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46002</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59104-2023</t>
        </is>
      </c>
      <c r="B203" s="1" t="n">
        <v>45252</v>
      </c>
      <c r="C203" s="1" t="n">
        <v>46002</v>
      </c>
      <c r="D203" t="inlineStr">
        <is>
          <t>JÄMTLANDS LÄN</t>
        </is>
      </c>
      <c r="E203" t="inlineStr">
        <is>
          <t>RAGUNDA</t>
        </is>
      </c>
      <c r="F203" t="inlineStr">
        <is>
          <t>SCA</t>
        </is>
      </c>
      <c r="G203" t="n">
        <v>4.2</v>
      </c>
      <c r="H203" t="n">
        <v>0</v>
      </c>
      <c r="I203" t="n">
        <v>0</v>
      </c>
      <c r="J203" t="n">
        <v>1</v>
      </c>
      <c r="K203" t="n">
        <v>0</v>
      </c>
      <c r="L203" t="n">
        <v>0</v>
      </c>
      <c r="M203" t="n">
        <v>0</v>
      </c>
      <c r="N203" t="n">
        <v>0</v>
      </c>
      <c r="O203" t="n">
        <v>1</v>
      </c>
      <c r="P203" t="n">
        <v>0</v>
      </c>
      <c r="Q203" t="n">
        <v>1</v>
      </c>
      <c r="R203" s="2" t="inlineStr">
        <is>
          <t>Ullticka</t>
        </is>
      </c>
      <c r="S203">
        <f>HYPERLINK("https://klasma.github.io/Logging_2303/artfynd/A 59104-2023 artfynd.xlsx", "A 59104-2023")</f>
        <v/>
      </c>
      <c r="T203">
        <f>HYPERLINK("https://klasma.github.io/Logging_2303/kartor/A 59104-2023 karta.png", "A 59104-2023")</f>
        <v/>
      </c>
      <c r="V203">
        <f>HYPERLINK("https://klasma.github.io/Logging_2303/klagomål/A 59104-2023 FSC-klagomål.docx", "A 59104-2023")</f>
        <v/>
      </c>
      <c r="W203">
        <f>HYPERLINK("https://klasma.github.io/Logging_2303/klagomålsmail/A 59104-2023 FSC-klagomål mail.docx", "A 59104-2023")</f>
        <v/>
      </c>
      <c r="X203">
        <f>HYPERLINK("https://klasma.github.io/Logging_2303/tillsyn/A 59104-2023 tillsynsbegäran.docx", "A 59104-2023")</f>
        <v/>
      </c>
      <c r="Y203">
        <f>HYPERLINK("https://klasma.github.io/Logging_2303/tillsynsmail/A 59104-2023 tillsynsbegäran mail.docx", "A 59104-2023")</f>
        <v/>
      </c>
    </row>
    <row r="204" ht="15" customHeight="1">
      <c r="A204" t="inlineStr">
        <is>
          <t>A 20575-2025</t>
        </is>
      </c>
      <c r="B204" s="1" t="n">
        <v>45775.67769675926</v>
      </c>
      <c r="C204" s="1" t="n">
        <v>46002</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25694-2023</t>
        </is>
      </c>
      <c r="B205" s="1" t="n">
        <v>45089</v>
      </c>
      <c r="C205" s="1" t="n">
        <v>46002</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11040-2023</t>
        </is>
      </c>
      <c r="B206" s="1" t="n">
        <v>44991</v>
      </c>
      <c r="C206" s="1" t="n">
        <v>46002</v>
      </c>
      <c r="D206" t="inlineStr">
        <is>
          <t>JÄMTLANDS LÄN</t>
        </is>
      </c>
      <c r="E206" t="inlineStr">
        <is>
          <t>RAGUNDA</t>
        </is>
      </c>
      <c r="F206" t="inlineStr">
        <is>
          <t>SCA</t>
        </is>
      </c>
      <c r="G206" t="n">
        <v>10.2</v>
      </c>
      <c r="H206" t="n">
        <v>0</v>
      </c>
      <c r="I206" t="n">
        <v>0</v>
      </c>
      <c r="J206" t="n">
        <v>1</v>
      </c>
      <c r="K206" t="n">
        <v>0</v>
      </c>
      <c r="L206" t="n">
        <v>0</v>
      </c>
      <c r="M206" t="n">
        <v>0</v>
      </c>
      <c r="N206" t="n">
        <v>0</v>
      </c>
      <c r="O206" t="n">
        <v>1</v>
      </c>
      <c r="P206" t="n">
        <v>0</v>
      </c>
      <c r="Q206" t="n">
        <v>1</v>
      </c>
      <c r="R206" s="2" t="inlineStr">
        <is>
          <t>Lunglav</t>
        </is>
      </c>
      <c r="S206">
        <f>HYPERLINK("https://klasma.github.io/Logging_2303/artfynd/A 11040-2023 artfynd.xlsx", "A 11040-2023")</f>
        <v/>
      </c>
      <c r="T206">
        <f>HYPERLINK("https://klasma.github.io/Logging_2303/kartor/A 11040-2023 karta.png", "A 11040-2023")</f>
        <v/>
      </c>
      <c r="V206">
        <f>HYPERLINK("https://klasma.github.io/Logging_2303/klagomål/A 11040-2023 FSC-klagomål.docx", "A 11040-2023")</f>
        <v/>
      </c>
      <c r="W206">
        <f>HYPERLINK("https://klasma.github.io/Logging_2303/klagomålsmail/A 11040-2023 FSC-klagomål mail.docx", "A 11040-2023")</f>
        <v/>
      </c>
      <c r="X206">
        <f>HYPERLINK("https://klasma.github.io/Logging_2303/tillsyn/A 11040-2023 tillsynsbegäran.docx", "A 11040-2023")</f>
        <v/>
      </c>
      <c r="Y206">
        <f>HYPERLINK("https://klasma.github.io/Logging_2303/tillsynsmail/A 11040-2023 tillsynsbegäran mail.docx", "A 11040-2023")</f>
        <v/>
      </c>
    </row>
    <row r="207" ht="15" customHeight="1">
      <c r="A207" t="inlineStr">
        <is>
          <t>A 29921-2024</t>
        </is>
      </c>
      <c r="B207" s="1" t="n">
        <v>45487.92863425926</v>
      </c>
      <c r="C207" s="1" t="n">
        <v>46002</v>
      </c>
      <c r="D207" t="inlineStr">
        <is>
          <t>JÄMTLANDS LÄN</t>
        </is>
      </c>
      <c r="E207" t="inlineStr">
        <is>
          <t>RAGUNDA</t>
        </is>
      </c>
      <c r="G207" t="n">
        <v>1.6</v>
      </c>
      <c r="H207" t="n">
        <v>1</v>
      </c>
      <c r="I207" t="n">
        <v>0</v>
      </c>
      <c r="J207" t="n">
        <v>0</v>
      </c>
      <c r="K207" t="n">
        <v>1</v>
      </c>
      <c r="L207" t="n">
        <v>0</v>
      </c>
      <c r="M207" t="n">
        <v>0</v>
      </c>
      <c r="N207" t="n">
        <v>0</v>
      </c>
      <c r="O207" t="n">
        <v>1</v>
      </c>
      <c r="P207" t="n">
        <v>1</v>
      </c>
      <c r="Q207" t="n">
        <v>1</v>
      </c>
      <c r="R207" s="2" t="inlineStr">
        <is>
          <t>Knärot</t>
        </is>
      </c>
      <c r="S207">
        <f>HYPERLINK("https://klasma.github.io/Logging_2303/artfynd/A 29921-2024 artfynd.xlsx", "A 29921-2024")</f>
        <v/>
      </c>
      <c r="T207">
        <f>HYPERLINK("https://klasma.github.io/Logging_2303/kartor/A 29921-2024 karta.png", "A 29921-2024")</f>
        <v/>
      </c>
      <c r="U207">
        <f>HYPERLINK("https://klasma.github.io/Logging_2303/knärot/A 29921-2024 karta knärot.png", "A 29921-2024")</f>
        <v/>
      </c>
      <c r="V207">
        <f>HYPERLINK("https://klasma.github.io/Logging_2303/klagomål/A 29921-2024 FSC-klagomål.docx", "A 29921-2024")</f>
        <v/>
      </c>
      <c r="W207">
        <f>HYPERLINK("https://klasma.github.io/Logging_2303/klagomålsmail/A 29921-2024 FSC-klagomål mail.docx", "A 29921-2024")</f>
        <v/>
      </c>
      <c r="X207">
        <f>HYPERLINK("https://klasma.github.io/Logging_2303/tillsyn/A 29921-2024 tillsynsbegäran.docx", "A 29921-2024")</f>
        <v/>
      </c>
      <c r="Y207">
        <f>HYPERLINK("https://klasma.github.io/Logging_2303/tillsynsmail/A 29921-2024 tillsynsbegäran mail.docx", "A 29921-2024")</f>
        <v/>
      </c>
    </row>
    <row r="208" ht="15" customHeight="1">
      <c r="A208" t="inlineStr">
        <is>
          <t>A 36975-2023</t>
        </is>
      </c>
      <c r="B208" s="1" t="n">
        <v>45154</v>
      </c>
      <c r="C208" s="1" t="n">
        <v>46002</v>
      </c>
      <c r="D208" t="inlineStr">
        <is>
          <t>JÄMTLANDS LÄN</t>
        </is>
      </c>
      <c r="E208" t="inlineStr">
        <is>
          <t>RAGUNDA</t>
        </is>
      </c>
      <c r="F208" t="inlineStr">
        <is>
          <t>SCA</t>
        </is>
      </c>
      <c r="G208" t="n">
        <v>3.8</v>
      </c>
      <c r="H208" t="n">
        <v>0</v>
      </c>
      <c r="I208" t="n">
        <v>0</v>
      </c>
      <c r="J208" t="n">
        <v>0</v>
      </c>
      <c r="K208" t="n">
        <v>1</v>
      </c>
      <c r="L208" t="n">
        <v>0</v>
      </c>
      <c r="M208" t="n">
        <v>0</v>
      </c>
      <c r="N208" t="n">
        <v>0</v>
      </c>
      <c r="O208" t="n">
        <v>1</v>
      </c>
      <c r="P208" t="n">
        <v>1</v>
      </c>
      <c r="Q208" t="n">
        <v>1</v>
      </c>
      <c r="R208" s="2" t="inlineStr">
        <is>
          <t>Gräddporing</t>
        </is>
      </c>
      <c r="S208">
        <f>HYPERLINK("https://klasma.github.io/Logging_2303/artfynd/A 36975-2023 artfynd.xlsx", "A 36975-2023")</f>
        <v/>
      </c>
      <c r="T208">
        <f>HYPERLINK("https://klasma.github.io/Logging_2303/kartor/A 36975-2023 karta.png", "A 36975-2023")</f>
        <v/>
      </c>
      <c r="V208">
        <f>HYPERLINK("https://klasma.github.io/Logging_2303/klagomål/A 36975-2023 FSC-klagomål.docx", "A 36975-2023")</f>
        <v/>
      </c>
      <c r="W208">
        <f>HYPERLINK("https://klasma.github.io/Logging_2303/klagomålsmail/A 36975-2023 FSC-klagomål mail.docx", "A 36975-2023")</f>
        <v/>
      </c>
      <c r="X208">
        <f>HYPERLINK("https://klasma.github.io/Logging_2303/tillsyn/A 36975-2023 tillsynsbegäran.docx", "A 36975-2023")</f>
        <v/>
      </c>
      <c r="Y208">
        <f>HYPERLINK("https://klasma.github.io/Logging_2303/tillsynsmail/A 36975-2023 tillsynsbegäran mail.docx", "A 36975-2023")</f>
        <v/>
      </c>
    </row>
    <row r="209" ht="15" customHeight="1">
      <c r="A209" t="inlineStr">
        <is>
          <t>A 50233-2024</t>
        </is>
      </c>
      <c r="B209" s="1" t="n">
        <v>45600.55265046296</v>
      </c>
      <c r="C209" s="1" t="n">
        <v>46002</v>
      </c>
      <c r="D209" t="inlineStr">
        <is>
          <t>JÄMTLANDS LÄN</t>
        </is>
      </c>
      <c r="E209" t="inlineStr">
        <is>
          <t>RAGUNDA</t>
        </is>
      </c>
      <c r="F209" t="inlineStr">
        <is>
          <t>SCA</t>
        </is>
      </c>
      <c r="G209" t="n">
        <v>5.6</v>
      </c>
      <c r="H209" t="n">
        <v>0</v>
      </c>
      <c r="I209" t="n">
        <v>0</v>
      </c>
      <c r="J209" t="n">
        <v>1</v>
      </c>
      <c r="K209" t="n">
        <v>0</v>
      </c>
      <c r="L209" t="n">
        <v>0</v>
      </c>
      <c r="M209" t="n">
        <v>0</v>
      </c>
      <c r="N209" t="n">
        <v>0</v>
      </c>
      <c r="O209" t="n">
        <v>1</v>
      </c>
      <c r="P209" t="n">
        <v>0</v>
      </c>
      <c r="Q209" t="n">
        <v>1</v>
      </c>
      <c r="R209" s="2" t="inlineStr">
        <is>
          <t>Granticka</t>
        </is>
      </c>
      <c r="S209">
        <f>HYPERLINK("https://klasma.github.io/Logging_2303/artfynd/A 50233-2024 artfynd.xlsx", "A 50233-2024")</f>
        <v/>
      </c>
      <c r="T209">
        <f>HYPERLINK("https://klasma.github.io/Logging_2303/kartor/A 50233-2024 karta.png", "A 50233-2024")</f>
        <v/>
      </c>
      <c r="V209">
        <f>HYPERLINK("https://klasma.github.io/Logging_2303/klagomål/A 50233-2024 FSC-klagomål.docx", "A 50233-2024")</f>
        <v/>
      </c>
      <c r="W209">
        <f>HYPERLINK("https://klasma.github.io/Logging_2303/klagomålsmail/A 50233-2024 FSC-klagomål mail.docx", "A 50233-2024")</f>
        <v/>
      </c>
      <c r="X209">
        <f>HYPERLINK("https://klasma.github.io/Logging_2303/tillsyn/A 50233-2024 tillsynsbegäran.docx", "A 50233-2024")</f>
        <v/>
      </c>
      <c r="Y209">
        <f>HYPERLINK("https://klasma.github.io/Logging_2303/tillsynsmail/A 50233-2024 tillsynsbegäran mail.docx", "A 50233-2024")</f>
        <v/>
      </c>
    </row>
    <row r="210" ht="15" customHeight="1">
      <c r="A210" t="inlineStr">
        <is>
          <t>A 36224-2023</t>
        </is>
      </c>
      <c r="B210" s="1" t="n">
        <v>45149</v>
      </c>
      <c r="C210" s="1" t="n">
        <v>46002</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43404-2023</t>
        </is>
      </c>
      <c r="B211" s="1" t="n">
        <v>45183</v>
      </c>
      <c r="C211" s="1" t="n">
        <v>46002</v>
      </c>
      <c r="D211" t="inlineStr">
        <is>
          <t>JÄMTLANDS LÄN</t>
        </is>
      </c>
      <c r="E211" t="inlineStr">
        <is>
          <t>RAGUNDA</t>
        </is>
      </c>
      <c r="F211" t="inlineStr">
        <is>
          <t>SCA</t>
        </is>
      </c>
      <c r="G211" t="n">
        <v>0.9</v>
      </c>
      <c r="H211" t="n">
        <v>0</v>
      </c>
      <c r="I211" t="n">
        <v>1</v>
      </c>
      <c r="J211" t="n">
        <v>0</v>
      </c>
      <c r="K211" t="n">
        <v>0</v>
      </c>
      <c r="L211" t="n">
        <v>0</v>
      </c>
      <c r="M211" t="n">
        <v>0</v>
      </c>
      <c r="N211" t="n">
        <v>0</v>
      </c>
      <c r="O211" t="n">
        <v>0</v>
      </c>
      <c r="P211" t="n">
        <v>0</v>
      </c>
      <c r="Q211" t="n">
        <v>1</v>
      </c>
      <c r="R211" s="2" t="inlineStr">
        <is>
          <t>Kryddspindling</t>
        </is>
      </c>
      <c r="S211">
        <f>HYPERLINK("https://klasma.github.io/Logging_2303/artfynd/A 43404-2023 artfynd.xlsx", "A 43404-2023")</f>
        <v/>
      </c>
      <c r="T211">
        <f>HYPERLINK("https://klasma.github.io/Logging_2303/kartor/A 43404-2023 karta.png", "A 43404-2023")</f>
        <v/>
      </c>
      <c r="V211">
        <f>HYPERLINK("https://klasma.github.io/Logging_2303/klagomål/A 43404-2023 FSC-klagomål.docx", "A 43404-2023")</f>
        <v/>
      </c>
      <c r="W211">
        <f>HYPERLINK("https://klasma.github.io/Logging_2303/klagomålsmail/A 43404-2023 FSC-klagomål mail.docx", "A 43404-2023")</f>
        <v/>
      </c>
      <c r="X211">
        <f>HYPERLINK("https://klasma.github.io/Logging_2303/tillsyn/A 43404-2023 tillsynsbegäran.docx", "A 43404-2023")</f>
        <v/>
      </c>
      <c r="Y211">
        <f>HYPERLINK("https://klasma.github.io/Logging_2303/tillsynsmail/A 43404-2023 tillsynsbegäran mail.docx", "A 43404-2023")</f>
        <v/>
      </c>
    </row>
    <row r="212" ht="15" customHeight="1">
      <c r="A212" t="inlineStr">
        <is>
          <t>A 40841-2025</t>
        </is>
      </c>
      <c r="B212" s="1" t="n">
        <v>45897.531875</v>
      </c>
      <c r="C212" s="1" t="n">
        <v>46002</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27573-2025</t>
        </is>
      </c>
      <c r="B213" s="1" t="n">
        <v>45813.49061342593</v>
      </c>
      <c r="C213" s="1" t="n">
        <v>46002</v>
      </c>
      <c r="D213" t="inlineStr">
        <is>
          <t>JÄMTLANDS LÄN</t>
        </is>
      </c>
      <c r="E213" t="inlineStr">
        <is>
          <t>RAGUNDA</t>
        </is>
      </c>
      <c r="F213" t="inlineStr">
        <is>
          <t>SCA</t>
        </is>
      </c>
      <c r="G213" t="n">
        <v>14.9</v>
      </c>
      <c r="H213" t="n">
        <v>0</v>
      </c>
      <c r="I213" t="n">
        <v>1</v>
      </c>
      <c r="J213" t="n">
        <v>0</v>
      </c>
      <c r="K213" t="n">
        <v>0</v>
      </c>
      <c r="L213" t="n">
        <v>0</v>
      </c>
      <c r="M213" t="n">
        <v>0</v>
      </c>
      <c r="N213" t="n">
        <v>0</v>
      </c>
      <c r="O213" t="n">
        <v>0</v>
      </c>
      <c r="P213" t="n">
        <v>0</v>
      </c>
      <c r="Q213" t="n">
        <v>1</v>
      </c>
      <c r="R213" s="2" t="inlineStr">
        <is>
          <t>Skinnlav</t>
        </is>
      </c>
      <c r="S213">
        <f>HYPERLINK("https://klasma.github.io/Logging_2303/artfynd/A 27573-2025 artfynd.xlsx", "A 27573-2025")</f>
        <v/>
      </c>
      <c r="T213">
        <f>HYPERLINK("https://klasma.github.io/Logging_2303/kartor/A 27573-2025 karta.png", "A 27573-2025")</f>
        <v/>
      </c>
      <c r="U213">
        <f>HYPERLINK("https://klasma.github.io/Logging_2303/knärot/A 27573-2025 karta knärot.png", "A 27573-2025")</f>
        <v/>
      </c>
      <c r="V213">
        <f>HYPERLINK("https://klasma.github.io/Logging_2303/klagomål/A 27573-2025 FSC-klagomål.docx", "A 27573-2025")</f>
        <v/>
      </c>
      <c r="W213">
        <f>HYPERLINK("https://klasma.github.io/Logging_2303/klagomålsmail/A 27573-2025 FSC-klagomål mail.docx", "A 27573-2025")</f>
        <v/>
      </c>
      <c r="X213">
        <f>HYPERLINK("https://klasma.github.io/Logging_2303/tillsyn/A 27573-2025 tillsynsbegäran.docx", "A 27573-2025")</f>
        <v/>
      </c>
      <c r="Y213">
        <f>HYPERLINK("https://klasma.github.io/Logging_2303/tillsynsmail/A 27573-2025 tillsynsbegäran mail.docx", "A 27573-2025")</f>
        <v/>
      </c>
    </row>
    <row r="214" ht="15" customHeight="1">
      <c r="A214" t="inlineStr">
        <is>
          <t>A 24443-2024</t>
        </is>
      </c>
      <c r="B214" s="1" t="n">
        <v>45457.9640625</v>
      </c>
      <c r="C214" s="1" t="n">
        <v>46002</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46002</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30390-2025</t>
        </is>
      </c>
      <c r="B216" s="1" t="n">
        <v>45827.57371527778</v>
      </c>
      <c r="C216" s="1" t="n">
        <v>46002</v>
      </c>
      <c r="D216" t="inlineStr">
        <is>
          <t>JÄMTLANDS LÄN</t>
        </is>
      </c>
      <c r="E216" t="inlineStr">
        <is>
          <t>RAGUNDA</t>
        </is>
      </c>
      <c r="F216" t="inlineStr">
        <is>
          <t>SCA</t>
        </is>
      </c>
      <c r="G216" t="n">
        <v>11.2</v>
      </c>
      <c r="H216" t="n">
        <v>0</v>
      </c>
      <c r="I216" t="n">
        <v>0</v>
      </c>
      <c r="J216" t="n">
        <v>1</v>
      </c>
      <c r="K216" t="n">
        <v>0</v>
      </c>
      <c r="L216" t="n">
        <v>0</v>
      </c>
      <c r="M216" t="n">
        <v>0</v>
      </c>
      <c r="N216" t="n">
        <v>0</v>
      </c>
      <c r="O216" t="n">
        <v>1</v>
      </c>
      <c r="P216" t="n">
        <v>0</v>
      </c>
      <c r="Q216" t="n">
        <v>1</v>
      </c>
      <c r="R216" s="2" t="inlineStr">
        <is>
          <t>Lunglav</t>
        </is>
      </c>
      <c r="S216">
        <f>HYPERLINK("https://klasma.github.io/Logging_2303/artfynd/A 30390-2025 artfynd.xlsx", "A 30390-2025")</f>
        <v/>
      </c>
      <c r="T216">
        <f>HYPERLINK("https://klasma.github.io/Logging_2303/kartor/A 30390-2025 karta.png", "A 30390-2025")</f>
        <v/>
      </c>
      <c r="U216">
        <f>HYPERLINK("https://klasma.github.io/Logging_2303/knärot/A 30390-2025 karta knärot.png", "A 30390-2025")</f>
        <v/>
      </c>
      <c r="V216">
        <f>HYPERLINK("https://klasma.github.io/Logging_2303/klagomål/A 30390-2025 FSC-klagomål.docx", "A 30390-2025")</f>
        <v/>
      </c>
      <c r="W216">
        <f>HYPERLINK("https://klasma.github.io/Logging_2303/klagomålsmail/A 30390-2025 FSC-klagomål mail.docx", "A 30390-2025")</f>
        <v/>
      </c>
      <c r="X216">
        <f>HYPERLINK("https://klasma.github.io/Logging_2303/tillsyn/A 30390-2025 tillsynsbegäran.docx", "A 30390-2025")</f>
        <v/>
      </c>
      <c r="Y216">
        <f>HYPERLINK("https://klasma.github.io/Logging_2303/tillsynsmail/A 30390-2025 tillsynsbegäran mail.docx", "A 30390-2025")</f>
        <v/>
      </c>
    </row>
    <row r="217" ht="15" customHeight="1">
      <c r="A217" t="inlineStr">
        <is>
          <t>A 43526-2025</t>
        </is>
      </c>
      <c r="B217" s="1" t="n">
        <v>45911</v>
      </c>
      <c r="C217" s="1" t="n">
        <v>46002</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22054-2025</t>
        </is>
      </c>
      <c r="B218" s="1" t="n">
        <v>45785.36525462963</v>
      </c>
      <c r="C218" s="1" t="n">
        <v>46002</v>
      </c>
      <c r="D218" t="inlineStr">
        <is>
          <t>JÄMTLANDS LÄN</t>
        </is>
      </c>
      <c r="E218" t="inlineStr">
        <is>
          <t>RAGUNDA</t>
        </is>
      </c>
      <c r="F218" t="inlineStr">
        <is>
          <t>SCA</t>
        </is>
      </c>
      <c r="G218" t="n">
        <v>4</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22054-2025 artfynd.xlsx", "A 22054-2025")</f>
        <v/>
      </c>
      <c r="T218">
        <f>HYPERLINK("https://klasma.github.io/Logging_2303/kartor/A 22054-2025 karta.png", "A 22054-2025")</f>
        <v/>
      </c>
      <c r="V218">
        <f>HYPERLINK("https://klasma.github.io/Logging_2303/klagomål/A 22054-2025 FSC-klagomål.docx", "A 22054-2025")</f>
        <v/>
      </c>
      <c r="W218">
        <f>HYPERLINK("https://klasma.github.io/Logging_2303/klagomålsmail/A 22054-2025 FSC-klagomål mail.docx", "A 22054-2025")</f>
        <v/>
      </c>
      <c r="X218">
        <f>HYPERLINK("https://klasma.github.io/Logging_2303/tillsyn/A 22054-2025 tillsynsbegäran.docx", "A 22054-2025")</f>
        <v/>
      </c>
      <c r="Y218">
        <f>HYPERLINK("https://klasma.github.io/Logging_2303/tillsynsmail/A 22054-2025 tillsynsbegäran mail.docx", "A 22054-2025")</f>
        <v/>
      </c>
      <c r="Z218">
        <f>HYPERLINK("https://klasma.github.io/Logging_2303/fåglar/A 22054-2025 prioriterade fågelarter.docx", "A 22054-2025")</f>
        <v/>
      </c>
    </row>
    <row r="219" ht="15" customHeight="1">
      <c r="A219" t="inlineStr">
        <is>
          <t>A 978-2024</t>
        </is>
      </c>
      <c r="B219" s="1" t="n">
        <v>45301</v>
      </c>
      <c r="C219" s="1" t="n">
        <v>46002</v>
      </c>
      <c r="D219" t="inlineStr">
        <is>
          <t>JÄMTLANDS LÄN</t>
        </is>
      </c>
      <c r="E219" t="inlineStr">
        <is>
          <t>RAGUNDA</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978-2024 artfynd.xlsx", "A 978-2024")</f>
        <v/>
      </c>
      <c r="T219">
        <f>HYPERLINK("https://klasma.github.io/Logging_2303/kartor/A 978-2024 karta.png", "A 978-2024")</f>
        <v/>
      </c>
      <c r="V219">
        <f>HYPERLINK("https://klasma.github.io/Logging_2303/klagomål/A 978-2024 FSC-klagomål.docx", "A 978-2024")</f>
        <v/>
      </c>
      <c r="W219">
        <f>HYPERLINK("https://klasma.github.io/Logging_2303/klagomålsmail/A 978-2024 FSC-klagomål mail.docx", "A 978-2024")</f>
        <v/>
      </c>
      <c r="X219">
        <f>HYPERLINK("https://klasma.github.io/Logging_2303/tillsyn/A 978-2024 tillsynsbegäran.docx", "A 978-2024")</f>
        <v/>
      </c>
      <c r="Y219">
        <f>HYPERLINK("https://klasma.github.io/Logging_2303/tillsynsmail/A 978-2024 tillsynsbegäran mail.docx", "A 978-2024")</f>
        <v/>
      </c>
      <c r="Z219">
        <f>HYPERLINK("https://klasma.github.io/Logging_2303/fåglar/A 978-2024 prioriterade fågelarter.docx", "A 978-2024")</f>
        <v/>
      </c>
    </row>
    <row r="220" ht="15" customHeight="1">
      <c r="A220" t="inlineStr">
        <is>
          <t>A 1057-2024</t>
        </is>
      </c>
      <c r="B220" s="1" t="n">
        <v>45301</v>
      </c>
      <c r="C220" s="1" t="n">
        <v>46002</v>
      </c>
      <c r="D220" t="inlineStr">
        <is>
          <t>JÄMTLANDS LÄN</t>
        </is>
      </c>
      <c r="E220" t="inlineStr">
        <is>
          <t>RAGUNDA</t>
        </is>
      </c>
      <c r="F220" t="inlineStr">
        <is>
          <t>SCA</t>
        </is>
      </c>
      <c r="G220" t="n">
        <v>6.8</v>
      </c>
      <c r="H220" t="n">
        <v>0</v>
      </c>
      <c r="I220" t="n">
        <v>1</v>
      </c>
      <c r="J220" t="n">
        <v>0</v>
      </c>
      <c r="K220" t="n">
        <v>0</v>
      </c>
      <c r="L220" t="n">
        <v>0</v>
      </c>
      <c r="M220" t="n">
        <v>0</v>
      </c>
      <c r="N220" t="n">
        <v>0</v>
      </c>
      <c r="O220" t="n">
        <v>0</v>
      </c>
      <c r="P220" t="n">
        <v>0</v>
      </c>
      <c r="Q220" t="n">
        <v>1</v>
      </c>
      <c r="R220" s="2" t="inlineStr">
        <is>
          <t>Stor aspticka</t>
        </is>
      </c>
      <c r="S220">
        <f>HYPERLINK("https://klasma.github.io/Logging_2303/artfynd/A 1057-2024 artfynd.xlsx", "A 1057-2024")</f>
        <v/>
      </c>
      <c r="T220">
        <f>HYPERLINK("https://klasma.github.io/Logging_2303/kartor/A 1057-2024 karta.png", "A 1057-2024")</f>
        <v/>
      </c>
      <c r="V220">
        <f>HYPERLINK("https://klasma.github.io/Logging_2303/klagomål/A 1057-2024 FSC-klagomål.docx", "A 1057-2024")</f>
        <v/>
      </c>
      <c r="W220">
        <f>HYPERLINK("https://klasma.github.io/Logging_2303/klagomålsmail/A 1057-2024 FSC-klagomål mail.docx", "A 1057-2024")</f>
        <v/>
      </c>
      <c r="X220">
        <f>HYPERLINK("https://klasma.github.io/Logging_2303/tillsyn/A 1057-2024 tillsynsbegäran.docx", "A 1057-2024")</f>
        <v/>
      </c>
      <c r="Y220">
        <f>HYPERLINK("https://klasma.github.io/Logging_2303/tillsynsmail/A 1057-2024 tillsynsbegäran mail.docx", "A 1057-2024")</f>
        <v/>
      </c>
    </row>
    <row r="221" ht="15" customHeight="1">
      <c r="A221" t="inlineStr">
        <is>
          <t>A 32445-2025</t>
        </is>
      </c>
      <c r="B221" s="1" t="n">
        <v>45838.38627314815</v>
      </c>
      <c r="C221" s="1" t="n">
        <v>46002</v>
      </c>
      <c r="D221" t="inlineStr">
        <is>
          <t>JÄMTLANDS LÄN</t>
        </is>
      </c>
      <c r="E221" t="inlineStr">
        <is>
          <t>RAGUNDA</t>
        </is>
      </c>
      <c r="F221" t="inlineStr">
        <is>
          <t>SCA</t>
        </is>
      </c>
      <c r="G221" t="n">
        <v>1.6</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32445-2025 artfynd.xlsx", "A 32445-2025")</f>
        <v/>
      </c>
      <c r="T221">
        <f>HYPERLINK("https://klasma.github.io/Logging_2303/kartor/A 32445-2025 karta.png", "A 32445-2025")</f>
        <v/>
      </c>
      <c r="V221">
        <f>HYPERLINK("https://klasma.github.io/Logging_2303/klagomål/A 32445-2025 FSC-klagomål.docx", "A 32445-2025")</f>
        <v/>
      </c>
      <c r="W221">
        <f>HYPERLINK("https://klasma.github.io/Logging_2303/klagomålsmail/A 32445-2025 FSC-klagomål mail.docx", "A 32445-2025")</f>
        <v/>
      </c>
      <c r="X221">
        <f>HYPERLINK("https://klasma.github.io/Logging_2303/tillsyn/A 32445-2025 tillsynsbegäran.docx", "A 32445-2025")</f>
        <v/>
      </c>
      <c r="Y221">
        <f>HYPERLINK("https://klasma.github.io/Logging_2303/tillsynsmail/A 32445-2025 tillsynsbegäran mail.docx", "A 32445-2025")</f>
        <v/>
      </c>
      <c r="Z221">
        <f>HYPERLINK("https://klasma.github.io/Logging_2303/fåglar/A 32445-2025 prioriterade fågelarter.docx", "A 32445-2025")</f>
        <v/>
      </c>
    </row>
    <row r="222" ht="15" customHeight="1">
      <c r="A222" t="inlineStr">
        <is>
          <t>A 31773-2021</t>
        </is>
      </c>
      <c r="B222" s="1" t="n">
        <v>44369</v>
      </c>
      <c r="C222" s="1" t="n">
        <v>46002</v>
      </c>
      <c r="D222" t="inlineStr">
        <is>
          <t>JÄMTLANDS LÄN</t>
        </is>
      </c>
      <c r="E222" t="inlineStr">
        <is>
          <t>RAGUNDA</t>
        </is>
      </c>
      <c r="G222" t="n">
        <v>0.8</v>
      </c>
      <c r="H222" t="n">
        <v>0</v>
      </c>
      <c r="I222" t="n">
        <v>0</v>
      </c>
      <c r="J222" t="n">
        <v>0</v>
      </c>
      <c r="K222" t="n">
        <v>1</v>
      </c>
      <c r="L222" t="n">
        <v>0</v>
      </c>
      <c r="M222" t="n">
        <v>0</v>
      </c>
      <c r="N222" t="n">
        <v>0</v>
      </c>
      <c r="O222" t="n">
        <v>1</v>
      </c>
      <c r="P222" t="n">
        <v>1</v>
      </c>
      <c r="Q222" t="n">
        <v>1</v>
      </c>
      <c r="R222" s="2" t="inlineStr">
        <is>
          <t>Strandsandjägare</t>
        </is>
      </c>
      <c r="S222">
        <f>HYPERLINK("https://klasma.github.io/Logging_2303/artfynd/A 31773-2021 artfynd.xlsx", "A 31773-2021")</f>
        <v/>
      </c>
      <c r="T222">
        <f>HYPERLINK("https://klasma.github.io/Logging_2303/kartor/A 31773-2021 karta.png", "A 31773-2021")</f>
        <v/>
      </c>
      <c r="V222">
        <f>HYPERLINK("https://klasma.github.io/Logging_2303/klagomål/A 31773-2021 FSC-klagomål.docx", "A 31773-2021")</f>
        <v/>
      </c>
      <c r="W222">
        <f>HYPERLINK("https://klasma.github.io/Logging_2303/klagomålsmail/A 31773-2021 FSC-klagomål mail.docx", "A 31773-2021")</f>
        <v/>
      </c>
      <c r="X222">
        <f>HYPERLINK("https://klasma.github.io/Logging_2303/tillsyn/A 31773-2021 tillsynsbegäran.docx", "A 31773-2021")</f>
        <v/>
      </c>
      <c r="Y222">
        <f>HYPERLINK("https://klasma.github.io/Logging_2303/tillsynsmail/A 31773-2021 tillsynsbegäran mail.docx", "A 31773-2021")</f>
        <v/>
      </c>
    </row>
    <row r="223" ht="15" customHeight="1">
      <c r="A223" t="inlineStr">
        <is>
          <t>A 34474-2025</t>
        </is>
      </c>
      <c r="B223" s="1" t="n">
        <v>45847.36528935185</v>
      </c>
      <c r="C223" s="1" t="n">
        <v>46002</v>
      </c>
      <c r="D223" t="inlineStr">
        <is>
          <t>JÄMTLANDS LÄN</t>
        </is>
      </c>
      <c r="E223" t="inlineStr">
        <is>
          <t>RAGUNDA</t>
        </is>
      </c>
      <c r="F223" t="inlineStr">
        <is>
          <t>SCA</t>
        </is>
      </c>
      <c r="G223" t="n">
        <v>9.699999999999999</v>
      </c>
      <c r="H223" t="n">
        <v>1</v>
      </c>
      <c r="I223" t="n">
        <v>0</v>
      </c>
      <c r="J223" t="n">
        <v>1</v>
      </c>
      <c r="K223" t="n">
        <v>0</v>
      </c>
      <c r="L223" t="n">
        <v>0</v>
      </c>
      <c r="M223" t="n">
        <v>0</v>
      </c>
      <c r="N223" t="n">
        <v>0</v>
      </c>
      <c r="O223" t="n">
        <v>1</v>
      </c>
      <c r="P223" t="n">
        <v>0</v>
      </c>
      <c r="Q223" t="n">
        <v>1</v>
      </c>
      <c r="R223" s="2" t="inlineStr">
        <is>
          <t>Fjällvråk</t>
        </is>
      </c>
      <c r="S223">
        <f>HYPERLINK("https://klasma.github.io/Logging_2303/artfynd/A 34474-2025 artfynd.xlsx", "A 34474-2025")</f>
        <v/>
      </c>
      <c r="T223">
        <f>HYPERLINK("https://klasma.github.io/Logging_2303/kartor/A 34474-2025 karta.png", "A 34474-2025")</f>
        <v/>
      </c>
      <c r="V223">
        <f>HYPERLINK("https://klasma.github.io/Logging_2303/klagomål/A 34474-2025 FSC-klagomål.docx", "A 34474-2025")</f>
        <v/>
      </c>
      <c r="W223">
        <f>HYPERLINK("https://klasma.github.io/Logging_2303/klagomålsmail/A 34474-2025 FSC-klagomål mail.docx", "A 34474-2025")</f>
        <v/>
      </c>
      <c r="X223">
        <f>HYPERLINK("https://klasma.github.io/Logging_2303/tillsyn/A 34474-2025 tillsynsbegäran.docx", "A 34474-2025")</f>
        <v/>
      </c>
      <c r="Y223">
        <f>HYPERLINK("https://klasma.github.io/Logging_2303/tillsynsmail/A 34474-2025 tillsynsbegäran mail.docx", "A 34474-2025")</f>
        <v/>
      </c>
      <c r="Z223">
        <f>HYPERLINK("https://klasma.github.io/Logging_2303/fåglar/A 34474-2025 prioriterade fågelarter.docx", "A 34474-2025")</f>
        <v/>
      </c>
    </row>
    <row r="224" ht="15" customHeight="1">
      <c r="A224" t="inlineStr">
        <is>
          <t>A 55756-2025</t>
        </is>
      </c>
      <c r="B224" s="1" t="n">
        <v>45972.59438657408</v>
      </c>
      <c r="C224" s="1" t="n">
        <v>46002</v>
      </c>
      <c r="D224" t="inlineStr">
        <is>
          <t>JÄMTLANDS LÄN</t>
        </is>
      </c>
      <c r="E224" t="inlineStr">
        <is>
          <t>RAGUNDA</t>
        </is>
      </c>
      <c r="G224" t="n">
        <v>1.6</v>
      </c>
      <c r="H224" t="n">
        <v>0</v>
      </c>
      <c r="I224" t="n">
        <v>0</v>
      </c>
      <c r="J224" t="n">
        <v>1</v>
      </c>
      <c r="K224" t="n">
        <v>0</v>
      </c>
      <c r="L224" t="n">
        <v>0</v>
      </c>
      <c r="M224" t="n">
        <v>0</v>
      </c>
      <c r="N224" t="n">
        <v>0</v>
      </c>
      <c r="O224" t="n">
        <v>1</v>
      </c>
      <c r="P224" t="n">
        <v>0</v>
      </c>
      <c r="Q224" t="n">
        <v>1</v>
      </c>
      <c r="R224" s="2" t="inlineStr">
        <is>
          <t>Garnlav</t>
        </is>
      </c>
      <c r="S224">
        <f>HYPERLINK("https://klasma.github.io/Logging_2303/artfynd/A 55756-2025 artfynd.xlsx", "A 55756-2025")</f>
        <v/>
      </c>
      <c r="T224">
        <f>HYPERLINK("https://klasma.github.io/Logging_2303/kartor/A 55756-2025 karta.png", "A 55756-2025")</f>
        <v/>
      </c>
      <c r="V224">
        <f>HYPERLINK("https://klasma.github.io/Logging_2303/klagomål/A 55756-2025 FSC-klagomål.docx", "A 55756-2025")</f>
        <v/>
      </c>
      <c r="W224">
        <f>HYPERLINK("https://klasma.github.io/Logging_2303/klagomålsmail/A 55756-2025 FSC-klagomål mail.docx", "A 55756-2025")</f>
        <v/>
      </c>
      <c r="X224">
        <f>HYPERLINK("https://klasma.github.io/Logging_2303/tillsyn/A 55756-2025 tillsynsbegäran.docx", "A 55756-2025")</f>
        <v/>
      </c>
      <c r="Y224">
        <f>HYPERLINK("https://klasma.github.io/Logging_2303/tillsynsmail/A 55756-2025 tillsynsbegäran mail.docx", "A 55756-2025")</f>
        <v/>
      </c>
    </row>
    <row r="225" ht="15" customHeight="1">
      <c r="A225" t="inlineStr">
        <is>
          <t>A 26317-2024</t>
        </is>
      </c>
      <c r="B225" s="1" t="n">
        <v>45468</v>
      </c>
      <c r="C225" s="1" t="n">
        <v>46002</v>
      </c>
      <c r="D225" t="inlineStr">
        <is>
          <t>JÄMTLANDS LÄN</t>
        </is>
      </c>
      <c r="E225" t="inlineStr">
        <is>
          <t>RAGUNDA</t>
        </is>
      </c>
      <c r="F225" t="inlineStr">
        <is>
          <t>SCA</t>
        </is>
      </c>
      <c r="G225" t="n">
        <v>3.8</v>
      </c>
      <c r="H225" t="n">
        <v>0</v>
      </c>
      <c r="I225" t="n">
        <v>0</v>
      </c>
      <c r="J225" t="n">
        <v>1</v>
      </c>
      <c r="K225" t="n">
        <v>0</v>
      </c>
      <c r="L225" t="n">
        <v>0</v>
      </c>
      <c r="M225" t="n">
        <v>0</v>
      </c>
      <c r="N225" t="n">
        <v>0</v>
      </c>
      <c r="O225" t="n">
        <v>1</v>
      </c>
      <c r="P225" t="n">
        <v>0</v>
      </c>
      <c r="Q225" t="n">
        <v>1</v>
      </c>
      <c r="R225" s="2" t="inlineStr">
        <is>
          <t>Kortskaftad ärgspik</t>
        </is>
      </c>
      <c r="S225">
        <f>HYPERLINK("https://klasma.github.io/Logging_2303/artfynd/A 26317-2024 artfynd.xlsx", "A 26317-2024")</f>
        <v/>
      </c>
      <c r="T225">
        <f>HYPERLINK("https://klasma.github.io/Logging_2303/kartor/A 26317-2024 karta.png", "A 26317-2024")</f>
        <v/>
      </c>
      <c r="V225">
        <f>HYPERLINK("https://klasma.github.io/Logging_2303/klagomål/A 26317-2024 FSC-klagomål.docx", "A 26317-2024")</f>
        <v/>
      </c>
      <c r="W225">
        <f>HYPERLINK("https://klasma.github.io/Logging_2303/klagomålsmail/A 26317-2024 FSC-klagomål mail.docx", "A 26317-2024")</f>
        <v/>
      </c>
      <c r="X225">
        <f>HYPERLINK("https://klasma.github.io/Logging_2303/tillsyn/A 26317-2024 tillsynsbegäran.docx", "A 26317-2024")</f>
        <v/>
      </c>
      <c r="Y225">
        <f>HYPERLINK("https://klasma.github.io/Logging_2303/tillsynsmail/A 26317-2024 tillsynsbegäran mail.docx", "A 26317-2024")</f>
        <v/>
      </c>
    </row>
    <row r="226" ht="15" customHeight="1">
      <c r="A226" t="inlineStr">
        <is>
          <t>A 49091-2022</t>
        </is>
      </c>
      <c r="B226" s="1" t="n">
        <v>44860</v>
      </c>
      <c r="C226" s="1" t="n">
        <v>46002</v>
      </c>
      <c r="D226" t="inlineStr">
        <is>
          <t>JÄMTLANDS LÄN</t>
        </is>
      </c>
      <c r="E226" t="inlineStr">
        <is>
          <t>RAGUNDA</t>
        </is>
      </c>
      <c r="G226" t="n">
        <v>3.5</v>
      </c>
      <c r="H226" t="n">
        <v>1</v>
      </c>
      <c r="I226" t="n">
        <v>0</v>
      </c>
      <c r="J226" t="n">
        <v>0</v>
      </c>
      <c r="K226" t="n">
        <v>1</v>
      </c>
      <c r="L226" t="n">
        <v>0</v>
      </c>
      <c r="M226" t="n">
        <v>0</v>
      </c>
      <c r="N226" t="n">
        <v>0</v>
      </c>
      <c r="O226" t="n">
        <v>1</v>
      </c>
      <c r="P226" t="n">
        <v>1</v>
      </c>
      <c r="Q226" t="n">
        <v>1</v>
      </c>
      <c r="R226" s="2" t="inlineStr">
        <is>
          <t>Doftticka</t>
        </is>
      </c>
      <c r="S226">
        <f>HYPERLINK("https://klasma.github.io/Logging_2303/artfynd/A 49091-2022 artfynd.xlsx", "A 49091-2022")</f>
        <v/>
      </c>
      <c r="T226">
        <f>HYPERLINK("https://klasma.github.io/Logging_2303/kartor/A 49091-2022 karta.png", "A 49091-2022")</f>
        <v/>
      </c>
      <c r="V226">
        <f>HYPERLINK("https://klasma.github.io/Logging_2303/klagomål/A 49091-2022 FSC-klagomål.docx", "A 49091-2022")</f>
        <v/>
      </c>
      <c r="W226">
        <f>HYPERLINK("https://klasma.github.io/Logging_2303/klagomålsmail/A 49091-2022 FSC-klagomål mail.docx", "A 49091-2022")</f>
        <v/>
      </c>
      <c r="X226">
        <f>HYPERLINK("https://klasma.github.io/Logging_2303/tillsyn/A 49091-2022 tillsynsbegäran.docx", "A 49091-2022")</f>
        <v/>
      </c>
      <c r="Y226">
        <f>HYPERLINK("https://klasma.github.io/Logging_2303/tillsynsmail/A 49091-2022 tillsynsbegäran mail.docx", "A 49091-2022")</f>
        <v/>
      </c>
    </row>
    <row r="227" ht="15" customHeight="1">
      <c r="A227" t="inlineStr">
        <is>
          <t>A 56599-2025</t>
        </is>
      </c>
      <c r="B227" s="1" t="n">
        <v>45975.5734837963</v>
      </c>
      <c r="C227" s="1" t="n">
        <v>46002</v>
      </c>
      <c r="D227" t="inlineStr">
        <is>
          <t>JÄMTLANDS LÄN</t>
        </is>
      </c>
      <c r="E227" t="inlineStr">
        <is>
          <t>RAGUNDA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HYPERLINK("https://klasma.github.io/Logging_2303/artfynd/A 56599-2025 artfynd.xlsx", "A 56599-2025")</f>
        <v/>
      </c>
      <c r="T227">
        <f>HYPERLINK("https://klasma.github.io/Logging_2303/kartor/A 56599-2025 karta.png", "A 56599-2025")</f>
        <v/>
      </c>
      <c r="V227">
        <f>HYPERLINK("https://klasma.github.io/Logging_2303/klagomål/A 56599-2025 FSC-klagomål.docx", "A 56599-2025")</f>
        <v/>
      </c>
      <c r="W227">
        <f>HYPERLINK("https://klasma.github.io/Logging_2303/klagomålsmail/A 56599-2025 FSC-klagomål mail.docx", "A 56599-2025")</f>
        <v/>
      </c>
      <c r="X227">
        <f>HYPERLINK("https://klasma.github.io/Logging_2303/tillsyn/A 56599-2025 tillsynsbegäran.docx", "A 56599-2025")</f>
        <v/>
      </c>
      <c r="Y227">
        <f>HYPERLINK("https://klasma.github.io/Logging_2303/tillsynsmail/A 56599-2025 tillsynsbegäran mail.docx", "A 56599-2025")</f>
        <v/>
      </c>
    </row>
    <row r="228" ht="15" customHeight="1">
      <c r="A228" t="inlineStr">
        <is>
          <t>A 57253-2025</t>
        </is>
      </c>
      <c r="B228" s="1" t="n">
        <v>45979.64381944444</v>
      </c>
      <c r="C228" s="1" t="n">
        <v>46002</v>
      </c>
      <c r="D228" t="inlineStr">
        <is>
          <t>JÄMTLANDS LÄN</t>
        </is>
      </c>
      <c r="E228" t="inlineStr">
        <is>
          <t>RAGUNDA</t>
        </is>
      </c>
      <c r="G228" t="n">
        <v>1.2</v>
      </c>
      <c r="H228" t="n">
        <v>0</v>
      </c>
      <c r="I228" t="n">
        <v>1</v>
      </c>
      <c r="J228" t="n">
        <v>0</v>
      </c>
      <c r="K228" t="n">
        <v>0</v>
      </c>
      <c r="L228" t="n">
        <v>0</v>
      </c>
      <c r="M228" t="n">
        <v>0</v>
      </c>
      <c r="N228" t="n">
        <v>0</v>
      </c>
      <c r="O228" t="n">
        <v>0</v>
      </c>
      <c r="P228" t="n">
        <v>0</v>
      </c>
      <c r="Q228" t="n">
        <v>1</v>
      </c>
      <c r="R228" s="2" t="inlineStr">
        <is>
          <t>Skinnlav</t>
        </is>
      </c>
      <c r="S228">
        <f>HYPERLINK("https://klasma.github.io/Logging_2303/artfynd/A 57253-2025 artfynd.xlsx", "A 57253-2025")</f>
        <v/>
      </c>
      <c r="T228">
        <f>HYPERLINK("https://klasma.github.io/Logging_2303/kartor/A 57253-2025 karta.png", "A 57253-2025")</f>
        <v/>
      </c>
      <c r="V228">
        <f>HYPERLINK("https://klasma.github.io/Logging_2303/klagomål/A 57253-2025 FSC-klagomål.docx", "A 57253-2025")</f>
        <v/>
      </c>
      <c r="W228">
        <f>HYPERLINK("https://klasma.github.io/Logging_2303/klagomålsmail/A 57253-2025 FSC-klagomål mail.docx", "A 57253-2025")</f>
        <v/>
      </c>
      <c r="X228">
        <f>HYPERLINK("https://klasma.github.io/Logging_2303/tillsyn/A 57253-2025 tillsynsbegäran.docx", "A 57253-2025")</f>
        <v/>
      </c>
      <c r="Y228">
        <f>HYPERLINK("https://klasma.github.io/Logging_2303/tillsynsmail/A 57253-2025 tillsynsbegäran mail.docx", "A 57253-2025")</f>
        <v/>
      </c>
    </row>
    <row r="229" ht="15" customHeight="1">
      <c r="A229" t="inlineStr">
        <is>
          <t>A 57479-2025</t>
        </is>
      </c>
      <c r="B229" s="1" t="n">
        <v>45980.5737037037</v>
      </c>
      <c r="C229" s="1" t="n">
        <v>46002</v>
      </c>
      <c r="D229" t="inlineStr">
        <is>
          <t>JÄMTLANDS LÄN</t>
        </is>
      </c>
      <c r="E229" t="inlineStr">
        <is>
          <t>RAGUNDA</t>
        </is>
      </c>
      <c r="F229" t="inlineStr">
        <is>
          <t>SCA</t>
        </is>
      </c>
      <c r="G229" t="n">
        <v>12</v>
      </c>
      <c r="H229" t="n">
        <v>0</v>
      </c>
      <c r="I229" t="n">
        <v>0</v>
      </c>
      <c r="J229" t="n">
        <v>1</v>
      </c>
      <c r="K229" t="n">
        <v>0</v>
      </c>
      <c r="L229" t="n">
        <v>0</v>
      </c>
      <c r="M229" t="n">
        <v>0</v>
      </c>
      <c r="N229" t="n">
        <v>0</v>
      </c>
      <c r="O229" t="n">
        <v>1</v>
      </c>
      <c r="P229" t="n">
        <v>0</v>
      </c>
      <c r="Q229" t="n">
        <v>1</v>
      </c>
      <c r="R229" s="2" t="inlineStr">
        <is>
          <t>Kolflarnlav</t>
        </is>
      </c>
      <c r="S229">
        <f>HYPERLINK("https://klasma.github.io/Logging_2303/artfynd/A 57479-2025 artfynd.xlsx", "A 57479-2025")</f>
        <v/>
      </c>
      <c r="T229">
        <f>HYPERLINK("https://klasma.github.io/Logging_2303/kartor/A 57479-2025 karta.png", "A 57479-2025")</f>
        <v/>
      </c>
      <c r="V229">
        <f>HYPERLINK("https://klasma.github.io/Logging_2303/klagomål/A 57479-2025 FSC-klagomål.docx", "A 57479-2025")</f>
        <v/>
      </c>
      <c r="W229">
        <f>HYPERLINK("https://klasma.github.io/Logging_2303/klagomålsmail/A 57479-2025 FSC-klagomål mail.docx", "A 57479-2025")</f>
        <v/>
      </c>
      <c r="X229">
        <f>HYPERLINK("https://klasma.github.io/Logging_2303/tillsyn/A 57479-2025 tillsynsbegäran.docx", "A 57479-2025")</f>
        <v/>
      </c>
      <c r="Y229">
        <f>HYPERLINK("https://klasma.github.io/Logging_2303/tillsynsmail/A 57479-2025 tillsynsbegäran mail.docx", "A 57479-2025")</f>
        <v/>
      </c>
    </row>
    <row r="230" ht="15" customHeight="1">
      <c r="A230" t="inlineStr">
        <is>
          <t>A 50164-2023</t>
        </is>
      </c>
      <c r="B230" s="1" t="n">
        <v>45208</v>
      </c>
      <c r="C230" s="1" t="n">
        <v>46002</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48429-2023</t>
        </is>
      </c>
      <c r="B231" s="1" t="n">
        <v>45205</v>
      </c>
      <c r="C231" s="1" t="n">
        <v>46002</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48429-2023 artfynd.xlsx", "A 48429-2023")</f>
        <v/>
      </c>
      <c r="T231">
        <f>HYPERLINK("https://klasma.github.io/Logging_2303/kartor/A 48429-2023 karta.png", "A 48429-2023")</f>
        <v/>
      </c>
      <c r="V231">
        <f>HYPERLINK("https://klasma.github.io/Logging_2303/klagomål/A 48429-2023 FSC-klagomål.docx", "A 48429-2023")</f>
        <v/>
      </c>
      <c r="W231">
        <f>HYPERLINK("https://klasma.github.io/Logging_2303/klagomålsmail/A 48429-2023 FSC-klagomål mail.docx", "A 48429-2023")</f>
        <v/>
      </c>
      <c r="X231">
        <f>HYPERLINK("https://klasma.github.io/Logging_2303/tillsyn/A 48429-2023 tillsynsbegäran.docx", "A 48429-2023")</f>
        <v/>
      </c>
      <c r="Y231">
        <f>HYPERLINK("https://klasma.github.io/Logging_2303/tillsynsmail/A 48429-2023 tillsynsbegäran mail.docx", "A 48429-2023")</f>
        <v/>
      </c>
    </row>
    <row r="232" ht="15" customHeight="1">
      <c r="A232" t="inlineStr">
        <is>
          <t>A 57478-2025</t>
        </is>
      </c>
      <c r="B232" s="1" t="n">
        <v>45980.57349537037</v>
      </c>
      <c r="C232" s="1" t="n">
        <v>46002</v>
      </c>
      <c r="D232" t="inlineStr">
        <is>
          <t>JÄMTLANDS LÄN</t>
        </is>
      </c>
      <c r="E232" t="inlineStr">
        <is>
          <t>RAGUNDA</t>
        </is>
      </c>
      <c r="F232" t="inlineStr">
        <is>
          <t>SCA</t>
        </is>
      </c>
      <c r="G232" t="n">
        <v>3.3</v>
      </c>
      <c r="H232" t="n">
        <v>0</v>
      </c>
      <c r="I232" t="n">
        <v>0</v>
      </c>
      <c r="J232" t="n">
        <v>1</v>
      </c>
      <c r="K232" t="n">
        <v>0</v>
      </c>
      <c r="L232" t="n">
        <v>0</v>
      </c>
      <c r="M232" t="n">
        <v>0</v>
      </c>
      <c r="N232" t="n">
        <v>0</v>
      </c>
      <c r="O232" t="n">
        <v>1</v>
      </c>
      <c r="P232" t="n">
        <v>0</v>
      </c>
      <c r="Q232" t="n">
        <v>1</v>
      </c>
      <c r="R232" s="2" t="inlineStr">
        <is>
          <t>Lunglav</t>
        </is>
      </c>
      <c r="S232">
        <f>HYPERLINK("https://klasma.github.io/Logging_2303/artfynd/A 57478-2025 artfynd.xlsx", "A 57478-2025")</f>
        <v/>
      </c>
      <c r="T232">
        <f>HYPERLINK("https://klasma.github.io/Logging_2303/kartor/A 57478-2025 karta.png", "A 57478-2025")</f>
        <v/>
      </c>
      <c r="V232">
        <f>HYPERLINK("https://klasma.github.io/Logging_2303/klagomål/A 57478-2025 FSC-klagomål.docx", "A 57478-2025")</f>
        <v/>
      </c>
      <c r="W232">
        <f>HYPERLINK("https://klasma.github.io/Logging_2303/klagomålsmail/A 57478-2025 FSC-klagomål mail.docx", "A 57478-2025")</f>
        <v/>
      </c>
      <c r="X232">
        <f>HYPERLINK("https://klasma.github.io/Logging_2303/tillsyn/A 57478-2025 tillsynsbegäran.docx", "A 57478-2025")</f>
        <v/>
      </c>
      <c r="Y232">
        <f>HYPERLINK("https://klasma.github.io/Logging_2303/tillsynsmail/A 57478-2025 tillsynsbegäran mail.docx", "A 57478-2025")</f>
        <v/>
      </c>
    </row>
    <row r="233" ht="15" customHeight="1">
      <c r="A233" t="inlineStr">
        <is>
          <t>A 49053-2025</t>
        </is>
      </c>
      <c r="B233" s="1" t="n">
        <v>45937.64009259259</v>
      </c>
      <c r="C233" s="1" t="n">
        <v>46002</v>
      </c>
      <c r="D233" t="inlineStr">
        <is>
          <t>JÄMTLANDS LÄN</t>
        </is>
      </c>
      <c r="E233" t="inlineStr">
        <is>
          <t>RAGUNDA</t>
        </is>
      </c>
      <c r="F233" t="inlineStr">
        <is>
          <t>SCA</t>
        </is>
      </c>
      <c r="G233" t="n">
        <v>7</v>
      </c>
      <c r="H233" t="n">
        <v>1</v>
      </c>
      <c r="I233" t="n">
        <v>1</v>
      </c>
      <c r="J233" t="n">
        <v>0</v>
      </c>
      <c r="K233" t="n">
        <v>0</v>
      </c>
      <c r="L233" t="n">
        <v>0</v>
      </c>
      <c r="M233" t="n">
        <v>0</v>
      </c>
      <c r="N233" t="n">
        <v>0</v>
      </c>
      <c r="O233" t="n">
        <v>0</v>
      </c>
      <c r="P233" t="n">
        <v>0</v>
      </c>
      <c r="Q233" t="n">
        <v>1</v>
      </c>
      <c r="R233" s="2" t="inlineStr">
        <is>
          <t>Guckusko</t>
        </is>
      </c>
      <c r="S233">
        <f>HYPERLINK("https://klasma.github.io/Logging_2303/artfynd/A 49053-2025 artfynd.xlsx", "A 49053-2025")</f>
        <v/>
      </c>
      <c r="T233">
        <f>HYPERLINK("https://klasma.github.io/Logging_2303/kartor/A 49053-2025 karta.png", "A 49053-2025")</f>
        <v/>
      </c>
      <c r="V233">
        <f>HYPERLINK("https://klasma.github.io/Logging_2303/klagomål/A 49053-2025 FSC-klagomål.docx", "A 49053-2025")</f>
        <v/>
      </c>
      <c r="W233">
        <f>HYPERLINK("https://klasma.github.io/Logging_2303/klagomålsmail/A 49053-2025 FSC-klagomål mail.docx", "A 49053-2025")</f>
        <v/>
      </c>
      <c r="X233">
        <f>HYPERLINK("https://klasma.github.io/Logging_2303/tillsyn/A 49053-2025 tillsynsbegäran.docx", "A 49053-2025")</f>
        <v/>
      </c>
      <c r="Y233">
        <f>HYPERLINK("https://klasma.github.io/Logging_2303/tillsynsmail/A 49053-2025 tillsynsbegäran mail.docx", "A 49053-2025")</f>
        <v/>
      </c>
    </row>
    <row r="234" ht="15" customHeight="1">
      <c r="A234" t="inlineStr">
        <is>
          <t>A 17340-2023</t>
        </is>
      </c>
      <c r="B234" s="1" t="n">
        <v>45033</v>
      </c>
      <c r="C234" s="1" t="n">
        <v>46002</v>
      </c>
      <c r="D234" t="inlineStr">
        <is>
          <t>JÄMTLANDS LÄN</t>
        </is>
      </c>
      <c r="E234" t="inlineStr">
        <is>
          <t>RAGUNDA</t>
        </is>
      </c>
      <c r="G234" t="n">
        <v>1.6</v>
      </c>
      <c r="H234" t="n">
        <v>0</v>
      </c>
      <c r="I234" t="n">
        <v>0</v>
      </c>
      <c r="J234" t="n">
        <v>1</v>
      </c>
      <c r="K234" t="n">
        <v>0</v>
      </c>
      <c r="L234" t="n">
        <v>0</v>
      </c>
      <c r="M234" t="n">
        <v>0</v>
      </c>
      <c r="N234" t="n">
        <v>0</v>
      </c>
      <c r="O234" t="n">
        <v>1</v>
      </c>
      <c r="P234" t="n">
        <v>0</v>
      </c>
      <c r="Q234" t="n">
        <v>1</v>
      </c>
      <c r="R234" s="2" t="inlineStr">
        <is>
          <t>Vedtrappmossa</t>
        </is>
      </c>
      <c r="S234">
        <f>HYPERLINK("https://klasma.github.io/Logging_2303/artfynd/A 17340-2023 artfynd.xlsx", "A 17340-2023")</f>
        <v/>
      </c>
      <c r="T234">
        <f>HYPERLINK("https://klasma.github.io/Logging_2303/kartor/A 17340-2023 karta.png", "A 17340-2023")</f>
        <v/>
      </c>
      <c r="U234">
        <f>HYPERLINK("https://klasma.github.io/Logging_2303/knärot/A 17340-2023 karta knärot.png", "A 17340-2023")</f>
        <v/>
      </c>
      <c r="V234">
        <f>HYPERLINK("https://klasma.github.io/Logging_2303/klagomål/A 17340-2023 FSC-klagomål.docx", "A 17340-2023")</f>
        <v/>
      </c>
      <c r="W234">
        <f>HYPERLINK("https://klasma.github.io/Logging_2303/klagomålsmail/A 17340-2023 FSC-klagomål mail.docx", "A 17340-2023")</f>
        <v/>
      </c>
      <c r="X234">
        <f>HYPERLINK("https://klasma.github.io/Logging_2303/tillsyn/A 17340-2023 tillsynsbegäran.docx", "A 17340-2023")</f>
        <v/>
      </c>
      <c r="Y234">
        <f>HYPERLINK("https://klasma.github.io/Logging_2303/tillsynsmail/A 17340-2023 tillsynsbegäran mail.docx", "A 17340-2023")</f>
        <v/>
      </c>
    </row>
    <row r="235" ht="15" customHeight="1">
      <c r="A235" t="inlineStr">
        <is>
          <t>A 58990-2025</t>
        </is>
      </c>
      <c r="B235" s="1" t="n">
        <v>45987</v>
      </c>
      <c r="C235" s="1" t="n">
        <v>46002</v>
      </c>
      <c r="D235" t="inlineStr">
        <is>
          <t>JÄMTLANDS LÄN</t>
        </is>
      </c>
      <c r="E235" t="inlineStr">
        <is>
          <t>RAGUNDA</t>
        </is>
      </c>
      <c r="F235" t="inlineStr">
        <is>
          <t>SCA</t>
        </is>
      </c>
      <c r="G235" t="n">
        <v>4.6</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58990-2025 artfynd.xlsx", "A 58990-2025")</f>
        <v/>
      </c>
      <c r="T235">
        <f>HYPERLINK("https://klasma.github.io/Logging_2303/kartor/A 58990-2025 karta.png", "A 58990-2025")</f>
        <v/>
      </c>
      <c r="V235">
        <f>HYPERLINK("https://klasma.github.io/Logging_2303/klagomål/A 58990-2025 FSC-klagomål.docx", "A 58990-2025")</f>
        <v/>
      </c>
      <c r="W235">
        <f>HYPERLINK("https://klasma.github.io/Logging_2303/klagomålsmail/A 58990-2025 FSC-klagomål mail.docx", "A 58990-2025")</f>
        <v/>
      </c>
      <c r="X235">
        <f>HYPERLINK("https://klasma.github.io/Logging_2303/tillsyn/A 58990-2025 tillsynsbegäran.docx", "A 58990-2025")</f>
        <v/>
      </c>
      <c r="Y235">
        <f>HYPERLINK("https://klasma.github.io/Logging_2303/tillsynsmail/A 58990-2025 tillsynsbegäran mail.docx", "A 58990-2025")</f>
        <v/>
      </c>
      <c r="Z235">
        <f>HYPERLINK("https://klasma.github.io/Logging_2303/fåglar/A 58990-2025 prioriterade fågelarter.docx", "A 58990-2025")</f>
        <v/>
      </c>
    </row>
    <row r="236" ht="15" customHeight="1">
      <c r="A236" t="inlineStr">
        <is>
          <t>A 26322-2024</t>
        </is>
      </c>
      <c r="B236" s="1" t="n">
        <v>45468.97461805555</v>
      </c>
      <c r="C236" s="1" t="n">
        <v>46002</v>
      </c>
      <c r="D236" t="inlineStr">
        <is>
          <t>JÄMTLANDS LÄN</t>
        </is>
      </c>
      <c r="E236" t="inlineStr">
        <is>
          <t>RAGUNDA</t>
        </is>
      </c>
      <c r="F236" t="inlineStr">
        <is>
          <t>SCA</t>
        </is>
      </c>
      <c r="G236" t="n">
        <v>9.6</v>
      </c>
      <c r="H236" t="n">
        <v>0</v>
      </c>
      <c r="I236" t="n">
        <v>0</v>
      </c>
      <c r="J236" t="n">
        <v>1</v>
      </c>
      <c r="K236" t="n">
        <v>0</v>
      </c>
      <c r="L236" t="n">
        <v>0</v>
      </c>
      <c r="M236" t="n">
        <v>0</v>
      </c>
      <c r="N236" t="n">
        <v>0</v>
      </c>
      <c r="O236" t="n">
        <v>1</v>
      </c>
      <c r="P236" t="n">
        <v>0</v>
      </c>
      <c r="Q236" t="n">
        <v>1</v>
      </c>
      <c r="R236" s="2" t="inlineStr">
        <is>
          <t>Rosenticka</t>
        </is>
      </c>
      <c r="S236">
        <f>HYPERLINK("https://klasma.github.io/Logging_2303/artfynd/A 26322-2024 artfynd.xlsx", "A 26322-2024")</f>
        <v/>
      </c>
      <c r="T236">
        <f>HYPERLINK("https://klasma.github.io/Logging_2303/kartor/A 26322-2024 karta.png", "A 26322-2024")</f>
        <v/>
      </c>
      <c r="U236">
        <f>HYPERLINK("https://klasma.github.io/Logging_2303/knärot/A 26322-2024 karta knärot.png", "A 26322-2024")</f>
        <v/>
      </c>
      <c r="V236">
        <f>HYPERLINK("https://klasma.github.io/Logging_2303/klagomål/A 26322-2024 FSC-klagomål.docx", "A 26322-2024")</f>
        <v/>
      </c>
      <c r="W236">
        <f>HYPERLINK("https://klasma.github.io/Logging_2303/klagomålsmail/A 26322-2024 FSC-klagomål mail.docx", "A 26322-2024")</f>
        <v/>
      </c>
      <c r="X236">
        <f>HYPERLINK("https://klasma.github.io/Logging_2303/tillsyn/A 26322-2024 tillsynsbegäran.docx", "A 26322-2024")</f>
        <v/>
      </c>
      <c r="Y236">
        <f>HYPERLINK("https://klasma.github.io/Logging_2303/tillsynsmail/A 26322-2024 tillsynsbegäran mail.docx", "A 26322-2024")</f>
        <v/>
      </c>
    </row>
    <row r="237" ht="15" customHeight="1">
      <c r="A237" t="inlineStr">
        <is>
          <t>A 51912-2025</t>
        </is>
      </c>
      <c r="B237" s="1" t="n">
        <v>45952.46939814815</v>
      </c>
      <c r="C237" s="1" t="n">
        <v>46002</v>
      </c>
      <c r="D237" t="inlineStr">
        <is>
          <t>JÄMTLANDS LÄN</t>
        </is>
      </c>
      <c r="E237" t="inlineStr">
        <is>
          <t>RAGUNDA</t>
        </is>
      </c>
      <c r="F237" t="inlineStr">
        <is>
          <t>SCA</t>
        </is>
      </c>
      <c r="G237" t="n">
        <v>24.2</v>
      </c>
      <c r="H237" t="n">
        <v>1</v>
      </c>
      <c r="I237" t="n">
        <v>0</v>
      </c>
      <c r="J237" t="n">
        <v>0</v>
      </c>
      <c r="K237" t="n">
        <v>1</v>
      </c>
      <c r="L237" t="n">
        <v>0</v>
      </c>
      <c r="M237" t="n">
        <v>0</v>
      </c>
      <c r="N237" t="n">
        <v>0</v>
      </c>
      <c r="O237" t="n">
        <v>1</v>
      </c>
      <c r="P237" t="n">
        <v>1</v>
      </c>
      <c r="Q237" t="n">
        <v>1</v>
      </c>
      <c r="R237" s="2" t="inlineStr">
        <is>
          <t>Norna</t>
        </is>
      </c>
      <c r="S237">
        <f>HYPERLINK("https://klasma.github.io/Logging_2303/artfynd/A 51912-2025 artfynd.xlsx", "A 51912-2025")</f>
        <v/>
      </c>
      <c r="T237">
        <f>HYPERLINK("https://klasma.github.io/Logging_2303/kartor/A 51912-2025 karta.png", "A 51912-2025")</f>
        <v/>
      </c>
      <c r="V237">
        <f>HYPERLINK("https://klasma.github.io/Logging_2303/klagomål/A 51912-2025 FSC-klagomål.docx", "A 51912-2025")</f>
        <v/>
      </c>
      <c r="W237">
        <f>HYPERLINK("https://klasma.github.io/Logging_2303/klagomålsmail/A 51912-2025 FSC-klagomål mail.docx", "A 51912-2025")</f>
        <v/>
      </c>
      <c r="X237">
        <f>HYPERLINK("https://klasma.github.io/Logging_2303/tillsyn/A 51912-2025 tillsynsbegäran.docx", "A 51912-2025")</f>
        <v/>
      </c>
      <c r="Y237">
        <f>HYPERLINK("https://klasma.github.io/Logging_2303/tillsynsmail/A 51912-2025 tillsynsbegäran mail.docx", "A 51912-2025")</f>
        <v/>
      </c>
    </row>
    <row r="238" ht="15" customHeight="1">
      <c r="A238" t="inlineStr">
        <is>
          <t>A 48477-2023</t>
        </is>
      </c>
      <c r="B238" s="1" t="n">
        <v>45206</v>
      </c>
      <c r="C238" s="1" t="n">
        <v>46002</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46002</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49770-2024</t>
        </is>
      </c>
      <c r="B240" s="1" t="n">
        <v>45597.34461805555</v>
      </c>
      <c r="C240" s="1" t="n">
        <v>46002</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61324-2024</t>
        </is>
      </c>
      <c r="B241" s="1" t="n">
        <v>45646.34438657408</v>
      </c>
      <c r="C241" s="1" t="n">
        <v>46002</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32069-2024</t>
        </is>
      </c>
      <c r="B242" s="1" t="n">
        <v>45510</v>
      </c>
      <c r="C242" s="1" t="n">
        <v>46002</v>
      </c>
      <c r="D242" t="inlineStr">
        <is>
          <t>JÄMTLANDS LÄN</t>
        </is>
      </c>
      <c r="E242" t="inlineStr">
        <is>
          <t>RAGUNDA</t>
        </is>
      </c>
      <c r="F242" t="inlineStr">
        <is>
          <t>SCA</t>
        </is>
      </c>
      <c r="G242" t="n">
        <v>1.8</v>
      </c>
      <c r="H242" t="n">
        <v>0</v>
      </c>
      <c r="I242" t="n">
        <v>0</v>
      </c>
      <c r="J242" t="n">
        <v>1</v>
      </c>
      <c r="K242" t="n">
        <v>0</v>
      </c>
      <c r="L242" t="n">
        <v>0</v>
      </c>
      <c r="M242" t="n">
        <v>0</v>
      </c>
      <c r="N242" t="n">
        <v>0</v>
      </c>
      <c r="O242" t="n">
        <v>1</v>
      </c>
      <c r="P242" t="n">
        <v>0</v>
      </c>
      <c r="Q242" t="n">
        <v>1</v>
      </c>
      <c r="R242" s="2" t="inlineStr">
        <is>
          <t>Lunglav</t>
        </is>
      </c>
      <c r="S242">
        <f>HYPERLINK("https://klasma.github.io/Logging_2303/artfynd/A 32069-2024 artfynd.xlsx", "A 32069-2024")</f>
        <v/>
      </c>
      <c r="T242">
        <f>HYPERLINK("https://klasma.github.io/Logging_2303/kartor/A 32069-2024 karta.png", "A 32069-2024")</f>
        <v/>
      </c>
      <c r="V242">
        <f>HYPERLINK("https://klasma.github.io/Logging_2303/klagomål/A 32069-2024 FSC-klagomål.docx", "A 32069-2024")</f>
        <v/>
      </c>
      <c r="W242">
        <f>HYPERLINK("https://klasma.github.io/Logging_2303/klagomålsmail/A 32069-2024 FSC-klagomål mail.docx", "A 32069-2024")</f>
        <v/>
      </c>
      <c r="X242">
        <f>HYPERLINK("https://klasma.github.io/Logging_2303/tillsyn/A 32069-2024 tillsynsbegäran.docx", "A 32069-2024")</f>
        <v/>
      </c>
      <c r="Y242">
        <f>HYPERLINK("https://klasma.github.io/Logging_2303/tillsynsmail/A 32069-2024 tillsynsbegäran mail.docx", "A 32069-2024")</f>
        <v/>
      </c>
    </row>
    <row r="243" ht="15" customHeight="1">
      <c r="A243" t="inlineStr">
        <is>
          <t>A 19751-2025</t>
        </is>
      </c>
      <c r="B243" s="1" t="n">
        <v>45771.3859837963</v>
      </c>
      <c r="C243" s="1" t="n">
        <v>46002</v>
      </c>
      <c r="D243" t="inlineStr">
        <is>
          <t>JÄMTLANDS LÄN</t>
        </is>
      </c>
      <c r="E243" t="inlineStr">
        <is>
          <t>RAGUNDA</t>
        </is>
      </c>
      <c r="F243" t="inlineStr">
        <is>
          <t>SCA</t>
        </is>
      </c>
      <c r="G243" t="n">
        <v>1.1</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19751-2025 artfynd.xlsx", "A 19751-2025")</f>
        <v/>
      </c>
      <c r="T243">
        <f>HYPERLINK("https://klasma.github.io/Logging_2303/kartor/A 19751-2025 karta.png", "A 19751-2025")</f>
        <v/>
      </c>
      <c r="V243">
        <f>HYPERLINK("https://klasma.github.io/Logging_2303/klagomål/A 19751-2025 FSC-klagomål.docx", "A 19751-2025")</f>
        <v/>
      </c>
      <c r="W243">
        <f>HYPERLINK("https://klasma.github.io/Logging_2303/klagomålsmail/A 19751-2025 FSC-klagomål mail.docx", "A 19751-2025")</f>
        <v/>
      </c>
      <c r="X243">
        <f>HYPERLINK("https://klasma.github.io/Logging_2303/tillsyn/A 19751-2025 tillsynsbegäran.docx", "A 19751-2025")</f>
        <v/>
      </c>
      <c r="Y243">
        <f>HYPERLINK("https://klasma.github.io/Logging_2303/tillsynsmail/A 19751-2025 tillsynsbegäran mail.docx", "A 19751-2025")</f>
        <v/>
      </c>
      <c r="Z243">
        <f>HYPERLINK("https://klasma.github.io/Logging_2303/fåglar/A 19751-2025 prioriterade fågelarter.docx", "A 19751-2025")</f>
        <v/>
      </c>
    </row>
    <row r="244" ht="15" customHeight="1">
      <c r="A244" t="inlineStr">
        <is>
          <t>A 19387-2025</t>
        </is>
      </c>
      <c r="B244" s="1" t="n">
        <v>45769.65736111111</v>
      </c>
      <c r="C244" s="1" t="n">
        <v>46002</v>
      </c>
      <c r="D244" t="inlineStr">
        <is>
          <t>JÄMTLANDS LÄN</t>
        </is>
      </c>
      <c r="E244" t="inlineStr">
        <is>
          <t>RAGUNDA</t>
        </is>
      </c>
      <c r="F244" t="inlineStr">
        <is>
          <t>SCA</t>
        </is>
      </c>
      <c r="G244" t="n">
        <v>16.4</v>
      </c>
      <c r="H244" t="n">
        <v>1</v>
      </c>
      <c r="I244" t="n">
        <v>0</v>
      </c>
      <c r="J244" t="n">
        <v>0</v>
      </c>
      <c r="K244" t="n">
        <v>1</v>
      </c>
      <c r="L244" t="n">
        <v>0</v>
      </c>
      <c r="M244" t="n">
        <v>0</v>
      </c>
      <c r="N244" t="n">
        <v>0</v>
      </c>
      <c r="O244" t="n">
        <v>1</v>
      </c>
      <c r="P244" t="n">
        <v>1</v>
      </c>
      <c r="Q244" t="n">
        <v>1</v>
      </c>
      <c r="R244" s="2" t="inlineStr">
        <is>
          <t>Norna</t>
        </is>
      </c>
      <c r="S244">
        <f>HYPERLINK("https://klasma.github.io/Logging_2303/artfynd/A 19387-2025 artfynd.xlsx", "A 19387-2025")</f>
        <v/>
      </c>
      <c r="T244">
        <f>HYPERLINK("https://klasma.github.io/Logging_2303/kartor/A 19387-2025 karta.png", "A 19387-2025")</f>
        <v/>
      </c>
      <c r="V244">
        <f>HYPERLINK("https://klasma.github.io/Logging_2303/klagomål/A 19387-2025 FSC-klagomål.docx", "A 19387-2025")</f>
        <v/>
      </c>
      <c r="W244">
        <f>HYPERLINK("https://klasma.github.io/Logging_2303/klagomålsmail/A 19387-2025 FSC-klagomål mail.docx", "A 19387-2025")</f>
        <v/>
      </c>
      <c r="X244">
        <f>HYPERLINK("https://klasma.github.io/Logging_2303/tillsyn/A 19387-2025 tillsynsbegäran.docx", "A 19387-2025")</f>
        <v/>
      </c>
      <c r="Y244">
        <f>HYPERLINK("https://klasma.github.io/Logging_2303/tillsynsmail/A 19387-2025 tillsynsbegäran mail.docx", "A 19387-2025")</f>
        <v/>
      </c>
    </row>
    <row r="245" ht="15" customHeight="1">
      <c r="A245" t="inlineStr">
        <is>
          <t>A 2929-2024</t>
        </is>
      </c>
      <c r="B245" s="1" t="n">
        <v>45315</v>
      </c>
      <c r="C245" s="1" t="n">
        <v>46002</v>
      </c>
      <c r="D245" t="inlineStr">
        <is>
          <t>JÄMTLANDS LÄN</t>
        </is>
      </c>
      <c r="E245" t="inlineStr">
        <is>
          <t>RAGUNDA</t>
        </is>
      </c>
      <c r="G245" t="n">
        <v>1</v>
      </c>
      <c r="H245" t="n">
        <v>0</v>
      </c>
      <c r="I245" t="n">
        <v>0</v>
      </c>
      <c r="J245" t="n">
        <v>1</v>
      </c>
      <c r="K245" t="n">
        <v>0</v>
      </c>
      <c r="L245" t="n">
        <v>0</v>
      </c>
      <c r="M245" t="n">
        <v>0</v>
      </c>
      <c r="N245" t="n">
        <v>0</v>
      </c>
      <c r="O245" t="n">
        <v>1</v>
      </c>
      <c r="P245" t="n">
        <v>0</v>
      </c>
      <c r="Q245" t="n">
        <v>1</v>
      </c>
      <c r="R245" s="2" t="inlineStr">
        <is>
          <t>Klådris</t>
        </is>
      </c>
      <c r="S245">
        <f>HYPERLINK("https://klasma.github.io/Logging_2303/artfynd/A 2929-2024 artfynd.xlsx", "A 2929-2024")</f>
        <v/>
      </c>
      <c r="T245">
        <f>HYPERLINK("https://klasma.github.io/Logging_2303/kartor/A 2929-2024 karta.png", "A 2929-2024")</f>
        <v/>
      </c>
      <c r="V245">
        <f>HYPERLINK("https://klasma.github.io/Logging_2303/klagomål/A 2929-2024 FSC-klagomål.docx", "A 2929-2024")</f>
        <v/>
      </c>
      <c r="W245">
        <f>HYPERLINK("https://klasma.github.io/Logging_2303/klagomålsmail/A 2929-2024 FSC-klagomål mail.docx", "A 2929-2024")</f>
        <v/>
      </c>
      <c r="X245">
        <f>HYPERLINK("https://klasma.github.io/Logging_2303/tillsyn/A 2929-2024 tillsynsbegäran.docx", "A 2929-2024")</f>
        <v/>
      </c>
      <c r="Y245">
        <f>HYPERLINK("https://klasma.github.io/Logging_2303/tillsynsmail/A 2929-2024 tillsynsbegäran mail.docx", "A 2929-2024")</f>
        <v/>
      </c>
    </row>
    <row r="246" ht="15" customHeight="1">
      <c r="A246" t="inlineStr">
        <is>
          <t>A 58846-2024</t>
        </is>
      </c>
      <c r="B246" s="1" t="n">
        <v>45636.3863425926</v>
      </c>
      <c r="C246" s="1" t="n">
        <v>46002</v>
      </c>
      <c r="D246" t="inlineStr">
        <is>
          <t>JÄMTLANDS LÄN</t>
        </is>
      </c>
      <c r="E246" t="inlineStr">
        <is>
          <t>RAGUNDA</t>
        </is>
      </c>
      <c r="F246" t="inlineStr">
        <is>
          <t>SCA</t>
        </is>
      </c>
      <c r="G246" t="n">
        <v>1.5</v>
      </c>
      <c r="H246" t="n">
        <v>0</v>
      </c>
      <c r="I246" t="n">
        <v>0</v>
      </c>
      <c r="J246" t="n">
        <v>0</v>
      </c>
      <c r="K246" t="n">
        <v>1</v>
      </c>
      <c r="L246" t="n">
        <v>0</v>
      </c>
      <c r="M246" t="n">
        <v>0</v>
      </c>
      <c r="N246" t="n">
        <v>0</v>
      </c>
      <c r="O246" t="n">
        <v>1</v>
      </c>
      <c r="P246" t="n">
        <v>1</v>
      </c>
      <c r="Q246" t="n">
        <v>1</v>
      </c>
      <c r="R246" s="2" t="inlineStr">
        <is>
          <t>Rynkskinn</t>
        </is>
      </c>
      <c r="S246">
        <f>HYPERLINK("https://klasma.github.io/Logging_2303/artfynd/A 58846-2024 artfynd.xlsx", "A 58846-2024")</f>
        <v/>
      </c>
      <c r="T246">
        <f>HYPERLINK("https://klasma.github.io/Logging_2303/kartor/A 58846-2024 karta.png", "A 58846-2024")</f>
        <v/>
      </c>
      <c r="V246">
        <f>HYPERLINK("https://klasma.github.io/Logging_2303/klagomål/A 58846-2024 FSC-klagomål.docx", "A 58846-2024")</f>
        <v/>
      </c>
      <c r="W246">
        <f>HYPERLINK("https://klasma.github.io/Logging_2303/klagomålsmail/A 58846-2024 FSC-klagomål mail.docx", "A 58846-2024")</f>
        <v/>
      </c>
      <c r="X246">
        <f>HYPERLINK("https://klasma.github.io/Logging_2303/tillsyn/A 58846-2024 tillsynsbegäran.docx", "A 58846-2024")</f>
        <v/>
      </c>
      <c r="Y246">
        <f>HYPERLINK("https://klasma.github.io/Logging_2303/tillsynsmail/A 58846-2024 tillsynsbegäran mail.docx", "A 58846-2024")</f>
        <v/>
      </c>
    </row>
    <row r="247" ht="15" customHeight="1">
      <c r="A247" t="inlineStr">
        <is>
          <t>A 36854-2023</t>
        </is>
      </c>
      <c r="B247" s="1" t="n">
        <v>45153</v>
      </c>
      <c r="C247" s="1" t="n">
        <v>46002</v>
      </c>
      <c r="D247" t="inlineStr">
        <is>
          <t>JÄMTLANDS LÄN</t>
        </is>
      </c>
      <c r="E247" t="inlineStr">
        <is>
          <t>RAGUNDA</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HYPERLINK("https://klasma.github.io/Logging_2303/artfynd/A 36854-2023 artfynd.xlsx", "A 36854-2023")</f>
        <v/>
      </c>
      <c r="T247">
        <f>HYPERLINK("https://klasma.github.io/Logging_2303/kartor/A 36854-2023 karta.png", "A 36854-2023")</f>
        <v/>
      </c>
      <c r="V247">
        <f>HYPERLINK("https://klasma.github.io/Logging_2303/klagomål/A 36854-2023 FSC-klagomål.docx", "A 36854-2023")</f>
        <v/>
      </c>
      <c r="W247">
        <f>HYPERLINK("https://klasma.github.io/Logging_2303/klagomålsmail/A 36854-2023 FSC-klagomål mail.docx", "A 36854-2023")</f>
        <v/>
      </c>
      <c r="X247">
        <f>HYPERLINK("https://klasma.github.io/Logging_2303/tillsyn/A 36854-2023 tillsynsbegäran.docx", "A 36854-2023")</f>
        <v/>
      </c>
      <c r="Y247">
        <f>HYPERLINK("https://klasma.github.io/Logging_2303/tillsynsmail/A 36854-2023 tillsynsbegäran mail.docx", "A 36854-2023")</f>
        <v/>
      </c>
      <c r="Z247">
        <f>HYPERLINK("https://klasma.github.io/Logging_2303/fåglar/A 36854-2023 prioriterade fågelarter.docx", "A 36854-2023")</f>
        <v/>
      </c>
    </row>
    <row r="248" ht="15" customHeight="1">
      <c r="A248" t="inlineStr">
        <is>
          <t>A 18985-2023</t>
        </is>
      </c>
      <c r="B248" s="1" t="n">
        <v>45044</v>
      </c>
      <c r="C248" s="1" t="n">
        <v>46002</v>
      </c>
      <c r="D248" t="inlineStr">
        <is>
          <t>JÄMTLANDS LÄN</t>
        </is>
      </c>
      <c r="E248" t="inlineStr">
        <is>
          <t>RAGUNDA</t>
        </is>
      </c>
      <c r="F248" t="inlineStr">
        <is>
          <t>SCA</t>
        </is>
      </c>
      <c r="G248" t="n">
        <v>2.6</v>
      </c>
      <c r="H248" t="n">
        <v>0</v>
      </c>
      <c r="I248" t="n">
        <v>0</v>
      </c>
      <c r="J248" t="n">
        <v>1</v>
      </c>
      <c r="K248" t="n">
        <v>0</v>
      </c>
      <c r="L248" t="n">
        <v>0</v>
      </c>
      <c r="M248" t="n">
        <v>0</v>
      </c>
      <c r="N248" t="n">
        <v>0</v>
      </c>
      <c r="O248" t="n">
        <v>1</v>
      </c>
      <c r="P248" t="n">
        <v>0</v>
      </c>
      <c r="Q248" t="n">
        <v>1</v>
      </c>
      <c r="R248" s="2" t="inlineStr">
        <is>
          <t>Doftskinn</t>
        </is>
      </c>
      <c r="S248">
        <f>HYPERLINK("https://klasma.github.io/Logging_2303/artfynd/A 18985-2023 artfynd.xlsx", "A 18985-2023")</f>
        <v/>
      </c>
      <c r="T248">
        <f>HYPERLINK("https://klasma.github.io/Logging_2303/kartor/A 18985-2023 karta.png", "A 18985-2023")</f>
        <v/>
      </c>
      <c r="V248">
        <f>HYPERLINK("https://klasma.github.io/Logging_2303/klagomål/A 18985-2023 FSC-klagomål.docx", "A 18985-2023")</f>
        <v/>
      </c>
      <c r="W248">
        <f>HYPERLINK("https://klasma.github.io/Logging_2303/klagomålsmail/A 18985-2023 FSC-klagomål mail.docx", "A 18985-2023")</f>
        <v/>
      </c>
      <c r="X248">
        <f>HYPERLINK("https://klasma.github.io/Logging_2303/tillsyn/A 18985-2023 tillsynsbegäran.docx", "A 18985-2023")</f>
        <v/>
      </c>
      <c r="Y248">
        <f>HYPERLINK("https://klasma.github.io/Logging_2303/tillsynsmail/A 18985-2023 tillsynsbegäran mail.docx", "A 18985-2023")</f>
        <v/>
      </c>
    </row>
    <row r="249" ht="15" customHeight="1">
      <c r="A249" t="inlineStr">
        <is>
          <t>A 30485-2024</t>
        </is>
      </c>
      <c r="B249" s="1" t="n">
        <v>45491.95008101852</v>
      </c>
      <c r="C249" s="1" t="n">
        <v>46002</v>
      </c>
      <c r="D249" t="inlineStr">
        <is>
          <t>JÄMTLANDS LÄN</t>
        </is>
      </c>
      <c r="E249" t="inlineStr">
        <is>
          <t>RAGUNDA</t>
        </is>
      </c>
      <c r="F249" t="inlineStr">
        <is>
          <t>SCA</t>
        </is>
      </c>
      <c r="G249" t="n">
        <v>2</v>
      </c>
      <c r="H249" t="n">
        <v>0</v>
      </c>
      <c r="I249" t="n">
        <v>0</v>
      </c>
      <c r="J249" t="n">
        <v>1</v>
      </c>
      <c r="K249" t="n">
        <v>0</v>
      </c>
      <c r="L249" t="n">
        <v>0</v>
      </c>
      <c r="M249" t="n">
        <v>0</v>
      </c>
      <c r="N249" t="n">
        <v>0</v>
      </c>
      <c r="O249" t="n">
        <v>1</v>
      </c>
      <c r="P249" t="n">
        <v>0</v>
      </c>
      <c r="Q249" t="n">
        <v>1</v>
      </c>
      <c r="R249" s="2" t="inlineStr">
        <is>
          <t>Garnlav</t>
        </is>
      </c>
      <c r="S249">
        <f>HYPERLINK("https://klasma.github.io/Logging_2303/artfynd/A 30485-2024 artfynd.xlsx", "A 30485-2024")</f>
        <v/>
      </c>
      <c r="T249">
        <f>HYPERLINK("https://klasma.github.io/Logging_2303/kartor/A 30485-2024 karta.png", "A 30485-2024")</f>
        <v/>
      </c>
      <c r="V249">
        <f>HYPERLINK("https://klasma.github.io/Logging_2303/klagomål/A 30485-2024 FSC-klagomål.docx", "A 30485-2024")</f>
        <v/>
      </c>
      <c r="W249">
        <f>HYPERLINK("https://klasma.github.io/Logging_2303/klagomålsmail/A 30485-2024 FSC-klagomål mail.docx", "A 30485-2024")</f>
        <v/>
      </c>
      <c r="X249">
        <f>HYPERLINK("https://klasma.github.io/Logging_2303/tillsyn/A 30485-2024 tillsynsbegäran.docx", "A 30485-2024")</f>
        <v/>
      </c>
      <c r="Y249">
        <f>HYPERLINK("https://klasma.github.io/Logging_2303/tillsynsmail/A 30485-2024 tillsynsbegäran mail.docx", "A 30485-2024")</f>
        <v/>
      </c>
    </row>
    <row r="250" ht="15" customHeight="1">
      <c r="A250" t="inlineStr">
        <is>
          <t>A 35750-2023</t>
        </is>
      </c>
      <c r="B250" s="1" t="n">
        <v>45147</v>
      </c>
      <c r="C250" s="1" t="n">
        <v>46002</v>
      </c>
      <c r="D250" t="inlineStr">
        <is>
          <t>JÄMTLANDS LÄN</t>
        </is>
      </c>
      <c r="E250" t="inlineStr">
        <is>
          <t>RAGUNDA</t>
        </is>
      </c>
      <c r="F250" t="inlineStr">
        <is>
          <t>SCA</t>
        </is>
      </c>
      <c r="G250" t="n">
        <v>4.8</v>
      </c>
      <c r="H250" t="n">
        <v>0</v>
      </c>
      <c r="I250" t="n">
        <v>0</v>
      </c>
      <c r="J250" t="n">
        <v>1</v>
      </c>
      <c r="K250" t="n">
        <v>0</v>
      </c>
      <c r="L250" t="n">
        <v>0</v>
      </c>
      <c r="M250" t="n">
        <v>0</v>
      </c>
      <c r="N250" t="n">
        <v>0</v>
      </c>
      <c r="O250" t="n">
        <v>1</v>
      </c>
      <c r="P250" t="n">
        <v>0</v>
      </c>
      <c r="Q250" t="n">
        <v>1</v>
      </c>
      <c r="R250" s="2" t="inlineStr">
        <is>
          <t>Grantaggsvamp</t>
        </is>
      </c>
      <c r="S250">
        <f>HYPERLINK("https://klasma.github.io/Logging_2303/artfynd/A 35750-2023 artfynd.xlsx", "A 35750-2023")</f>
        <v/>
      </c>
      <c r="T250">
        <f>HYPERLINK("https://klasma.github.io/Logging_2303/kartor/A 35750-2023 karta.png", "A 35750-2023")</f>
        <v/>
      </c>
      <c r="V250">
        <f>HYPERLINK("https://klasma.github.io/Logging_2303/klagomål/A 35750-2023 FSC-klagomål.docx", "A 35750-2023")</f>
        <v/>
      </c>
      <c r="W250">
        <f>HYPERLINK("https://klasma.github.io/Logging_2303/klagomålsmail/A 35750-2023 FSC-klagomål mail.docx", "A 35750-2023")</f>
        <v/>
      </c>
      <c r="X250">
        <f>HYPERLINK("https://klasma.github.io/Logging_2303/tillsyn/A 35750-2023 tillsynsbegäran.docx", "A 35750-2023")</f>
        <v/>
      </c>
      <c r="Y250">
        <f>HYPERLINK("https://klasma.github.io/Logging_2303/tillsynsmail/A 35750-2023 tillsynsbegäran mail.docx", "A 35750-2023")</f>
        <v/>
      </c>
    </row>
    <row r="251" ht="15" customHeight="1">
      <c r="A251" t="inlineStr">
        <is>
          <t>A 62072-2023</t>
        </is>
      </c>
      <c r="B251" s="1" t="n">
        <v>45266</v>
      </c>
      <c r="C251" s="1" t="n">
        <v>46002</v>
      </c>
      <c r="D251" t="inlineStr">
        <is>
          <t>JÄMTLANDS LÄN</t>
        </is>
      </c>
      <c r="E251" t="inlineStr">
        <is>
          <t>RAGUNDA</t>
        </is>
      </c>
      <c r="G251" t="n">
        <v>4.5</v>
      </c>
      <c r="H251" t="n">
        <v>1</v>
      </c>
      <c r="I251" t="n">
        <v>0</v>
      </c>
      <c r="J251" t="n">
        <v>0</v>
      </c>
      <c r="K251" t="n">
        <v>1</v>
      </c>
      <c r="L251" t="n">
        <v>0</v>
      </c>
      <c r="M251" t="n">
        <v>0</v>
      </c>
      <c r="N251" t="n">
        <v>0</v>
      </c>
      <c r="O251" t="n">
        <v>1</v>
      </c>
      <c r="P251" t="n">
        <v>1</v>
      </c>
      <c r="Q251" t="n">
        <v>1</v>
      </c>
      <c r="R251" s="2" t="inlineStr">
        <is>
          <t>Lappuggla</t>
        </is>
      </c>
      <c r="S251">
        <f>HYPERLINK("https://klasma.github.io/Logging_2303/artfynd/A 62072-2023 artfynd.xlsx", "A 62072-2023")</f>
        <v/>
      </c>
      <c r="T251">
        <f>HYPERLINK("https://klasma.github.io/Logging_2303/kartor/A 62072-2023 karta.png", "A 62072-2023")</f>
        <v/>
      </c>
      <c r="V251">
        <f>HYPERLINK("https://klasma.github.io/Logging_2303/klagomål/A 62072-2023 FSC-klagomål.docx", "A 62072-2023")</f>
        <v/>
      </c>
      <c r="W251">
        <f>HYPERLINK("https://klasma.github.io/Logging_2303/klagomålsmail/A 62072-2023 FSC-klagomål mail.docx", "A 62072-2023")</f>
        <v/>
      </c>
      <c r="X251">
        <f>HYPERLINK("https://klasma.github.io/Logging_2303/tillsyn/A 62072-2023 tillsynsbegäran.docx", "A 62072-2023")</f>
        <v/>
      </c>
      <c r="Y251">
        <f>HYPERLINK("https://klasma.github.io/Logging_2303/tillsynsmail/A 62072-2023 tillsynsbegäran mail.docx", "A 62072-2023")</f>
        <v/>
      </c>
      <c r="Z251">
        <f>HYPERLINK("https://klasma.github.io/Logging_2303/fåglar/A 62072-2023 prioriterade fågelarter.docx", "A 62072-2023")</f>
        <v/>
      </c>
    </row>
    <row r="252" ht="15" customHeight="1">
      <c r="A252" t="inlineStr">
        <is>
          <t>A 20774-2024</t>
        </is>
      </c>
      <c r="B252" s="1" t="n">
        <v>45436.94644675926</v>
      </c>
      <c r="C252" s="1" t="n">
        <v>46002</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36757-2023</t>
        </is>
      </c>
      <c r="B253" s="1" t="n">
        <v>45153</v>
      </c>
      <c r="C253" s="1" t="n">
        <v>46002</v>
      </c>
      <c r="D253" t="inlineStr">
        <is>
          <t>JÄMTLANDS LÄN</t>
        </is>
      </c>
      <c r="E253" t="inlineStr">
        <is>
          <t>RAGUNDA</t>
        </is>
      </c>
      <c r="G253" t="n">
        <v>0.7</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36757-2023 artfynd.xlsx", "A 36757-2023")</f>
        <v/>
      </c>
      <c r="T253">
        <f>HYPERLINK("https://klasma.github.io/Logging_2303/kartor/A 36757-2023 karta.png", "A 36757-2023")</f>
        <v/>
      </c>
      <c r="V253">
        <f>HYPERLINK("https://klasma.github.io/Logging_2303/klagomål/A 36757-2023 FSC-klagomål.docx", "A 36757-2023")</f>
        <v/>
      </c>
      <c r="W253">
        <f>HYPERLINK("https://klasma.github.io/Logging_2303/klagomålsmail/A 36757-2023 FSC-klagomål mail.docx", "A 36757-2023")</f>
        <v/>
      </c>
      <c r="X253">
        <f>HYPERLINK("https://klasma.github.io/Logging_2303/tillsyn/A 36757-2023 tillsynsbegäran.docx", "A 36757-2023")</f>
        <v/>
      </c>
      <c r="Y253">
        <f>HYPERLINK("https://klasma.github.io/Logging_2303/tillsynsmail/A 36757-2023 tillsynsbegäran mail.docx", "A 36757-2023")</f>
        <v/>
      </c>
      <c r="Z253">
        <f>HYPERLINK("https://klasma.github.io/Logging_2303/fåglar/A 36757-2023 prioriterade fågelarter.docx", "A 36757-2023")</f>
        <v/>
      </c>
    </row>
    <row r="254" ht="15" customHeight="1">
      <c r="A254" t="inlineStr">
        <is>
          <t>A 21212-2025</t>
        </is>
      </c>
      <c r="B254" s="1" t="n">
        <v>45779.48993055556</v>
      </c>
      <c r="C254" s="1" t="n">
        <v>46002</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Garnlav</t>
        </is>
      </c>
      <c r="S254">
        <f>HYPERLINK("https://klasma.github.io/Logging_2303/artfynd/A 21212-2025 artfynd.xlsx", "A 21212-2025")</f>
        <v/>
      </c>
      <c r="T254">
        <f>HYPERLINK("https://klasma.github.io/Logging_2303/kartor/A 21212-2025 karta.png", "A 21212-2025")</f>
        <v/>
      </c>
      <c r="V254">
        <f>HYPERLINK("https://klasma.github.io/Logging_2303/klagomål/A 21212-2025 FSC-klagomål.docx", "A 21212-2025")</f>
        <v/>
      </c>
      <c r="W254">
        <f>HYPERLINK("https://klasma.github.io/Logging_2303/klagomålsmail/A 21212-2025 FSC-klagomål mail.docx", "A 21212-2025")</f>
        <v/>
      </c>
      <c r="X254">
        <f>HYPERLINK("https://klasma.github.io/Logging_2303/tillsyn/A 21212-2025 tillsynsbegäran.docx", "A 21212-2025")</f>
        <v/>
      </c>
      <c r="Y254">
        <f>HYPERLINK("https://klasma.github.io/Logging_2303/tillsynsmail/A 21212-2025 tillsynsbegäran mail.docx", "A 21212-2025")</f>
        <v/>
      </c>
    </row>
    <row r="255" ht="15" customHeight="1">
      <c r="A255" t="inlineStr">
        <is>
          <t>A 44066-2024</t>
        </is>
      </c>
      <c r="B255" s="1" t="n">
        <v>45572.60363425926</v>
      </c>
      <c r="C255" s="1" t="n">
        <v>46002</v>
      </c>
      <c r="D255" t="inlineStr">
        <is>
          <t>JÄMTLANDS LÄN</t>
        </is>
      </c>
      <c r="E255" t="inlineStr">
        <is>
          <t>RAGUNDA</t>
        </is>
      </c>
      <c r="G255" t="n">
        <v>6.4</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44066-2024 artfynd.xlsx", "A 44066-2024")</f>
        <v/>
      </c>
      <c r="T255">
        <f>HYPERLINK("https://klasma.github.io/Logging_2303/kartor/A 44066-2024 karta.png", "A 44066-2024")</f>
        <v/>
      </c>
      <c r="V255">
        <f>HYPERLINK("https://klasma.github.io/Logging_2303/klagomål/A 44066-2024 FSC-klagomål.docx", "A 44066-2024")</f>
        <v/>
      </c>
      <c r="W255">
        <f>HYPERLINK("https://klasma.github.io/Logging_2303/klagomålsmail/A 44066-2024 FSC-klagomål mail.docx", "A 44066-2024")</f>
        <v/>
      </c>
      <c r="X255">
        <f>HYPERLINK("https://klasma.github.io/Logging_2303/tillsyn/A 44066-2024 tillsynsbegäran.docx", "A 44066-2024")</f>
        <v/>
      </c>
      <c r="Y255">
        <f>HYPERLINK("https://klasma.github.io/Logging_2303/tillsynsmail/A 44066-2024 tillsynsbegäran mail.docx", "A 44066-2024")</f>
        <v/>
      </c>
      <c r="Z255">
        <f>HYPERLINK("https://klasma.github.io/Logging_2303/fåglar/A 44066-2024 prioriterade fågelarter.docx", "A 44066-2024")</f>
        <v/>
      </c>
    </row>
    <row r="256" ht="15" customHeight="1">
      <c r="A256" t="inlineStr">
        <is>
          <t>A 69618-2020</t>
        </is>
      </c>
      <c r="B256" s="1" t="n">
        <v>44195</v>
      </c>
      <c r="C256" s="1" t="n">
        <v>46002</v>
      </c>
      <c r="D256" t="inlineStr">
        <is>
          <t>JÄMTLANDS LÄN</t>
        </is>
      </c>
      <c r="E256" t="inlineStr">
        <is>
          <t>RAGUNDA</t>
        </is>
      </c>
      <c r="G256" t="n">
        <v>2.4</v>
      </c>
      <c r="H256" t="n">
        <v>0</v>
      </c>
      <c r="I256" t="n">
        <v>0</v>
      </c>
      <c r="J256" t="n">
        <v>0</v>
      </c>
      <c r="K256" t="n">
        <v>0</v>
      </c>
      <c r="L256" t="n">
        <v>0</v>
      </c>
      <c r="M256" t="n">
        <v>0</v>
      </c>
      <c r="N256" t="n">
        <v>0</v>
      </c>
      <c r="O256" t="n">
        <v>0</v>
      </c>
      <c r="P256" t="n">
        <v>0</v>
      </c>
      <c r="Q256" t="n">
        <v>0</v>
      </c>
      <c r="R256" s="2" t="inlineStr"/>
    </row>
    <row r="257" ht="15" customHeight="1">
      <c r="A257" t="inlineStr">
        <is>
          <t>A 2469-2021</t>
        </is>
      </c>
      <c r="B257" s="1" t="n">
        <v>44214</v>
      </c>
      <c r="C257" s="1" t="n">
        <v>46002</v>
      </c>
      <c r="D257" t="inlineStr">
        <is>
          <t>JÄMTLANDS LÄN</t>
        </is>
      </c>
      <c r="E257" t="inlineStr">
        <is>
          <t>RAGUNDA</t>
        </is>
      </c>
      <c r="G257" t="n">
        <v>1.1</v>
      </c>
      <c r="H257" t="n">
        <v>0</v>
      </c>
      <c r="I257" t="n">
        <v>0</v>
      </c>
      <c r="J257" t="n">
        <v>0</v>
      </c>
      <c r="K257" t="n">
        <v>0</v>
      </c>
      <c r="L257" t="n">
        <v>0</v>
      </c>
      <c r="M257" t="n">
        <v>0</v>
      </c>
      <c r="N257" t="n">
        <v>0</v>
      </c>
      <c r="O257" t="n">
        <v>0</v>
      </c>
      <c r="P257" t="n">
        <v>0</v>
      </c>
      <c r="Q257" t="n">
        <v>0</v>
      </c>
      <c r="R257" s="2" t="inlineStr"/>
    </row>
    <row r="258" ht="15" customHeight="1">
      <c r="A258" t="inlineStr">
        <is>
          <t>A 46050-2022</t>
        </is>
      </c>
      <c r="B258" s="1" t="n">
        <v>44846</v>
      </c>
      <c r="C258" s="1" t="n">
        <v>46002</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46002</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46002</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46002</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46002</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46002</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46002</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46002</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46002</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46002</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46002</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46002</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46002</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46002</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46002</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46002</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46002</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46002</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46002</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46002</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46002</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46002</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46002</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46002</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46002</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46002</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46002</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46002</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46002</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46002</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46002</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46002</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46002</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46002</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46002</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46002</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46002</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46002</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46002</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46002</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46002</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46002</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46002</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46002</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46002</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46002</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46002</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46002</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46002</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46002</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46002</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46002</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46002</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46002</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46002</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46002</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46002</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46002</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46002</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46002</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46002</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46002</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46002</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46002</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46002</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46002</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46002</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46002</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46002</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46002</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46002</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46002</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46002</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46002</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46002</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46002</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46002</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46002</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46002</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46002</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46002</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46002</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46002</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46002</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46002</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46002</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46002</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46002</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46002</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46002</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46002</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46002</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46002</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46002</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46002</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46002</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46002</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46002</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46002</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46002</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46002</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46002</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46002</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46002</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46002</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46002</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46002</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46002</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46002</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46002</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46002</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46002</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46002</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46002</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46002</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46002</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46002</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46002</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46002</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46002</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46002</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46002</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46002</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46002</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46002</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46002</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46002</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46002</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46002</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46002</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46002</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46002</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46002</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46002</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46002</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46002</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46002</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46002</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46002</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46002</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46002</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46002</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46002</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46002</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46002</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46002</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58537-2022</t>
        </is>
      </c>
      <c r="B404" s="1" t="n">
        <v>44894</v>
      </c>
      <c r="C404" s="1" t="n">
        <v>46002</v>
      </c>
      <c r="D404" t="inlineStr">
        <is>
          <t>JÄMTLANDS LÄN</t>
        </is>
      </c>
      <c r="E404" t="inlineStr">
        <is>
          <t>RAGUNDA</t>
        </is>
      </c>
      <c r="G404" t="n">
        <v>1.2</v>
      </c>
      <c r="H404" t="n">
        <v>0</v>
      </c>
      <c r="I404" t="n">
        <v>0</v>
      </c>
      <c r="J404" t="n">
        <v>0</v>
      </c>
      <c r="K404" t="n">
        <v>0</v>
      </c>
      <c r="L404" t="n">
        <v>0</v>
      </c>
      <c r="M404" t="n">
        <v>0</v>
      </c>
      <c r="N404" t="n">
        <v>0</v>
      </c>
      <c r="O404" t="n">
        <v>0</v>
      </c>
      <c r="P404" t="n">
        <v>0</v>
      </c>
      <c r="Q404" t="n">
        <v>0</v>
      </c>
      <c r="R404" s="2" t="inlineStr"/>
    </row>
    <row r="405" ht="15" customHeight="1">
      <c r="A405" t="inlineStr">
        <is>
          <t>A 5175-2023</t>
        </is>
      </c>
      <c r="B405" s="1" t="n">
        <v>44958.94298611111</v>
      </c>
      <c r="C405" s="1" t="n">
        <v>46002</v>
      </c>
      <c r="D405" t="inlineStr">
        <is>
          <t>JÄMTLANDS LÄN</t>
        </is>
      </c>
      <c r="E405" t="inlineStr">
        <is>
          <t>RAGUNDA</t>
        </is>
      </c>
      <c r="F405" t="inlineStr">
        <is>
          <t>SCA</t>
        </is>
      </c>
      <c r="G405" t="n">
        <v>17.9</v>
      </c>
      <c r="H405" t="n">
        <v>0</v>
      </c>
      <c r="I405" t="n">
        <v>0</v>
      </c>
      <c r="J405" t="n">
        <v>0</v>
      </c>
      <c r="K405" t="n">
        <v>0</v>
      </c>
      <c r="L405" t="n">
        <v>0</v>
      </c>
      <c r="M405" t="n">
        <v>0</v>
      </c>
      <c r="N405" t="n">
        <v>0</v>
      </c>
      <c r="O405" t="n">
        <v>0</v>
      </c>
      <c r="P405" t="n">
        <v>0</v>
      </c>
      <c r="Q405" t="n">
        <v>0</v>
      </c>
      <c r="R405" s="2" t="inlineStr"/>
    </row>
    <row r="406" ht="15" customHeight="1">
      <c r="A406" t="inlineStr">
        <is>
          <t>A 35153-2024</t>
        </is>
      </c>
      <c r="B406" s="1" t="n">
        <v>45530</v>
      </c>
      <c r="C406" s="1" t="n">
        <v>46002</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24197-2024</t>
        </is>
      </c>
      <c r="B407" s="1" t="n">
        <v>45456.96601851852</v>
      </c>
      <c r="C407" s="1" t="n">
        <v>46002</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36246-2024</t>
        </is>
      </c>
      <c r="B408" s="1" t="n">
        <v>45534</v>
      </c>
      <c r="C408" s="1" t="n">
        <v>46002</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14896-2022</t>
        </is>
      </c>
      <c r="B409" s="1" t="n">
        <v>44656</v>
      </c>
      <c r="C409" s="1" t="n">
        <v>46002</v>
      </c>
      <c r="D409" t="inlineStr">
        <is>
          <t>JÄMTLANDS LÄN</t>
        </is>
      </c>
      <c r="E409" t="inlineStr">
        <is>
          <t>RAGUNDA</t>
        </is>
      </c>
      <c r="F409" t="inlineStr">
        <is>
          <t>SCA</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24196-2024</t>
        </is>
      </c>
      <c r="B410" s="1" t="n">
        <v>45456.96569444444</v>
      </c>
      <c r="C410" s="1" t="n">
        <v>46002</v>
      </c>
      <c r="D410" t="inlineStr">
        <is>
          <t>JÄMTLANDS LÄN</t>
        </is>
      </c>
      <c r="E410" t="inlineStr">
        <is>
          <t>RAGUNDA</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44630-2023</t>
        </is>
      </c>
      <c r="B411" s="1" t="n">
        <v>45184</v>
      </c>
      <c r="C411" s="1" t="n">
        <v>46002</v>
      </c>
      <c r="D411" t="inlineStr">
        <is>
          <t>JÄMTLANDS LÄN</t>
        </is>
      </c>
      <c r="E411" t="inlineStr">
        <is>
          <t>RAGUNDA</t>
        </is>
      </c>
      <c r="G411" t="n">
        <v>3.4</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46002</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14156-2024</t>
        </is>
      </c>
      <c r="B413" s="1" t="n">
        <v>45392</v>
      </c>
      <c r="C413" s="1" t="n">
        <v>46002</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14157-2024</t>
        </is>
      </c>
      <c r="B414" s="1" t="n">
        <v>45392.92903935185</v>
      </c>
      <c r="C414" s="1" t="n">
        <v>46002</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20574-2025</t>
        </is>
      </c>
      <c r="B415" s="1" t="n">
        <v>45775.67747685185</v>
      </c>
      <c r="C415" s="1" t="n">
        <v>46002</v>
      </c>
      <c r="D415" t="inlineStr">
        <is>
          <t>JÄMTLANDS LÄN</t>
        </is>
      </c>
      <c r="E415" t="inlineStr">
        <is>
          <t>RAGUNDA</t>
        </is>
      </c>
      <c r="F415" t="inlineStr">
        <is>
          <t>SCA</t>
        </is>
      </c>
      <c r="G415" t="n">
        <v>5.1</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46002</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4882-2023</t>
        </is>
      </c>
      <c r="B417" s="1" t="n">
        <v>44957.94075231482</v>
      </c>
      <c r="C417" s="1" t="n">
        <v>46002</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15554-2025</t>
        </is>
      </c>
      <c r="B418" s="1" t="n">
        <v>45747.67739583334</v>
      </c>
      <c r="C418" s="1" t="n">
        <v>46002</v>
      </c>
      <c r="D418" t="inlineStr">
        <is>
          <t>JÄMTLANDS LÄN</t>
        </is>
      </c>
      <c r="E418" t="inlineStr">
        <is>
          <t>RAGUNDA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13276-2025</t>
        </is>
      </c>
      <c r="B419" s="1" t="n">
        <v>45735.5517824074</v>
      </c>
      <c r="C419" s="1" t="n">
        <v>46002</v>
      </c>
      <c r="D419" t="inlineStr">
        <is>
          <t>JÄMTLANDS LÄN</t>
        </is>
      </c>
      <c r="E419" t="inlineStr">
        <is>
          <t>RAGUNDA</t>
        </is>
      </c>
      <c r="G419" t="n">
        <v>16.6</v>
      </c>
      <c r="H419" t="n">
        <v>0</v>
      </c>
      <c r="I419" t="n">
        <v>0</v>
      </c>
      <c r="J419" t="n">
        <v>0</v>
      </c>
      <c r="K419" t="n">
        <v>0</v>
      </c>
      <c r="L419" t="n">
        <v>0</v>
      </c>
      <c r="M419" t="n">
        <v>0</v>
      </c>
      <c r="N419" t="n">
        <v>0</v>
      </c>
      <c r="O419" t="n">
        <v>0</v>
      </c>
      <c r="P419" t="n">
        <v>0</v>
      </c>
      <c r="Q419" t="n">
        <v>0</v>
      </c>
      <c r="R419" s="2" t="inlineStr"/>
    </row>
    <row r="420" ht="15" customHeight="1">
      <c r="A420" t="inlineStr">
        <is>
          <t>A 65216-2023</t>
        </is>
      </c>
      <c r="B420" s="1" t="n">
        <v>45289</v>
      </c>
      <c r="C420" s="1" t="n">
        <v>46002</v>
      </c>
      <c r="D420" t="inlineStr">
        <is>
          <t>JÄMTLANDS LÄN</t>
        </is>
      </c>
      <c r="E420" t="inlineStr">
        <is>
          <t>RAGUNDA</t>
        </is>
      </c>
      <c r="G420" t="n">
        <v>2.9</v>
      </c>
      <c r="H420" t="n">
        <v>0</v>
      </c>
      <c r="I420" t="n">
        <v>0</v>
      </c>
      <c r="J420" t="n">
        <v>0</v>
      </c>
      <c r="K420" t="n">
        <v>0</v>
      </c>
      <c r="L420" t="n">
        <v>0</v>
      </c>
      <c r="M420" t="n">
        <v>0</v>
      </c>
      <c r="N420" t="n">
        <v>0</v>
      </c>
      <c r="O420" t="n">
        <v>0</v>
      </c>
      <c r="P420" t="n">
        <v>0</v>
      </c>
      <c r="Q420" t="n">
        <v>0</v>
      </c>
      <c r="R420" s="2" t="inlineStr"/>
    </row>
    <row r="421" ht="15" customHeight="1">
      <c r="A421" t="inlineStr">
        <is>
          <t>A 52148-2024</t>
        </is>
      </c>
      <c r="B421" s="1" t="n">
        <v>45608.52354166667</v>
      </c>
      <c r="C421" s="1" t="n">
        <v>46002</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13767-2022</t>
        </is>
      </c>
      <c r="B422" s="1" t="n">
        <v>44649.47048611111</v>
      </c>
      <c r="C422" s="1" t="n">
        <v>46002</v>
      </c>
      <c r="D422" t="inlineStr">
        <is>
          <t>JÄMTLANDS LÄN</t>
        </is>
      </c>
      <c r="E422" t="inlineStr">
        <is>
          <t>RAGUNDA</t>
        </is>
      </c>
      <c r="F422" t="inlineStr">
        <is>
          <t>Kommuner</t>
        </is>
      </c>
      <c r="G422" t="n">
        <v>3.1</v>
      </c>
      <c r="H422" t="n">
        <v>0</v>
      </c>
      <c r="I422" t="n">
        <v>0</v>
      </c>
      <c r="J422" t="n">
        <v>0</v>
      </c>
      <c r="K422" t="n">
        <v>0</v>
      </c>
      <c r="L422" t="n">
        <v>0</v>
      </c>
      <c r="M422" t="n">
        <v>0</v>
      </c>
      <c r="N422" t="n">
        <v>0</v>
      </c>
      <c r="O422" t="n">
        <v>0</v>
      </c>
      <c r="P422" t="n">
        <v>0</v>
      </c>
      <c r="Q422" t="n">
        <v>0</v>
      </c>
      <c r="R422" s="2" t="inlineStr"/>
    </row>
    <row r="423" ht="15" customHeight="1">
      <c r="A423" t="inlineStr">
        <is>
          <t>A 55487-2023</t>
        </is>
      </c>
      <c r="B423" s="1" t="n">
        <v>45238</v>
      </c>
      <c r="C423" s="1" t="n">
        <v>46002</v>
      </c>
      <c r="D423" t="inlineStr">
        <is>
          <t>JÄMTLANDS LÄN</t>
        </is>
      </c>
      <c r="E423" t="inlineStr">
        <is>
          <t>RAGUNDA</t>
        </is>
      </c>
      <c r="G423" t="n">
        <v>3</v>
      </c>
      <c r="H423" t="n">
        <v>0</v>
      </c>
      <c r="I423" t="n">
        <v>0</v>
      </c>
      <c r="J423" t="n">
        <v>0</v>
      </c>
      <c r="K423" t="n">
        <v>0</v>
      </c>
      <c r="L423" t="n">
        <v>0</v>
      </c>
      <c r="M423" t="n">
        <v>0</v>
      </c>
      <c r="N423" t="n">
        <v>0</v>
      </c>
      <c r="O423" t="n">
        <v>0</v>
      </c>
      <c r="P423" t="n">
        <v>0</v>
      </c>
      <c r="Q423" t="n">
        <v>0</v>
      </c>
      <c r="R423" s="2" t="inlineStr"/>
    </row>
    <row r="424" ht="15" customHeight="1">
      <c r="A424" t="inlineStr">
        <is>
          <t>A 45335-2023</t>
        </is>
      </c>
      <c r="B424" s="1" t="n">
        <v>45191</v>
      </c>
      <c r="C424" s="1" t="n">
        <v>46002</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18454-2021</t>
        </is>
      </c>
      <c r="B425" s="1" t="n">
        <v>44305.92047453704</v>
      </c>
      <c r="C425" s="1" t="n">
        <v>46002</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1308-2025</t>
        </is>
      </c>
      <c r="B426" s="1" t="n">
        <v>45667.55239583334</v>
      </c>
      <c r="C426" s="1" t="n">
        <v>46002</v>
      </c>
      <c r="D426" t="inlineStr">
        <is>
          <t>JÄMTLANDS LÄN</t>
        </is>
      </c>
      <c r="E426" t="inlineStr">
        <is>
          <t>RAGUNDA</t>
        </is>
      </c>
      <c r="F426" t="inlineStr">
        <is>
          <t>SCA</t>
        </is>
      </c>
      <c r="G426" t="n">
        <v>6.4</v>
      </c>
      <c r="H426" t="n">
        <v>0</v>
      </c>
      <c r="I426" t="n">
        <v>0</v>
      </c>
      <c r="J426" t="n">
        <v>0</v>
      </c>
      <c r="K426" t="n">
        <v>0</v>
      </c>
      <c r="L426" t="n">
        <v>0</v>
      </c>
      <c r="M426" t="n">
        <v>0</v>
      </c>
      <c r="N426" t="n">
        <v>0</v>
      </c>
      <c r="O426" t="n">
        <v>0</v>
      </c>
      <c r="P426" t="n">
        <v>0</v>
      </c>
      <c r="Q426" t="n">
        <v>0</v>
      </c>
      <c r="R426" s="2" t="inlineStr"/>
    </row>
    <row r="427" ht="15" customHeight="1">
      <c r="A427" t="inlineStr">
        <is>
          <t>A 11048-2023</t>
        </is>
      </c>
      <c r="B427" s="1" t="n">
        <v>44991</v>
      </c>
      <c r="C427" s="1" t="n">
        <v>46002</v>
      </c>
      <c r="D427" t="inlineStr">
        <is>
          <t>JÄMTLANDS LÄN</t>
        </is>
      </c>
      <c r="E427" t="inlineStr">
        <is>
          <t>RAGUNDA</t>
        </is>
      </c>
      <c r="F427" t="inlineStr">
        <is>
          <t>SCA</t>
        </is>
      </c>
      <c r="G427" t="n">
        <v>13.5</v>
      </c>
      <c r="H427" t="n">
        <v>0</v>
      </c>
      <c r="I427" t="n">
        <v>0</v>
      </c>
      <c r="J427" t="n">
        <v>0</v>
      </c>
      <c r="K427" t="n">
        <v>0</v>
      </c>
      <c r="L427" t="n">
        <v>0</v>
      </c>
      <c r="M427" t="n">
        <v>0</v>
      </c>
      <c r="N427" t="n">
        <v>0</v>
      </c>
      <c r="O427" t="n">
        <v>0</v>
      </c>
      <c r="P427" t="n">
        <v>0</v>
      </c>
      <c r="Q427" t="n">
        <v>0</v>
      </c>
      <c r="R427" s="2" t="inlineStr"/>
    </row>
    <row r="428" ht="15" customHeight="1">
      <c r="A428" t="inlineStr">
        <is>
          <t>A 11062-2023</t>
        </is>
      </c>
      <c r="B428" s="1" t="n">
        <v>44991</v>
      </c>
      <c r="C428" s="1" t="n">
        <v>46002</v>
      </c>
      <c r="D428" t="inlineStr">
        <is>
          <t>JÄMTLANDS LÄN</t>
        </is>
      </c>
      <c r="E428" t="inlineStr">
        <is>
          <t>RAGUNDA</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11252-2025</t>
        </is>
      </c>
      <c r="B429" s="1" t="n">
        <v>45726.38615740741</v>
      </c>
      <c r="C429" s="1" t="n">
        <v>46002</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22569-2023</t>
        </is>
      </c>
      <c r="B430" s="1" t="n">
        <v>45069</v>
      </c>
      <c r="C430" s="1" t="n">
        <v>46002</v>
      </c>
      <c r="D430" t="inlineStr">
        <is>
          <t>JÄMTLANDS LÄN</t>
        </is>
      </c>
      <c r="E430" t="inlineStr">
        <is>
          <t>RAGUNDA</t>
        </is>
      </c>
      <c r="G430" t="n">
        <v>6.6</v>
      </c>
      <c r="H430" t="n">
        <v>0</v>
      </c>
      <c r="I430" t="n">
        <v>0</v>
      </c>
      <c r="J430" t="n">
        <v>0</v>
      </c>
      <c r="K430" t="n">
        <v>0</v>
      </c>
      <c r="L430" t="n">
        <v>0</v>
      </c>
      <c r="M430" t="n">
        <v>0</v>
      </c>
      <c r="N430" t="n">
        <v>0</v>
      </c>
      <c r="O430" t="n">
        <v>0</v>
      </c>
      <c r="P430" t="n">
        <v>0</v>
      </c>
      <c r="Q430" t="n">
        <v>0</v>
      </c>
      <c r="R430" s="2" t="inlineStr"/>
    </row>
    <row r="431" ht="15" customHeight="1">
      <c r="A431" t="inlineStr">
        <is>
          <t>A 9360-2023</t>
        </is>
      </c>
      <c r="B431" s="1" t="n">
        <v>44980.93865740741</v>
      </c>
      <c r="C431" s="1" t="n">
        <v>46002</v>
      </c>
      <c r="D431" t="inlineStr">
        <is>
          <t>JÄMTLANDS LÄN</t>
        </is>
      </c>
      <c r="E431" t="inlineStr">
        <is>
          <t>RAGUNDA</t>
        </is>
      </c>
      <c r="F431" t="inlineStr">
        <is>
          <t>SCA</t>
        </is>
      </c>
      <c r="G431" t="n">
        <v>3.5</v>
      </c>
      <c r="H431" t="n">
        <v>0</v>
      </c>
      <c r="I431" t="n">
        <v>0</v>
      </c>
      <c r="J431" t="n">
        <v>0</v>
      </c>
      <c r="K431" t="n">
        <v>0</v>
      </c>
      <c r="L431" t="n">
        <v>0</v>
      </c>
      <c r="M431" t="n">
        <v>0</v>
      </c>
      <c r="N431" t="n">
        <v>0</v>
      </c>
      <c r="O431" t="n">
        <v>0</v>
      </c>
      <c r="P431" t="n">
        <v>0</v>
      </c>
      <c r="Q431" t="n">
        <v>0</v>
      </c>
      <c r="R431" s="2" t="inlineStr"/>
    </row>
    <row r="432" ht="15" customHeight="1">
      <c r="A432" t="inlineStr">
        <is>
          <t>A 57064-2024</t>
        </is>
      </c>
      <c r="B432" s="1" t="n">
        <v>45629.35326388889</v>
      </c>
      <c r="C432" s="1" t="n">
        <v>46002</v>
      </c>
      <c r="D432" t="inlineStr">
        <is>
          <t>JÄMTLANDS LÄN</t>
        </is>
      </c>
      <c r="E432" t="inlineStr">
        <is>
          <t>RAGUNDA</t>
        </is>
      </c>
      <c r="F432" t="inlineStr">
        <is>
          <t>Naturvårdsverket</t>
        </is>
      </c>
      <c r="G432" t="n">
        <v>0.5</v>
      </c>
      <c r="H432" t="n">
        <v>0</v>
      </c>
      <c r="I432" t="n">
        <v>0</v>
      </c>
      <c r="J432" t="n">
        <v>0</v>
      </c>
      <c r="K432" t="n">
        <v>0</v>
      </c>
      <c r="L432" t="n">
        <v>0</v>
      </c>
      <c r="M432" t="n">
        <v>0</v>
      </c>
      <c r="N432" t="n">
        <v>0</v>
      </c>
      <c r="O432" t="n">
        <v>0</v>
      </c>
      <c r="P432" t="n">
        <v>0</v>
      </c>
      <c r="Q432" t="n">
        <v>0</v>
      </c>
      <c r="R432" s="2" t="inlineStr"/>
    </row>
    <row r="433" ht="15" customHeight="1">
      <c r="A433" t="inlineStr">
        <is>
          <t>A 55524-2024</t>
        </is>
      </c>
      <c r="B433" s="1" t="n">
        <v>45622.47435185185</v>
      </c>
      <c r="C433" s="1" t="n">
        <v>46002</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25332-2023</t>
        </is>
      </c>
      <c r="B434" s="1" t="n">
        <v>45086.94010416666</v>
      </c>
      <c r="C434" s="1" t="n">
        <v>46002</v>
      </c>
      <c r="D434" t="inlineStr">
        <is>
          <t>JÄMTLANDS LÄN</t>
        </is>
      </c>
      <c r="E434" t="inlineStr">
        <is>
          <t>RAGUNDA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7280-2024</t>
        </is>
      </c>
      <c r="B435" s="1" t="n">
        <v>45344</v>
      </c>
      <c r="C435" s="1" t="n">
        <v>46002</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29920-2024</t>
        </is>
      </c>
      <c r="B436" s="1" t="n">
        <v>45487.92856481481</v>
      </c>
      <c r="C436" s="1" t="n">
        <v>46002</v>
      </c>
      <c r="D436" t="inlineStr">
        <is>
          <t>JÄMTLANDS LÄN</t>
        </is>
      </c>
      <c r="E436" t="inlineStr">
        <is>
          <t>RAGUNDA</t>
        </is>
      </c>
      <c r="G436" t="n">
        <v>3.4</v>
      </c>
      <c r="H436" t="n">
        <v>0</v>
      </c>
      <c r="I436" t="n">
        <v>0</v>
      </c>
      <c r="J436" t="n">
        <v>0</v>
      </c>
      <c r="K436" t="n">
        <v>0</v>
      </c>
      <c r="L436" t="n">
        <v>0</v>
      </c>
      <c r="M436" t="n">
        <v>0</v>
      </c>
      <c r="N436" t="n">
        <v>0</v>
      </c>
      <c r="O436" t="n">
        <v>0</v>
      </c>
      <c r="P436" t="n">
        <v>0</v>
      </c>
      <c r="Q436" t="n">
        <v>0</v>
      </c>
      <c r="R436" s="2" t="inlineStr"/>
    </row>
    <row r="437" ht="15" customHeight="1">
      <c r="A437" t="inlineStr">
        <is>
          <t>A 14368-2024</t>
        </is>
      </c>
      <c r="B437" s="1" t="n">
        <v>45393.94431712963</v>
      </c>
      <c r="C437" s="1" t="n">
        <v>46002</v>
      </c>
      <c r="D437" t="inlineStr">
        <is>
          <t>JÄMTLANDS LÄN</t>
        </is>
      </c>
      <c r="E437" t="inlineStr">
        <is>
          <t>RAGUNDA</t>
        </is>
      </c>
      <c r="F437" t="inlineStr">
        <is>
          <t>Naturvårdsverket</t>
        </is>
      </c>
      <c r="G437" t="n">
        <v>1.6</v>
      </c>
      <c r="H437" t="n">
        <v>0</v>
      </c>
      <c r="I437" t="n">
        <v>0</v>
      </c>
      <c r="J437" t="n">
        <v>0</v>
      </c>
      <c r="K437" t="n">
        <v>0</v>
      </c>
      <c r="L437" t="n">
        <v>0</v>
      </c>
      <c r="M437" t="n">
        <v>0</v>
      </c>
      <c r="N437" t="n">
        <v>0</v>
      </c>
      <c r="O437" t="n">
        <v>0</v>
      </c>
      <c r="P437" t="n">
        <v>0</v>
      </c>
      <c r="Q437" t="n">
        <v>0</v>
      </c>
      <c r="R437" s="2" t="inlineStr"/>
    </row>
    <row r="438" ht="15" customHeight="1">
      <c r="A438" t="inlineStr">
        <is>
          <t>A 44778-2024</t>
        </is>
      </c>
      <c r="B438" s="1" t="n">
        <v>45574.63355324074</v>
      </c>
      <c r="C438" s="1" t="n">
        <v>46002</v>
      </c>
      <c r="D438" t="inlineStr">
        <is>
          <t>JÄMTLANDS LÄN</t>
        </is>
      </c>
      <c r="E438" t="inlineStr">
        <is>
          <t>RAGUNDA</t>
        </is>
      </c>
      <c r="G438" t="n">
        <v>5.5</v>
      </c>
      <c r="H438" t="n">
        <v>0</v>
      </c>
      <c r="I438" t="n">
        <v>0</v>
      </c>
      <c r="J438" t="n">
        <v>0</v>
      </c>
      <c r="K438" t="n">
        <v>0</v>
      </c>
      <c r="L438" t="n">
        <v>0</v>
      </c>
      <c r="M438" t="n">
        <v>0</v>
      </c>
      <c r="N438" t="n">
        <v>0</v>
      </c>
      <c r="O438" t="n">
        <v>0</v>
      </c>
      <c r="P438" t="n">
        <v>0</v>
      </c>
      <c r="Q438" t="n">
        <v>0</v>
      </c>
      <c r="R438" s="2" t="inlineStr"/>
    </row>
    <row r="439" ht="15" customHeight="1">
      <c r="A439" t="inlineStr">
        <is>
          <t>A 3767-2025</t>
        </is>
      </c>
      <c r="B439" s="1" t="n">
        <v>45681.60203703704</v>
      </c>
      <c r="C439" s="1" t="n">
        <v>46002</v>
      </c>
      <c r="D439" t="inlineStr">
        <is>
          <t>JÄMTLANDS LÄN</t>
        </is>
      </c>
      <c r="E439" t="inlineStr">
        <is>
          <t>RAGUNDA</t>
        </is>
      </c>
      <c r="G439" t="n">
        <v>4.9</v>
      </c>
      <c r="H439" t="n">
        <v>0</v>
      </c>
      <c r="I439" t="n">
        <v>0</v>
      </c>
      <c r="J439" t="n">
        <v>0</v>
      </c>
      <c r="K439" t="n">
        <v>0</v>
      </c>
      <c r="L439" t="n">
        <v>0</v>
      </c>
      <c r="M439" t="n">
        <v>0</v>
      </c>
      <c r="N439" t="n">
        <v>0</v>
      </c>
      <c r="O439" t="n">
        <v>0</v>
      </c>
      <c r="P439" t="n">
        <v>0</v>
      </c>
      <c r="Q439" t="n">
        <v>0</v>
      </c>
      <c r="R439" s="2" t="inlineStr"/>
    </row>
    <row r="440" ht="15" customHeight="1">
      <c r="A440" t="inlineStr">
        <is>
          <t>A 12783-2023</t>
        </is>
      </c>
      <c r="B440" s="1" t="n">
        <v>45000</v>
      </c>
      <c r="C440" s="1" t="n">
        <v>46002</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2673-2024</t>
        </is>
      </c>
      <c r="B441" s="1" t="n">
        <v>45314</v>
      </c>
      <c r="C441" s="1" t="n">
        <v>46002</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46002</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53171-2024</t>
        </is>
      </c>
      <c r="B443" s="1" t="n">
        <v>45611.65679398148</v>
      </c>
      <c r="C443" s="1" t="n">
        <v>46002</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7279-2024</t>
        </is>
      </c>
      <c r="B444" s="1" t="n">
        <v>45344.92822916667</v>
      </c>
      <c r="C444" s="1" t="n">
        <v>46002</v>
      </c>
      <c r="D444" t="inlineStr">
        <is>
          <t>JÄMTLANDS LÄN</t>
        </is>
      </c>
      <c r="E444" t="inlineStr">
        <is>
          <t>RAGUNDA</t>
        </is>
      </c>
      <c r="G444" t="n">
        <v>2.1</v>
      </c>
      <c r="H444" t="n">
        <v>0</v>
      </c>
      <c r="I444" t="n">
        <v>0</v>
      </c>
      <c r="J444" t="n">
        <v>0</v>
      </c>
      <c r="K444" t="n">
        <v>0</v>
      </c>
      <c r="L444" t="n">
        <v>0</v>
      </c>
      <c r="M444" t="n">
        <v>0</v>
      </c>
      <c r="N444" t="n">
        <v>0</v>
      </c>
      <c r="O444" t="n">
        <v>0</v>
      </c>
      <c r="P444" t="n">
        <v>0</v>
      </c>
      <c r="Q444" t="n">
        <v>0</v>
      </c>
      <c r="R444" s="2" t="inlineStr"/>
    </row>
    <row r="445" ht="15" customHeight="1">
      <c r="A445" t="inlineStr">
        <is>
          <t>A 12660-2024</t>
        </is>
      </c>
      <c r="B445" s="1" t="n">
        <v>45384</v>
      </c>
      <c r="C445" s="1" t="n">
        <v>46002</v>
      </c>
      <c r="D445" t="inlineStr">
        <is>
          <t>JÄMTLANDS LÄN</t>
        </is>
      </c>
      <c r="E445" t="inlineStr">
        <is>
          <t>RAGUNDA</t>
        </is>
      </c>
      <c r="G445" t="n">
        <v>1.3</v>
      </c>
      <c r="H445" t="n">
        <v>0</v>
      </c>
      <c r="I445" t="n">
        <v>0</v>
      </c>
      <c r="J445" t="n">
        <v>0</v>
      </c>
      <c r="K445" t="n">
        <v>0</v>
      </c>
      <c r="L445" t="n">
        <v>0</v>
      </c>
      <c r="M445" t="n">
        <v>0</v>
      </c>
      <c r="N445" t="n">
        <v>0</v>
      </c>
      <c r="O445" t="n">
        <v>0</v>
      </c>
      <c r="P445" t="n">
        <v>0</v>
      </c>
      <c r="Q445" t="n">
        <v>0</v>
      </c>
      <c r="R445" s="2" t="inlineStr"/>
    </row>
    <row r="446" ht="15" customHeight="1">
      <c r="A446" t="inlineStr">
        <is>
          <t>A 54599-2023</t>
        </is>
      </c>
      <c r="B446" s="1" t="n">
        <v>45233.92591435185</v>
      </c>
      <c r="C446" s="1" t="n">
        <v>46002</v>
      </c>
      <c r="D446" t="inlineStr">
        <is>
          <t>JÄMTLANDS LÄN</t>
        </is>
      </c>
      <c r="E446" t="inlineStr">
        <is>
          <t>RAGUNDA</t>
        </is>
      </c>
      <c r="G446" t="n">
        <v>3.7</v>
      </c>
      <c r="H446" t="n">
        <v>0</v>
      </c>
      <c r="I446" t="n">
        <v>0</v>
      </c>
      <c r="J446" t="n">
        <v>0</v>
      </c>
      <c r="K446" t="n">
        <v>0</v>
      </c>
      <c r="L446" t="n">
        <v>0</v>
      </c>
      <c r="M446" t="n">
        <v>0</v>
      </c>
      <c r="N446" t="n">
        <v>0</v>
      </c>
      <c r="O446" t="n">
        <v>0</v>
      </c>
      <c r="P446" t="n">
        <v>0</v>
      </c>
      <c r="Q446" t="n">
        <v>0</v>
      </c>
      <c r="R446" s="2" t="inlineStr"/>
    </row>
    <row r="447" ht="15" customHeight="1">
      <c r="A447" t="inlineStr">
        <is>
          <t>A 55649-2023</t>
        </is>
      </c>
      <c r="B447" s="1" t="n">
        <v>45238</v>
      </c>
      <c r="C447" s="1" t="n">
        <v>46002</v>
      </c>
      <c r="D447" t="inlineStr">
        <is>
          <t>JÄMTLANDS LÄN</t>
        </is>
      </c>
      <c r="E447" t="inlineStr">
        <is>
          <t>RAGUNDA</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464-2023</t>
        </is>
      </c>
      <c r="B448" s="1" t="n">
        <v>44929.92489583333</v>
      </c>
      <c r="C448" s="1" t="n">
        <v>46002</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53769-2023</t>
        </is>
      </c>
      <c r="B449" s="1" t="n">
        <v>45230</v>
      </c>
      <c r="C449" s="1" t="n">
        <v>46002</v>
      </c>
      <c r="D449" t="inlineStr">
        <is>
          <t>JÄMTLANDS LÄN</t>
        </is>
      </c>
      <c r="E449" t="inlineStr">
        <is>
          <t>RAGUNDA</t>
        </is>
      </c>
      <c r="F449" t="inlineStr">
        <is>
          <t>SCA</t>
        </is>
      </c>
      <c r="G449" t="n">
        <v>11.6</v>
      </c>
      <c r="H449" t="n">
        <v>0</v>
      </c>
      <c r="I449" t="n">
        <v>0</v>
      </c>
      <c r="J449" t="n">
        <v>0</v>
      </c>
      <c r="K449" t="n">
        <v>0</v>
      </c>
      <c r="L449" t="n">
        <v>0</v>
      </c>
      <c r="M449" t="n">
        <v>0</v>
      </c>
      <c r="N449" t="n">
        <v>0</v>
      </c>
      <c r="O449" t="n">
        <v>0</v>
      </c>
      <c r="P449" t="n">
        <v>0</v>
      </c>
      <c r="Q449" t="n">
        <v>0</v>
      </c>
      <c r="R449" s="2" t="inlineStr"/>
    </row>
    <row r="450" ht="15" customHeight="1">
      <c r="A450" t="inlineStr">
        <is>
          <t>A 52228-2024</t>
        </is>
      </c>
      <c r="B450" s="1" t="n">
        <v>45608.6078587963</v>
      </c>
      <c r="C450" s="1" t="n">
        <v>46002</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23253-2025</t>
        </is>
      </c>
      <c r="B451" s="1" t="n">
        <v>45791.53238425926</v>
      </c>
      <c r="C451" s="1" t="n">
        <v>46002</v>
      </c>
      <c r="D451" t="inlineStr">
        <is>
          <t>JÄMTLANDS LÄN</t>
        </is>
      </c>
      <c r="E451" t="inlineStr">
        <is>
          <t>RAGUNDA</t>
        </is>
      </c>
      <c r="G451" t="n">
        <v>0.7</v>
      </c>
      <c r="H451" t="n">
        <v>0</v>
      </c>
      <c r="I451" t="n">
        <v>0</v>
      </c>
      <c r="J451" t="n">
        <v>0</v>
      </c>
      <c r="K451" t="n">
        <v>0</v>
      </c>
      <c r="L451" t="n">
        <v>0</v>
      </c>
      <c r="M451" t="n">
        <v>0</v>
      </c>
      <c r="N451" t="n">
        <v>0</v>
      </c>
      <c r="O451" t="n">
        <v>0</v>
      </c>
      <c r="P451" t="n">
        <v>0</v>
      </c>
      <c r="Q451" t="n">
        <v>0</v>
      </c>
      <c r="R451" s="2" t="inlineStr"/>
    </row>
    <row r="452" ht="15" customHeight="1">
      <c r="A452" t="inlineStr">
        <is>
          <t>A 23413-2025</t>
        </is>
      </c>
      <c r="B452" s="1" t="n">
        <v>45792.34606481482</v>
      </c>
      <c r="C452" s="1" t="n">
        <v>46002</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23586-2025</t>
        </is>
      </c>
      <c r="B453" s="1" t="n">
        <v>45792.63584490741</v>
      </c>
      <c r="C453" s="1" t="n">
        <v>46002</v>
      </c>
      <c r="D453" t="inlineStr">
        <is>
          <t>JÄMTLANDS LÄN</t>
        </is>
      </c>
      <c r="E453" t="inlineStr">
        <is>
          <t>RAGUNDA</t>
        </is>
      </c>
      <c r="F453" t="inlineStr">
        <is>
          <t>SCA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12521-2023</t>
        </is>
      </c>
      <c r="B454" s="1" t="n">
        <v>45000</v>
      </c>
      <c r="C454" s="1" t="n">
        <v>46002</v>
      </c>
      <c r="D454" t="inlineStr">
        <is>
          <t>JÄMTLANDS LÄN</t>
        </is>
      </c>
      <c r="E454" t="inlineStr">
        <is>
          <t>RAGUNDA</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23841-2025</t>
        </is>
      </c>
      <c r="B455" s="1" t="n">
        <v>45793.61523148148</v>
      </c>
      <c r="C455" s="1" t="n">
        <v>46002</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23507-2025</t>
        </is>
      </c>
      <c r="B456" s="1" t="n">
        <v>45792.49023148148</v>
      </c>
      <c r="C456" s="1" t="n">
        <v>46002</v>
      </c>
      <c r="D456" t="inlineStr">
        <is>
          <t>JÄMTLANDS LÄN</t>
        </is>
      </c>
      <c r="E456" t="inlineStr">
        <is>
          <t>RAGUNDA</t>
        </is>
      </c>
      <c r="F456" t="inlineStr">
        <is>
          <t>SCA</t>
        </is>
      </c>
      <c r="G456" t="n">
        <v>16.4</v>
      </c>
      <c r="H456" t="n">
        <v>0</v>
      </c>
      <c r="I456" t="n">
        <v>0</v>
      </c>
      <c r="J456" t="n">
        <v>0</v>
      </c>
      <c r="K456" t="n">
        <v>0</v>
      </c>
      <c r="L456" t="n">
        <v>0</v>
      </c>
      <c r="M456" t="n">
        <v>0</v>
      </c>
      <c r="N456" t="n">
        <v>0</v>
      </c>
      <c r="O456" t="n">
        <v>0</v>
      </c>
      <c r="P456" t="n">
        <v>0</v>
      </c>
      <c r="Q456" t="n">
        <v>0</v>
      </c>
      <c r="R456" s="2" t="inlineStr"/>
    </row>
    <row r="457" ht="15" customHeight="1">
      <c r="A457" t="inlineStr">
        <is>
          <t>A 2242-2024</t>
        </is>
      </c>
      <c r="B457" s="1" t="n">
        <v>45309</v>
      </c>
      <c r="C457" s="1" t="n">
        <v>46002</v>
      </c>
      <c r="D457" t="inlineStr">
        <is>
          <t>JÄMTLANDS LÄN</t>
        </is>
      </c>
      <c r="E457" t="inlineStr">
        <is>
          <t>RAGUNDA</t>
        </is>
      </c>
      <c r="G457" t="n">
        <v>0.9</v>
      </c>
      <c r="H457" t="n">
        <v>0</v>
      </c>
      <c r="I457" t="n">
        <v>0</v>
      </c>
      <c r="J457" t="n">
        <v>0</v>
      </c>
      <c r="K457" t="n">
        <v>0</v>
      </c>
      <c r="L457" t="n">
        <v>0</v>
      </c>
      <c r="M457" t="n">
        <v>0</v>
      </c>
      <c r="N457" t="n">
        <v>0</v>
      </c>
      <c r="O457" t="n">
        <v>0</v>
      </c>
      <c r="P457" t="n">
        <v>0</v>
      </c>
      <c r="Q457" t="n">
        <v>0</v>
      </c>
      <c r="R457" s="2" t="inlineStr"/>
    </row>
    <row r="458" ht="15" customHeight="1">
      <c r="A458" t="inlineStr">
        <is>
          <t>A 2248-2024</t>
        </is>
      </c>
      <c r="B458" s="1" t="n">
        <v>45309</v>
      </c>
      <c r="C458" s="1" t="n">
        <v>46002</v>
      </c>
      <c r="D458" t="inlineStr">
        <is>
          <t>JÄMTLANDS LÄN</t>
        </is>
      </c>
      <c r="E458" t="inlineStr">
        <is>
          <t>RAGUNDA</t>
        </is>
      </c>
      <c r="G458" t="n">
        <v>4.2</v>
      </c>
      <c r="H458" t="n">
        <v>0</v>
      </c>
      <c r="I458" t="n">
        <v>0</v>
      </c>
      <c r="J458" t="n">
        <v>0</v>
      </c>
      <c r="K458" t="n">
        <v>0</v>
      </c>
      <c r="L458" t="n">
        <v>0</v>
      </c>
      <c r="M458" t="n">
        <v>0</v>
      </c>
      <c r="N458" t="n">
        <v>0</v>
      </c>
      <c r="O458" t="n">
        <v>0</v>
      </c>
      <c r="P458" t="n">
        <v>0</v>
      </c>
      <c r="Q458" t="n">
        <v>0</v>
      </c>
      <c r="R458" s="2" t="inlineStr"/>
    </row>
    <row r="459" ht="15" customHeight="1">
      <c r="A459" t="inlineStr">
        <is>
          <t>A 23840-2025</t>
        </is>
      </c>
      <c r="B459" s="1" t="n">
        <v>45793</v>
      </c>
      <c r="C459" s="1" t="n">
        <v>46002</v>
      </c>
      <c r="D459" t="inlineStr">
        <is>
          <t>JÄMTLANDS LÄN</t>
        </is>
      </c>
      <c r="E459" t="inlineStr">
        <is>
          <t>RAGUNDA</t>
        </is>
      </c>
      <c r="G459" t="n">
        <v>0.8</v>
      </c>
      <c r="H459" t="n">
        <v>0</v>
      </c>
      <c r="I459" t="n">
        <v>0</v>
      </c>
      <c r="J459" t="n">
        <v>0</v>
      </c>
      <c r="K459" t="n">
        <v>0</v>
      </c>
      <c r="L459" t="n">
        <v>0</v>
      </c>
      <c r="M459" t="n">
        <v>0</v>
      </c>
      <c r="N459" t="n">
        <v>0</v>
      </c>
      <c r="O459" t="n">
        <v>0</v>
      </c>
      <c r="P459" t="n">
        <v>0</v>
      </c>
      <c r="Q459" t="n">
        <v>0</v>
      </c>
      <c r="R459" s="2" t="inlineStr"/>
    </row>
    <row r="460" ht="15" customHeight="1">
      <c r="A460" t="inlineStr">
        <is>
          <t>A 23654-2025</t>
        </is>
      </c>
      <c r="B460" s="1" t="n">
        <v>45792.71905092592</v>
      </c>
      <c r="C460" s="1" t="n">
        <v>46002</v>
      </c>
      <c r="D460" t="inlineStr">
        <is>
          <t>JÄMTLANDS LÄN</t>
        </is>
      </c>
      <c r="E460" t="inlineStr">
        <is>
          <t>RAGUNDA</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23405-2025</t>
        </is>
      </c>
      <c r="B461" s="1" t="n">
        <v>45792.34527777778</v>
      </c>
      <c r="C461" s="1" t="n">
        <v>46002</v>
      </c>
      <c r="D461" t="inlineStr">
        <is>
          <t>JÄMTLANDS LÄN</t>
        </is>
      </c>
      <c r="E461" t="inlineStr">
        <is>
          <t>RAGUNDA</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19264-2025</t>
        </is>
      </c>
      <c r="B462" s="1" t="n">
        <v>45769.51087962963</v>
      </c>
      <c r="C462" s="1" t="n">
        <v>46002</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29263-2024</t>
        </is>
      </c>
      <c r="B463" s="1" t="n">
        <v>45482.94891203703</v>
      </c>
      <c r="C463" s="1" t="n">
        <v>46002</v>
      </c>
      <c r="D463" t="inlineStr">
        <is>
          <t>JÄMTLANDS LÄN</t>
        </is>
      </c>
      <c r="E463" t="inlineStr">
        <is>
          <t>RAGUNDA</t>
        </is>
      </c>
      <c r="F463" t="inlineStr">
        <is>
          <t>SCA</t>
        </is>
      </c>
      <c r="G463" t="n">
        <v>5.3</v>
      </c>
      <c r="H463" t="n">
        <v>0</v>
      </c>
      <c r="I463" t="n">
        <v>0</v>
      </c>
      <c r="J463" t="n">
        <v>0</v>
      </c>
      <c r="K463" t="n">
        <v>0</v>
      </c>
      <c r="L463" t="n">
        <v>0</v>
      </c>
      <c r="M463" t="n">
        <v>0</v>
      </c>
      <c r="N463" t="n">
        <v>0</v>
      </c>
      <c r="O463" t="n">
        <v>0</v>
      </c>
      <c r="P463" t="n">
        <v>0</v>
      </c>
      <c r="Q463" t="n">
        <v>0</v>
      </c>
      <c r="R463" s="2" t="inlineStr"/>
    </row>
    <row r="464" ht="15" customHeight="1">
      <c r="A464" t="inlineStr">
        <is>
          <t>A 8800-2025</t>
        </is>
      </c>
      <c r="B464" s="1" t="n">
        <v>45712.65671296296</v>
      </c>
      <c r="C464" s="1" t="n">
        <v>46002</v>
      </c>
      <c r="D464" t="inlineStr">
        <is>
          <t>JÄMTLANDS LÄN</t>
        </is>
      </c>
      <c r="E464" t="inlineStr">
        <is>
          <t>RAGUNDA</t>
        </is>
      </c>
      <c r="G464" t="n">
        <v>2.6</v>
      </c>
      <c r="H464" t="n">
        <v>0</v>
      </c>
      <c r="I464" t="n">
        <v>0</v>
      </c>
      <c r="J464" t="n">
        <v>0</v>
      </c>
      <c r="K464" t="n">
        <v>0</v>
      </c>
      <c r="L464" t="n">
        <v>0</v>
      </c>
      <c r="M464" t="n">
        <v>0</v>
      </c>
      <c r="N464" t="n">
        <v>0</v>
      </c>
      <c r="O464" t="n">
        <v>0</v>
      </c>
      <c r="P464" t="n">
        <v>0</v>
      </c>
      <c r="Q464" t="n">
        <v>0</v>
      </c>
      <c r="R464" s="2" t="inlineStr"/>
    </row>
    <row r="465" ht="15" customHeight="1">
      <c r="A465" t="inlineStr">
        <is>
          <t>A 18284-2025</t>
        </is>
      </c>
      <c r="B465" s="1" t="n">
        <v>45762.39876157408</v>
      </c>
      <c r="C465" s="1" t="n">
        <v>46002</v>
      </c>
      <c r="D465" t="inlineStr">
        <is>
          <t>JÄMTLANDS LÄN</t>
        </is>
      </c>
      <c r="E465" t="inlineStr">
        <is>
          <t>RAGUNDA</t>
        </is>
      </c>
      <c r="G465" t="n">
        <v>0.2</v>
      </c>
      <c r="H465" t="n">
        <v>0</v>
      </c>
      <c r="I465" t="n">
        <v>0</v>
      </c>
      <c r="J465" t="n">
        <v>0</v>
      </c>
      <c r="K465" t="n">
        <v>0</v>
      </c>
      <c r="L465" t="n">
        <v>0</v>
      </c>
      <c r="M465" t="n">
        <v>0</v>
      </c>
      <c r="N465" t="n">
        <v>0</v>
      </c>
      <c r="O465" t="n">
        <v>0</v>
      </c>
      <c r="P465" t="n">
        <v>0</v>
      </c>
      <c r="Q465" t="n">
        <v>0</v>
      </c>
      <c r="R465" s="2" t="inlineStr"/>
      <c r="U465">
        <f>HYPERLINK("https://klasma.github.io/Logging_2303/knärot/A 18284-2025 karta knärot.png", "A 18284-2025")</f>
        <v/>
      </c>
      <c r="V465">
        <f>HYPERLINK("https://klasma.github.io/Logging_2303/klagomål/A 18284-2025 FSC-klagomål.docx", "A 18284-2025")</f>
        <v/>
      </c>
      <c r="W465">
        <f>HYPERLINK("https://klasma.github.io/Logging_2303/klagomålsmail/A 18284-2025 FSC-klagomål mail.docx", "A 18284-2025")</f>
        <v/>
      </c>
      <c r="X465">
        <f>HYPERLINK("https://klasma.github.io/Logging_2303/tillsyn/A 18284-2025 tillsynsbegäran.docx", "A 18284-2025")</f>
        <v/>
      </c>
      <c r="Y465">
        <f>HYPERLINK("https://klasma.github.io/Logging_2303/tillsynsmail/A 18284-2025 tillsynsbegäran mail.docx", "A 18284-2025")</f>
        <v/>
      </c>
    </row>
    <row r="466" ht="15" customHeight="1">
      <c r="A466" t="inlineStr">
        <is>
          <t>A 29319-2023</t>
        </is>
      </c>
      <c r="B466" s="1" t="n">
        <v>45105</v>
      </c>
      <c r="C466" s="1" t="n">
        <v>46002</v>
      </c>
      <c r="D466" t="inlineStr">
        <is>
          <t>JÄMTLANDS LÄN</t>
        </is>
      </c>
      <c r="E466" t="inlineStr">
        <is>
          <t>RAGUNDA</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29265-2024</t>
        </is>
      </c>
      <c r="B467" s="1" t="n">
        <v>45482.9491087963</v>
      </c>
      <c r="C467" s="1" t="n">
        <v>46002</v>
      </c>
      <c r="D467" t="inlineStr">
        <is>
          <t>JÄMTLANDS LÄN</t>
        </is>
      </c>
      <c r="E467" t="inlineStr">
        <is>
          <t>RAGUNDA</t>
        </is>
      </c>
      <c r="F467" t="inlineStr">
        <is>
          <t>SCA</t>
        </is>
      </c>
      <c r="G467" t="n">
        <v>11.6</v>
      </c>
      <c r="H467" t="n">
        <v>0</v>
      </c>
      <c r="I467" t="n">
        <v>0</v>
      </c>
      <c r="J467" t="n">
        <v>0</v>
      </c>
      <c r="K467" t="n">
        <v>0</v>
      </c>
      <c r="L467" t="n">
        <v>0</v>
      </c>
      <c r="M467" t="n">
        <v>0</v>
      </c>
      <c r="N467" t="n">
        <v>0</v>
      </c>
      <c r="O467" t="n">
        <v>0</v>
      </c>
      <c r="P467" t="n">
        <v>0</v>
      </c>
      <c r="Q467" t="n">
        <v>0</v>
      </c>
      <c r="R467" s="2" t="inlineStr"/>
    </row>
    <row r="468" ht="15" customHeight="1">
      <c r="A468" t="inlineStr">
        <is>
          <t>A 19263-2025</t>
        </is>
      </c>
      <c r="B468" s="1" t="n">
        <v>45769.51075231482</v>
      </c>
      <c r="C468" s="1" t="n">
        <v>46002</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27291-2022</t>
        </is>
      </c>
      <c r="B469" s="1" t="n">
        <v>44741.94070601852</v>
      </c>
      <c r="C469" s="1" t="n">
        <v>46002</v>
      </c>
      <c r="D469" t="inlineStr">
        <is>
          <t>JÄMTLANDS LÄN</t>
        </is>
      </c>
      <c r="E469" t="inlineStr">
        <is>
          <t>RAGUNDA</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24158-2025</t>
        </is>
      </c>
      <c r="B470" s="1" t="n">
        <v>45796</v>
      </c>
      <c r="C470" s="1" t="n">
        <v>46002</v>
      </c>
      <c r="D470" t="inlineStr">
        <is>
          <t>JÄMTLANDS LÄN</t>
        </is>
      </c>
      <c r="E470" t="inlineStr">
        <is>
          <t>RAGUNDA</t>
        </is>
      </c>
      <c r="G470" t="n">
        <v>2.9</v>
      </c>
      <c r="H470" t="n">
        <v>0</v>
      </c>
      <c r="I470" t="n">
        <v>0</v>
      </c>
      <c r="J470" t="n">
        <v>0</v>
      </c>
      <c r="K470" t="n">
        <v>0</v>
      </c>
      <c r="L470" t="n">
        <v>0</v>
      </c>
      <c r="M470" t="n">
        <v>0</v>
      </c>
      <c r="N470" t="n">
        <v>0</v>
      </c>
      <c r="O470" t="n">
        <v>0</v>
      </c>
      <c r="P470" t="n">
        <v>0</v>
      </c>
      <c r="Q470" t="n">
        <v>0</v>
      </c>
      <c r="R470" s="2" t="inlineStr"/>
      <c r="U470">
        <f>HYPERLINK("https://klasma.github.io/Logging_2303/knärot/A 24158-2025 karta knärot.png", "A 24158-2025")</f>
        <v/>
      </c>
      <c r="V470">
        <f>HYPERLINK("https://klasma.github.io/Logging_2303/klagomål/A 24158-2025 FSC-klagomål.docx", "A 24158-2025")</f>
        <v/>
      </c>
      <c r="W470">
        <f>HYPERLINK("https://klasma.github.io/Logging_2303/klagomålsmail/A 24158-2025 FSC-klagomål mail.docx", "A 24158-2025")</f>
        <v/>
      </c>
      <c r="X470">
        <f>HYPERLINK("https://klasma.github.io/Logging_2303/tillsyn/A 24158-2025 tillsynsbegäran.docx", "A 24158-2025")</f>
        <v/>
      </c>
      <c r="Y470">
        <f>HYPERLINK("https://klasma.github.io/Logging_2303/tillsynsmail/A 24158-2025 tillsynsbegäran mail.docx", "A 24158-2025")</f>
        <v/>
      </c>
    </row>
    <row r="471" ht="15" customHeight="1">
      <c r="A471" t="inlineStr">
        <is>
          <t>A 24161-2025</t>
        </is>
      </c>
      <c r="B471" s="1" t="n">
        <v>45796</v>
      </c>
      <c r="C471" s="1" t="n">
        <v>46002</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8776-2025</t>
        </is>
      </c>
      <c r="B472" s="1" t="n">
        <v>45712.61510416667</v>
      </c>
      <c r="C472" s="1" t="n">
        <v>46002</v>
      </c>
      <c r="D472" t="inlineStr">
        <is>
          <t>JÄMTLANDS LÄN</t>
        </is>
      </c>
      <c r="E472" t="inlineStr">
        <is>
          <t>RAGUNDA</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18612-2024</t>
        </is>
      </c>
      <c r="B473" s="1" t="n">
        <v>45425.96239583333</v>
      </c>
      <c r="C473" s="1" t="n">
        <v>46002</v>
      </c>
      <c r="D473" t="inlineStr">
        <is>
          <t>JÄMTLANDS LÄN</t>
        </is>
      </c>
      <c r="E473" t="inlineStr">
        <is>
          <t>RAGUNDA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14821-2025</t>
        </is>
      </c>
      <c r="B474" s="1" t="n">
        <v>45743.36</v>
      </c>
      <c r="C474" s="1" t="n">
        <v>46002</v>
      </c>
      <c r="D474" t="inlineStr">
        <is>
          <t>JÄMTLANDS LÄN</t>
        </is>
      </c>
      <c r="E474" t="inlineStr">
        <is>
          <t>RAGUNDA</t>
        </is>
      </c>
      <c r="F474" t="inlineStr">
        <is>
          <t>Kyrkan</t>
        </is>
      </c>
      <c r="G474" t="n">
        <v>6.4</v>
      </c>
      <c r="H474" t="n">
        <v>0</v>
      </c>
      <c r="I474" t="n">
        <v>0</v>
      </c>
      <c r="J474" t="n">
        <v>0</v>
      </c>
      <c r="K474" t="n">
        <v>0</v>
      </c>
      <c r="L474" t="n">
        <v>0</v>
      </c>
      <c r="M474" t="n">
        <v>0</v>
      </c>
      <c r="N474" t="n">
        <v>0</v>
      </c>
      <c r="O474" t="n">
        <v>0</v>
      </c>
      <c r="P474" t="n">
        <v>0</v>
      </c>
      <c r="Q474" t="n">
        <v>0</v>
      </c>
      <c r="R474" s="2" t="inlineStr"/>
    </row>
    <row r="475" ht="15" customHeight="1">
      <c r="A475" t="inlineStr">
        <is>
          <t>A 24159-2025</t>
        </is>
      </c>
      <c r="B475" s="1" t="n">
        <v>45796</v>
      </c>
      <c r="C475" s="1" t="n">
        <v>46002</v>
      </c>
      <c r="D475" t="inlineStr">
        <is>
          <t>JÄMTLANDS LÄN</t>
        </is>
      </c>
      <c r="E475" t="inlineStr">
        <is>
          <t>RAGUNDA</t>
        </is>
      </c>
      <c r="G475" t="n">
        <v>0.8</v>
      </c>
      <c r="H475" t="n">
        <v>0</v>
      </c>
      <c r="I475" t="n">
        <v>0</v>
      </c>
      <c r="J475" t="n">
        <v>0</v>
      </c>
      <c r="K475" t="n">
        <v>0</v>
      </c>
      <c r="L475" t="n">
        <v>0</v>
      </c>
      <c r="M475" t="n">
        <v>0</v>
      </c>
      <c r="N475" t="n">
        <v>0</v>
      </c>
      <c r="O475" t="n">
        <v>0</v>
      </c>
      <c r="P475" t="n">
        <v>0</v>
      </c>
      <c r="Q475" t="n">
        <v>0</v>
      </c>
      <c r="R475" s="2" t="inlineStr"/>
    </row>
    <row r="476" ht="15" customHeight="1">
      <c r="A476" t="inlineStr">
        <is>
          <t>A 24391-2025</t>
        </is>
      </c>
      <c r="B476" s="1" t="n">
        <v>45797.63627314815</v>
      </c>
      <c r="C476" s="1" t="n">
        <v>46002</v>
      </c>
      <c r="D476" t="inlineStr">
        <is>
          <t>JÄMTLANDS LÄN</t>
        </is>
      </c>
      <c r="E476" t="inlineStr">
        <is>
          <t>RAGUNDA</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36375-2022</t>
        </is>
      </c>
      <c r="B477" s="1" t="n">
        <v>44803.94351851852</v>
      </c>
      <c r="C477" s="1" t="n">
        <v>46002</v>
      </c>
      <c r="D477" t="inlineStr">
        <is>
          <t>JÄMTLANDS LÄN</t>
        </is>
      </c>
      <c r="E477" t="inlineStr">
        <is>
          <t>RAGUNDA</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8679-2023</t>
        </is>
      </c>
      <c r="B478" s="1" t="n">
        <v>44977.98670138889</v>
      </c>
      <c r="C478" s="1" t="n">
        <v>46002</v>
      </c>
      <c r="D478" t="inlineStr">
        <is>
          <t>JÄMTLANDS LÄN</t>
        </is>
      </c>
      <c r="E478" t="inlineStr">
        <is>
          <t>RAGUNDA</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62407-2023</t>
        </is>
      </c>
      <c r="B479" s="1" t="n">
        <v>45266</v>
      </c>
      <c r="C479" s="1" t="n">
        <v>46002</v>
      </c>
      <c r="D479" t="inlineStr">
        <is>
          <t>JÄMTLANDS LÄN</t>
        </is>
      </c>
      <c r="E479" t="inlineStr">
        <is>
          <t>RAGUNDA</t>
        </is>
      </c>
      <c r="G479" t="n">
        <v>1.6</v>
      </c>
      <c r="H479" t="n">
        <v>0</v>
      </c>
      <c r="I479" t="n">
        <v>0</v>
      </c>
      <c r="J479" t="n">
        <v>0</v>
      </c>
      <c r="K479" t="n">
        <v>0</v>
      </c>
      <c r="L479" t="n">
        <v>0</v>
      </c>
      <c r="M479" t="n">
        <v>0</v>
      </c>
      <c r="N479" t="n">
        <v>0</v>
      </c>
      <c r="O479" t="n">
        <v>0</v>
      </c>
      <c r="P479" t="n">
        <v>0</v>
      </c>
      <c r="Q479" t="n">
        <v>0</v>
      </c>
      <c r="R479" s="2" t="inlineStr"/>
    </row>
    <row r="480" ht="15" customHeight="1">
      <c r="A480" t="inlineStr">
        <is>
          <t>A 9325-2024</t>
        </is>
      </c>
      <c r="B480" s="1" t="n">
        <v>45358.95813657407</v>
      </c>
      <c r="C480" s="1" t="n">
        <v>46002</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5930-2025</t>
        </is>
      </c>
      <c r="B481" s="1" t="n">
        <v>45695.44724537037</v>
      </c>
      <c r="C481" s="1" t="n">
        <v>46002</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57170-2024</t>
        </is>
      </c>
      <c r="B482" s="1" t="n">
        <v>45629.42759259259</v>
      </c>
      <c r="C482" s="1" t="n">
        <v>46002</v>
      </c>
      <c r="D482" t="inlineStr">
        <is>
          <t>JÄMTLANDS LÄN</t>
        </is>
      </c>
      <c r="E482" t="inlineStr">
        <is>
          <t>RAGUNDA</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21524-2024</t>
        </is>
      </c>
      <c r="B483" s="1" t="n">
        <v>45441</v>
      </c>
      <c r="C483" s="1" t="n">
        <v>46002</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38191-2024</t>
        </is>
      </c>
      <c r="B484" s="1" t="n">
        <v>45545.49078703704</v>
      </c>
      <c r="C484" s="1" t="n">
        <v>46002</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8795-2022</t>
        </is>
      </c>
      <c r="B485" s="1" t="n">
        <v>44614</v>
      </c>
      <c r="C485" s="1" t="n">
        <v>46002</v>
      </c>
      <c r="D485" t="inlineStr">
        <is>
          <t>JÄMTLANDS LÄN</t>
        </is>
      </c>
      <c r="E485" t="inlineStr">
        <is>
          <t>RAGUNDA</t>
        </is>
      </c>
      <c r="G485" t="n">
        <v>3.9</v>
      </c>
      <c r="H485" t="n">
        <v>0</v>
      </c>
      <c r="I485" t="n">
        <v>0</v>
      </c>
      <c r="J485" t="n">
        <v>0</v>
      </c>
      <c r="K485" t="n">
        <v>0</v>
      </c>
      <c r="L485" t="n">
        <v>0</v>
      </c>
      <c r="M485" t="n">
        <v>0</v>
      </c>
      <c r="N485" t="n">
        <v>0</v>
      </c>
      <c r="O485" t="n">
        <v>0</v>
      </c>
      <c r="P485" t="n">
        <v>0</v>
      </c>
      <c r="Q485" t="n">
        <v>0</v>
      </c>
      <c r="R485" s="2" t="inlineStr"/>
    </row>
    <row r="486" ht="15" customHeight="1">
      <c r="A486" t="inlineStr">
        <is>
          <t>A 25631-2025</t>
        </is>
      </c>
      <c r="B486" s="1" t="n">
        <v>45803.5946875</v>
      </c>
      <c r="C486" s="1" t="n">
        <v>46002</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35265-2023</t>
        </is>
      </c>
      <c r="B487" s="1" t="n">
        <v>45145.95326388889</v>
      </c>
      <c r="C487" s="1" t="n">
        <v>46002</v>
      </c>
      <c r="D487" t="inlineStr">
        <is>
          <t>JÄMTLANDS LÄN</t>
        </is>
      </c>
      <c r="E487" t="inlineStr">
        <is>
          <t>RAGUNDA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25376-2025</t>
        </is>
      </c>
      <c r="B488" s="1" t="n">
        <v>45800.63619212963</v>
      </c>
      <c r="C488" s="1" t="n">
        <v>46002</v>
      </c>
      <c r="D488" t="inlineStr">
        <is>
          <t>JÄMTLANDS LÄN</t>
        </is>
      </c>
      <c r="E488" t="inlineStr">
        <is>
          <t>RAGUNDA</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5148-2023</t>
        </is>
      </c>
      <c r="B489" s="1" t="n">
        <v>44958</v>
      </c>
      <c r="C489" s="1" t="n">
        <v>46002</v>
      </c>
      <c r="D489" t="inlineStr">
        <is>
          <t>JÄMTLANDS LÄN</t>
        </is>
      </c>
      <c r="E489" t="inlineStr">
        <is>
          <t>RAGUNDA</t>
        </is>
      </c>
      <c r="G489" t="n">
        <v>2.9</v>
      </c>
      <c r="H489" t="n">
        <v>0</v>
      </c>
      <c r="I489" t="n">
        <v>0</v>
      </c>
      <c r="J489" t="n">
        <v>0</v>
      </c>
      <c r="K489" t="n">
        <v>0</v>
      </c>
      <c r="L489" t="n">
        <v>0</v>
      </c>
      <c r="M489" t="n">
        <v>0</v>
      </c>
      <c r="N489" t="n">
        <v>0</v>
      </c>
      <c r="O489" t="n">
        <v>0</v>
      </c>
      <c r="P489" t="n">
        <v>0</v>
      </c>
      <c r="Q489" t="n">
        <v>0</v>
      </c>
      <c r="R489" s="2" t="inlineStr"/>
    </row>
    <row r="490" ht="15" customHeight="1">
      <c r="A490" t="inlineStr">
        <is>
          <t>A 39192-2025</t>
        </is>
      </c>
      <c r="B490" s="1" t="n">
        <v>45888.6775</v>
      </c>
      <c r="C490" s="1" t="n">
        <v>46002</v>
      </c>
      <c r="D490" t="inlineStr">
        <is>
          <t>JÄMTLANDS LÄN</t>
        </is>
      </c>
      <c r="E490" t="inlineStr">
        <is>
          <t>RAGUNDA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66471-2021</t>
        </is>
      </c>
      <c r="B491" s="1" t="n">
        <v>44518</v>
      </c>
      <c r="C491" s="1" t="n">
        <v>46002</v>
      </c>
      <c r="D491" t="inlineStr">
        <is>
          <t>JÄMTLANDS LÄN</t>
        </is>
      </c>
      <c r="E491" t="inlineStr">
        <is>
          <t>RAGUNDA</t>
        </is>
      </c>
      <c r="G491" t="n">
        <v>13.4</v>
      </c>
      <c r="H491" t="n">
        <v>0</v>
      </c>
      <c r="I491" t="n">
        <v>0</v>
      </c>
      <c r="J491" t="n">
        <v>0</v>
      </c>
      <c r="K491" t="n">
        <v>0</v>
      </c>
      <c r="L491" t="n">
        <v>0</v>
      </c>
      <c r="M491" t="n">
        <v>0</v>
      </c>
      <c r="N491" t="n">
        <v>0</v>
      </c>
      <c r="O491" t="n">
        <v>0</v>
      </c>
      <c r="P491" t="n">
        <v>0</v>
      </c>
      <c r="Q491" t="n">
        <v>0</v>
      </c>
      <c r="R491" s="2" t="inlineStr"/>
    </row>
    <row r="492" ht="15" customHeight="1">
      <c r="A492" t="inlineStr">
        <is>
          <t>A 18778-2024</t>
        </is>
      </c>
      <c r="B492" s="1" t="n">
        <v>45426</v>
      </c>
      <c r="C492" s="1" t="n">
        <v>46002</v>
      </c>
      <c r="D492" t="inlineStr">
        <is>
          <t>JÄMTLANDS LÄN</t>
        </is>
      </c>
      <c r="E492" t="inlineStr">
        <is>
          <t>RAGUNDA</t>
        </is>
      </c>
      <c r="G492" t="n">
        <v>0.9</v>
      </c>
      <c r="H492" t="n">
        <v>0</v>
      </c>
      <c r="I492" t="n">
        <v>0</v>
      </c>
      <c r="J492" t="n">
        <v>0</v>
      </c>
      <c r="K492" t="n">
        <v>0</v>
      </c>
      <c r="L492" t="n">
        <v>0</v>
      </c>
      <c r="M492" t="n">
        <v>0</v>
      </c>
      <c r="N492" t="n">
        <v>0</v>
      </c>
      <c r="O492" t="n">
        <v>0</v>
      </c>
      <c r="P492" t="n">
        <v>0</v>
      </c>
      <c r="Q492" t="n">
        <v>0</v>
      </c>
      <c r="R492" s="2" t="inlineStr"/>
    </row>
    <row r="493" ht="15" customHeight="1">
      <c r="A493" t="inlineStr">
        <is>
          <t>A 59556-2024</t>
        </is>
      </c>
      <c r="B493" s="1" t="n">
        <v>45638.63600694444</v>
      </c>
      <c r="C493" s="1" t="n">
        <v>46002</v>
      </c>
      <c r="D493" t="inlineStr">
        <is>
          <t>JÄMTLANDS LÄN</t>
        </is>
      </c>
      <c r="E493" t="inlineStr">
        <is>
          <t>RAGUNDA</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25175-2025</t>
        </is>
      </c>
      <c r="B494" s="1" t="n">
        <v>45800.44822916666</v>
      </c>
      <c r="C494" s="1" t="n">
        <v>46002</v>
      </c>
      <c r="D494" t="inlineStr">
        <is>
          <t>JÄMTLANDS LÄN</t>
        </is>
      </c>
      <c r="E494" t="inlineStr">
        <is>
          <t>RAGUNDA</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25177-2025</t>
        </is>
      </c>
      <c r="B495" s="1" t="n">
        <v>45800.44862268519</v>
      </c>
      <c r="C495" s="1" t="n">
        <v>46002</v>
      </c>
      <c r="D495" t="inlineStr">
        <is>
          <t>JÄMTLANDS LÄN</t>
        </is>
      </c>
      <c r="E495" t="inlineStr">
        <is>
          <t>RAGUNDA</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25659-2025</t>
        </is>
      </c>
      <c r="B496" s="1" t="n">
        <v>45803.61552083334</v>
      </c>
      <c r="C496" s="1" t="n">
        <v>46002</v>
      </c>
      <c r="D496" t="inlineStr">
        <is>
          <t>JÄMTLANDS LÄN</t>
        </is>
      </c>
      <c r="E496" t="inlineStr">
        <is>
          <t>RAGUNDA</t>
        </is>
      </c>
      <c r="G496" t="n">
        <v>1.5</v>
      </c>
      <c r="H496" t="n">
        <v>0</v>
      </c>
      <c r="I496" t="n">
        <v>0</v>
      </c>
      <c r="J496" t="n">
        <v>0</v>
      </c>
      <c r="K496" t="n">
        <v>0</v>
      </c>
      <c r="L496" t="n">
        <v>0</v>
      </c>
      <c r="M496" t="n">
        <v>0</v>
      </c>
      <c r="N496" t="n">
        <v>0</v>
      </c>
      <c r="O496" t="n">
        <v>0</v>
      </c>
      <c r="P496" t="n">
        <v>0</v>
      </c>
      <c r="Q496" t="n">
        <v>0</v>
      </c>
      <c r="R496" s="2" t="inlineStr"/>
    </row>
    <row r="497" ht="15" customHeight="1">
      <c r="A497" t="inlineStr">
        <is>
          <t>A 25661-2025</t>
        </is>
      </c>
      <c r="B497" s="1" t="n">
        <v>45803.61557870371</v>
      </c>
      <c r="C497" s="1" t="n">
        <v>46002</v>
      </c>
      <c r="D497" t="inlineStr">
        <is>
          <t>JÄMTLANDS LÄN</t>
        </is>
      </c>
      <c r="E497" t="inlineStr">
        <is>
          <t>RAGUNDA</t>
        </is>
      </c>
      <c r="G497" t="n">
        <v>1.4</v>
      </c>
      <c r="H497" t="n">
        <v>0</v>
      </c>
      <c r="I497" t="n">
        <v>0</v>
      </c>
      <c r="J497" t="n">
        <v>0</v>
      </c>
      <c r="K497" t="n">
        <v>0</v>
      </c>
      <c r="L497" t="n">
        <v>0</v>
      </c>
      <c r="M497" t="n">
        <v>0</v>
      </c>
      <c r="N497" t="n">
        <v>0</v>
      </c>
      <c r="O497" t="n">
        <v>0</v>
      </c>
      <c r="P497" t="n">
        <v>0</v>
      </c>
      <c r="Q497" t="n">
        <v>0</v>
      </c>
      <c r="R497" s="2" t="inlineStr"/>
    </row>
    <row r="498" ht="15" customHeight="1">
      <c r="A498" t="inlineStr">
        <is>
          <t>A 25350-2025</t>
        </is>
      </c>
      <c r="B498" s="1" t="n">
        <v>45800</v>
      </c>
      <c r="C498" s="1" t="n">
        <v>46002</v>
      </c>
      <c r="D498" t="inlineStr">
        <is>
          <t>JÄMTLANDS LÄN</t>
        </is>
      </c>
      <c r="E498" t="inlineStr">
        <is>
          <t>RAGUNDA</t>
        </is>
      </c>
      <c r="G498" t="n">
        <v>2.4</v>
      </c>
      <c r="H498" t="n">
        <v>0</v>
      </c>
      <c r="I498" t="n">
        <v>0</v>
      </c>
      <c r="J498" t="n">
        <v>0</v>
      </c>
      <c r="K498" t="n">
        <v>0</v>
      </c>
      <c r="L498" t="n">
        <v>0</v>
      </c>
      <c r="M498" t="n">
        <v>0</v>
      </c>
      <c r="N498" t="n">
        <v>0</v>
      </c>
      <c r="O498" t="n">
        <v>0</v>
      </c>
      <c r="P498" t="n">
        <v>0</v>
      </c>
      <c r="Q498" t="n">
        <v>0</v>
      </c>
      <c r="R498" s="2" t="inlineStr"/>
    </row>
    <row r="499" ht="15" customHeight="1">
      <c r="A499" t="inlineStr">
        <is>
          <t>A 25152-2025</t>
        </is>
      </c>
      <c r="B499" s="1" t="n">
        <v>45800.42743055556</v>
      </c>
      <c r="C499" s="1" t="n">
        <v>46002</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39384-2025</t>
        </is>
      </c>
      <c r="B500" s="1" t="n">
        <v>45889.61517361111</v>
      </c>
      <c r="C500" s="1" t="n">
        <v>46002</v>
      </c>
      <c r="D500" t="inlineStr">
        <is>
          <t>JÄMTLANDS LÄN</t>
        </is>
      </c>
      <c r="E500" t="inlineStr">
        <is>
          <t>RAGUNDA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19613-2023</t>
        </is>
      </c>
      <c r="B501" s="1" t="n">
        <v>45050.94020833333</v>
      </c>
      <c r="C501" s="1" t="n">
        <v>46002</v>
      </c>
      <c r="D501" t="inlineStr">
        <is>
          <t>JÄMTLANDS LÄN</t>
        </is>
      </c>
      <c r="E501" t="inlineStr">
        <is>
          <t>RAGUNDA</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28216-2025</t>
        </is>
      </c>
      <c r="B502" s="1" t="n">
        <v>45818.46898148148</v>
      </c>
      <c r="C502" s="1" t="n">
        <v>46002</v>
      </c>
      <c r="D502" t="inlineStr">
        <is>
          <t>JÄMTLANDS LÄN</t>
        </is>
      </c>
      <c r="E502" t="inlineStr">
        <is>
          <t>RAGUNDA</t>
        </is>
      </c>
      <c r="G502" t="n">
        <v>6.6</v>
      </c>
      <c r="H502" t="n">
        <v>0</v>
      </c>
      <c r="I502" t="n">
        <v>0</v>
      </c>
      <c r="J502" t="n">
        <v>0</v>
      </c>
      <c r="K502" t="n">
        <v>0</v>
      </c>
      <c r="L502" t="n">
        <v>0</v>
      </c>
      <c r="M502" t="n">
        <v>0</v>
      </c>
      <c r="N502" t="n">
        <v>0</v>
      </c>
      <c r="O502" t="n">
        <v>0</v>
      </c>
      <c r="P502" t="n">
        <v>0</v>
      </c>
      <c r="Q502" t="n">
        <v>0</v>
      </c>
      <c r="R502" s="2" t="inlineStr"/>
    </row>
    <row r="503" ht="15" customHeight="1">
      <c r="A503" t="inlineStr">
        <is>
          <t>A 25814-2025</t>
        </is>
      </c>
      <c r="B503" s="1" t="n">
        <v>45804.42642361111</v>
      </c>
      <c r="C503" s="1" t="n">
        <v>46002</v>
      </c>
      <c r="D503" t="inlineStr">
        <is>
          <t>JÄMTLANDS LÄN</t>
        </is>
      </c>
      <c r="E503" t="inlineStr">
        <is>
          <t>RAGUNDA</t>
        </is>
      </c>
      <c r="G503" t="n">
        <v>0.8</v>
      </c>
      <c r="H503" t="n">
        <v>0</v>
      </c>
      <c r="I503" t="n">
        <v>0</v>
      </c>
      <c r="J503" t="n">
        <v>0</v>
      </c>
      <c r="K503" t="n">
        <v>0</v>
      </c>
      <c r="L503" t="n">
        <v>0</v>
      </c>
      <c r="M503" t="n">
        <v>0</v>
      </c>
      <c r="N503" t="n">
        <v>0</v>
      </c>
      <c r="O503" t="n">
        <v>0</v>
      </c>
      <c r="P503" t="n">
        <v>0</v>
      </c>
      <c r="Q503" t="n">
        <v>0</v>
      </c>
      <c r="R503" s="2" t="inlineStr"/>
    </row>
    <row r="504" ht="15" customHeight="1">
      <c r="A504" t="inlineStr">
        <is>
          <t>A 16529-2022</t>
        </is>
      </c>
      <c r="B504" s="1" t="n">
        <v>44671</v>
      </c>
      <c r="C504" s="1" t="n">
        <v>46002</v>
      </c>
      <c r="D504" t="inlineStr">
        <is>
          <t>JÄMTLANDS LÄN</t>
        </is>
      </c>
      <c r="E504" t="inlineStr">
        <is>
          <t>RAGUNDA</t>
        </is>
      </c>
      <c r="G504" t="n">
        <v>1.5</v>
      </c>
      <c r="H504" t="n">
        <v>0</v>
      </c>
      <c r="I504" t="n">
        <v>0</v>
      </c>
      <c r="J504" t="n">
        <v>0</v>
      </c>
      <c r="K504" t="n">
        <v>0</v>
      </c>
      <c r="L504" t="n">
        <v>0</v>
      </c>
      <c r="M504" t="n">
        <v>0</v>
      </c>
      <c r="N504" t="n">
        <v>0</v>
      </c>
      <c r="O504" t="n">
        <v>0</v>
      </c>
      <c r="P504" t="n">
        <v>0</v>
      </c>
      <c r="Q504" t="n">
        <v>0</v>
      </c>
      <c r="R504" s="2" t="inlineStr"/>
    </row>
    <row r="505" ht="15" customHeight="1">
      <c r="A505" t="inlineStr">
        <is>
          <t>A 25944-2025</t>
        </is>
      </c>
      <c r="B505" s="1" t="n">
        <v>45804.59487268519</v>
      </c>
      <c r="C505" s="1" t="n">
        <v>46002</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26283-2025</t>
        </is>
      </c>
      <c r="B506" s="1" t="n">
        <v>45805.61495370371</v>
      </c>
      <c r="C506" s="1" t="n">
        <v>46002</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10788-2025</t>
        </is>
      </c>
      <c r="B507" s="1" t="n">
        <v>45722.48982638889</v>
      </c>
      <c r="C507" s="1" t="n">
        <v>46002</v>
      </c>
      <c r="D507" t="inlineStr">
        <is>
          <t>JÄMTLANDS LÄN</t>
        </is>
      </c>
      <c r="E507" t="inlineStr">
        <is>
          <t>RAGUNDA</t>
        </is>
      </c>
      <c r="G507" t="n">
        <v>3.5</v>
      </c>
      <c r="H507" t="n">
        <v>0</v>
      </c>
      <c r="I507" t="n">
        <v>0</v>
      </c>
      <c r="J507" t="n">
        <v>0</v>
      </c>
      <c r="K507" t="n">
        <v>0</v>
      </c>
      <c r="L507" t="n">
        <v>0</v>
      </c>
      <c r="M507" t="n">
        <v>0</v>
      </c>
      <c r="N507" t="n">
        <v>0</v>
      </c>
      <c r="O507" t="n">
        <v>0</v>
      </c>
      <c r="P507" t="n">
        <v>0</v>
      </c>
      <c r="Q507" t="n">
        <v>0</v>
      </c>
      <c r="R507" s="2" t="inlineStr"/>
    </row>
    <row r="508" ht="15" customHeight="1">
      <c r="A508" t="inlineStr">
        <is>
          <t>A 24258-2025</t>
        </is>
      </c>
      <c r="B508" s="1" t="n">
        <v>45797.40800925926</v>
      </c>
      <c r="C508" s="1" t="n">
        <v>46002</v>
      </c>
      <c r="D508" t="inlineStr">
        <is>
          <t>JÄMTLANDS LÄN</t>
        </is>
      </c>
      <c r="E508" t="inlineStr">
        <is>
          <t>RAGUNDA</t>
        </is>
      </c>
      <c r="G508" t="n">
        <v>1.2</v>
      </c>
      <c r="H508" t="n">
        <v>0</v>
      </c>
      <c r="I508" t="n">
        <v>0</v>
      </c>
      <c r="J508" t="n">
        <v>0</v>
      </c>
      <c r="K508" t="n">
        <v>0</v>
      </c>
      <c r="L508" t="n">
        <v>0</v>
      </c>
      <c r="M508" t="n">
        <v>0</v>
      </c>
      <c r="N508" t="n">
        <v>0</v>
      </c>
      <c r="O508" t="n">
        <v>0</v>
      </c>
      <c r="P508" t="n">
        <v>0</v>
      </c>
      <c r="Q508" t="n">
        <v>0</v>
      </c>
      <c r="R508" s="2" t="inlineStr"/>
    </row>
    <row r="509" ht="15" customHeight="1">
      <c r="A509" t="inlineStr">
        <is>
          <t>A 25994-2025</t>
        </is>
      </c>
      <c r="B509" s="1" t="n">
        <v>45804.65672453704</v>
      </c>
      <c r="C509" s="1" t="n">
        <v>46002</v>
      </c>
      <c r="D509" t="inlineStr">
        <is>
          <t>JÄMTLANDS LÄN</t>
        </is>
      </c>
      <c r="E509" t="inlineStr">
        <is>
          <t>RAGUNDA</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61934-2022</t>
        </is>
      </c>
      <c r="B510" s="1" t="n">
        <v>44917</v>
      </c>
      <c r="C510" s="1" t="n">
        <v>46002</v>
      </c>
      <c r="D510" t="inlineStr">
        <is>
          <t>JÄMTLANDS LÄN</t>
        </is>
      </c>
      <c r="E510" t="inlineStr">
        <is>
          <t>RAGUNDA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26172-2025</t>
        </is>
      </c>
      <c r="B511" s="1" t="n">
        <v>45805.46613425926</v>
      </c>
      <c r="C511" s="1" t="n">
        <v>46002</v>
      </c>
      <c r="D511" t="inlineStr">
        <is>
          <t>JÄMTLANDS LÄN</t>
        </is>
      </c>
      <c r="E511" t="inlineStr">
        <is>
          <t>RAGUNDA</t>
        </is>
      </c>
      <c r="G511" t="n">
        <v>2.1</v>
      </c>
      <c r="H511" t="n">
        <v>0</v>
      </c>
      <c r="I511" t="n">
        <v>0</v>
      </c>
      <c r="J511" t="n">
        <v>0</v>
      </c>
      <c r="K511" t="n">
        <v>0</v>
      </c>
      <c r="L511" t="n">
        <v>0</v>
      </c>
      <c r="M511" t="n">
        <v>0</v>
      </c>
      <c r="N511" t="n">
        <v>0</v>
      </c>
      <c r="O511" t="n">
        <v>0</v>
      </c>
      <c r="P511" t="n">
        <v>0</v>
      </c>
      <c r="Q511" t="n">
        <v>0</v>
      </c>
      <c r="R511" s="2" t="inlineStr"/>
    </row>
    <row r="512" ht="15" customHeight="1">
      <c r="A512" t="inlineStr">
        <is>
          <t>A 8678-2023</t>
        </is>
      </c>
      <c r="B512" s="1" t="n">
        <v>44977.98660879629</v>
      </c>
      <c r="C512" s="1" t="n">
        <v>46002</v>
      </c>
      <c r="D512" t="inlineStr">
        <is>
          <t>JÄMTLANDS LÄN</t>
        </is>
      </c>
      <c r="E512" t="inlineStr">
        <is>
          <t>RAGUNDA</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26246-2025</t>
        </is>
      </c>
      <c r="B513" s="1" t="n">
        <v>45805.57390046296</v>
      </c>
      <c r="C513" s="1" t="n">
        <v>46002</v>
      </c>
      <c r="D513" t="inlineStr">
        <is>
          <t>JÄMTLANDS LÄN</t>
        </is>
      </c>
      <c r="E513" t="inlineStr">
        <is>
          <t>RAGUNDA</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28742-2023</t>
        </is>
      </c>
      <c r="B514" s="1" t="n">
        <v>45103</v>
      </c>
      <c r="C514" s="1" t="n">
        <v>46002</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17323-2025</t>
        </is>
      </c>
      <c r="B515" s="1" t="n">
        <v>45756.63601851852</v>
      </c>
      <c r="C515" s="1" t="n">
        <v>46002</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16364-2023</t>
        </is>
      </c>
      <c r="B516" s="1" t="n">
        <v>45028</v>
      </c>
      <c r="C516" s="1" t="n">
        <v>46002</v>
      </c>
      <c r="D516" t="inlineStr">
        <is>
          <t>JÄMTLANDS LÄN</t>
        </is>
      </c>
      <c r="E516" t="inlineStr">
        <is>
          <t>RAGUNDA</t>
        </is>
      </c>
      <c r="G516" t="n">
        <v>0.5</v>
      </c>
      <c r="H516" t="n">
        <v>0</v>
      </c>
      <c r="I516" t="n">
        <v>0</v>
      </c>
      <c r="J516" t="n">
        <v>0</v>
      </c>
      <c r="K516" t="n">
        <v>0</v>
      </c>
      <c r="L516" t="n">
        <v>0</v>
      </c>
      <c r="M516" t="n">
        <v>0</v>
      </c>
      <c r="N516" t="n">
        <v>0</v>
      </c>
      <c r="O516" t="n">
        <v>0</v>
      </c>
      <c r="P516" t="n">
        <v>0</v>
      </c>
      <c r="Q516" t="n">
        <v>0</v>
      </c>
      <c r="R516" s="2" t="inlineStr"/>
    </row>
    <row r="517" ht="15" customHeight="1">
      <c r="A517" t="inlineStr">
        <is>
          <t>A 59136-2023</t>
        </is>
      </c>
      <c r="B517" s="1" t="n">
        <v>45251</v>
      </c>
      <c r="C517" s="1" t="n">
        <v>46002</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39947-2025</t>
        </is>
      </c>
      <c r="B518" s="1" t="n">
        <v>45892.34438657408</v>
      </c>
      <c r="C518" s="1" t="n">
        <v>46002</v>
      </c>
      <c r="D518" t="inlineStr">
        <is>
          <t>JÄMTLANDS LÄN</t>
        </is>
      </c>
      <c r="E518" t="inlineStr">
        <is>
          <t>RAGUNDA</t>
        </is>
      </c>
      <c r="G518" t="n">
        <v>6.6</v>
      </c>
      <c r="H518" t="n">
        <v>0</v>
      </c>
      <c r="I518" t="n">
        <v>0</v>
      </c>
      <c r="J518" t="n">
        <v>0</v>
      </c>
      <c r="K518" t="n">
        <v>0</v>
      </c>
      <c r="L518" t="n">
        <v>0</v>
      </c>
      <c r="M518" t="n">
        <v>0</v>
      </c>
      <c r="N518" t="n">
        <v>0</v>
      </c>
      <c r="O518" t="n">
        <v>0</v>
      </c>
      <c r="P518" t="n">
        <v>0</v>
      </c>
      <c r="Q518" t="n">
        <v>0</v>
      </c>
      <c r="R518" s="2" t="inlineStr"/>
    </row>
    <row r="519" ht="15" customHeight="1">
      <c r="A519" t="inlineStr">
        <is>
          <t>A 39951-2025</t>
        </is>
      </c>
      <c r="B519" s="1" t="n">
        <v>45892.38657407407</v>
      </c>
      <c r="C519" s="1" t="n">
        <v>46002</v>
      </c>
      <c r="D519" t="inlineStr">
        <is>
          <t>JÄMTLANDS LÄN</t>
        </is>
      </c>
      <c r="E519" t="inlineStr">
        <is>
          <t>RAGUNDA</t>
        </is>
      </c>
      <c r="G519" t="n">
        <v>2.3</v>
      </c>
      <c r="H519" t="n">
        <v>0</v>
      </c>
      <c r="I519" t="n">
        <v>0</v>
      </c>
      <c r="J519" t="n">
        <v>0</v>
      </c>
      <c r="K519" t="n">
        <v>0</v>
      </c>
      <c r="L519" t="n">
        <v>0</v>
      </c>
      <c r="M519" t="n">
        <v>0</v>
      </c>
      <c r="N519" t="n">
        <v>0</v>
      </c>
      <c r="O519" t="n">
        <v>0</v>
      </c>
      <c r="P519" t="n">
        <v>0</v>
      </c>
      <c r="Q519" t="n">
        <v>0</v>
      </c>
      <c r="R519" s="2" t="inlineStr"/>
    </row>
    <row r="520" ht="15" customHeight="1">
      <c r="A520" t="inlineStr">
        <is>
          <t>A 73278-2021</t>
        </is>
      </c>
      <c r="B520" s="1" t="n">
        <v>44550.92168981482</v>
      </c>
      <c r="C520" s="1" t="n">
        <v>46002</v>
      </c>
      <c r="D520" t="inlineStr">
        <is>
          <t>JÄMTLANDS LÄN</t>
        </is>
      </c>
      <c r="E520" t="inlineStr">
        <is>
          <t>RAGUNDA</t>
        </is>
      </c>
      <c r="G520" t="n">
        <v>4.4</v>
      </c>
      <c r="H520" t="n">
        <v>0</v>
      </c>
      <c r="I520" t="n">
        <v>0</v>
      </c>
      <c r="J520" t="n">
        <v>0</v>
      </c>
      <c r="K520" t="n">
        <v>0</v>
      </c>
      <c r="L520" t="n">
        <v>0</v>
      </c>
      <c r="M520" t="n">
        <v>0</v>
      </c>
      <c r="N520" t="n">
        <v>0</v>
      </c>
      <c r="O520" t="n">
        <v>0</v>
      </c>
      <c r="P520" t="n">
        <v>0</v>
      </c>
      <c r="Q520" t="n">
        <v>0</v>
      </c>
      <c r="R520" s="2" t="inlineStr"/>
    </row>
    <row r="521" ht="15" customHeight="1">
      <c r="A521" t="inlineStr">
        <is>
          <t>A 39948-2025</t>
        </is>
      </c>
      <c r="B521" s="1" t="n">
        <v>45892.38591435185</v>
      </c>
      <c r="C521" s="1" t="n">
        <v>46002</v>
      </c>
      <c r="D521" t="inlineStr">
        <is>
          <t>JÄMTLANDS LÄN</t>
        </is>
      </c>
      <c r="E521" t="inlineStr">
        <is>
          <t>RAGUNDA</t>
        </is>
      </c>
      <c r="G521" t="n">
        <v>5</v>
      </c>
      <c r="H521" t="n">
        <v>0</v>
      </c>
      <c r="I521" t="n">
        <v>0</v>
      </c>
      <c r="J521" t="n">
        <v>0</v>
      </c>
      <c r="K521" t="n">
        <v>0</v>
      </c>
      <c r="L521" t="n">
        <v>0</v>
      </c>
      <c r="M521" t="n">
        <v>0</v>
      </c>
      <c r="N521" t="n">
        <v>0</v>
      </c>
      <c r="O521" t="n">
        <v>0</v>
      </c>
      <c r="P521" t="n">
        <v>0</v>
      </c>
      <c r="Q521" t="n">
        <v>0</v>
      </c>
      <c r="R521" s="2" t="inlineStr"/>
    </row>
    <row r="522" ht="15" customHeight="1">
      <c r="A522" t="inlineStr">
        <is>
          <t>A 39946-2025</t>
        </is>
      </c>
      <c r="B522" s="1" t="n">
        <v>45892.34423611111</v>
      </c>
      <c r="C522" s="1" t="n">
        <v>46002</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39950-2025</t>
        </is>
      </c>
      <c r="B523" s="1" t="n">
        <v>45892.38641203703</v>
      </c>
      <c r="C523" s="1" t="n">
        <v>46002</v>
      </c>
      <c r="D523" t="inlineStr">
        <is>
          <t>JÄMTLANDS LÄN</t>
        </is>
      </c>
      <c r="E523" t="inlineStr">
        <is>
          <t>RAGUNDA</t>
        </is>
      </c>
      <c r="G523" t="n">
        <v>1.1</v>
      </c>
      <c r="H523" t="n">
        <v>0</v>
      </c>
      <c r="I523" t="n">
        <v>0</v>
      </c>
      <c r="J523" t="n">
        <v>0</v>
      </c>
      <c r="K523" t="n">
        <v>0</v>
      </c>
      <c r="L523" t="n">
        <v>0</v>
      </c>
      <c r="M523" t="n">
        <v>0</v>
      </c>
      <c r="N523" t="n">
        <v>0</v>
      </c>
      <c r="O523" t="n">
        <v>0</v>
      </c>
      <c r="P523" t="n">
        <v>0</v>
      </c>
      <c r="Q523" t="n">
        <v>0</v>
      </c>
      <c r="R523" s="2" t="inlineStr"/>
    </row>
    <row r="524" ht="15" customHeight="1">
      <c r="A524" t="inlineStr">
        <is>
          <t>A 39955-2025</t>
        </is>
      </c>
      <c r="B524" s="1" t="n">
        <v>45892.44824074074</v>
      </c>
      <c r="C524" s="1" t="n">
        <v>46002</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39956-2025</t>
        </is>
      </c>
      <c r="B525" s="1" t="n">
        <v>45892.44840277778</v>
      </c>
      <c r="C525" s="1" t="n">
        <v>46002</v>
      </c>
      <c r="D525" t="inlineStr">
        <is>
          <t>JÄMTLANDS LÄN</t>
        </is>
      </c>
      <c r="E525" t="inlineStr">
        <is>
          <t>RAGUNDA</t>
        </is>
      </c>
      <c r="G525" t="n">
        <v>3.6</v>
      </c>
      <c r="H525" t="n">
        <v>0</v>
      </c>
      <c r="I525" t="n">
        <v>0</v>
      </c>
      <c r="J525" t="n">
        <v>0</v>
      </c>
      <c r="K525" t="n">
        <v>0</v>
      </c>
      <c r="L525" t="n">
        <v>0</v>
      </c>
      <c r="M525" t="n">
        <v>0</v>
      </c>
      <c r="N525" t="n">
        <v>0</v>
      </c>
      <c r="O525" t="n">
        <v>0</v>
      </c>
      <c r="P525" t="n">
        <v>0</v>
      </c>
      <c r="Q525" t="n">
        <v>0</v>
      </c>
      <c r="R525" s="2" t="inlineStr"/>
    </row>
    <row r="526" ht="15" customHeight="1">
      <c r="A526" t="inlineStr">
        <is>
          <t>A 51396-2024</t>
        </is>
      </c>
      <c r="B526" s="1" t="n">
        <v>45604.4190625</v>
      </c>
      <c r="C526" s="1" t="n">
        <v>46002</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26640-2025</t>
        </is>
      </c>
      <c r="B527" s="1" t="n">
        <v>45810.36495370371</v>
      </c>
      <c r="C527" s="1" t="n">
        <v>46002</v>
      </c>
      <c r="D527" t="inlineStr">
        <is>
          <t>JÄMTLANDS LÄN</t>
        </is>
      </c>
      <c r="E527" t="inlineStr">
        <is>
          <t>RAGUNDA</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39949-2025</t>
        </is>
      </c>
      <c r="B528" s="1" t="n">
        <v>45892.38619212963</v>
      </c>
      <c r="C528" s="1" t="n">
        <v>46002</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49659-2023</t>
        </is>
      </c>
      <c r="B529" s="1" t="n">
        <v>45211.95134259259</v>
      </c>
      <c r="C529" s="1" t="n">
        <v>46002</v>
      </c>
      <c r="D529" t="inlineStr">
        <is>
          <t>JÄMTLANDS LÄN</t>
        </is>
      </c>
      <c r="E529" t="inlineStr">
        <is>
          <t>RAGUNDA</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50521-2024</t>
        </is>
      </c>
      <c r="B530" s="1" t="n">
        <v>45601.55331018518</v>
      </c>
      <c r="C530" s="1" t="n">
        <v>46002</v>
      </c>
      <c r="D530" t="inlineStr">
        <is>
          <t>JÄMTLANDS LÄN</t>
        </is>
      </c>
      <c r="E530" t="inlineStr">
        <is>
          <t>RAGUNDA</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2001-2025</t>
        </is>
      </c>
      <c r="B531" s="1" t="n">
        <v>45672.44898148148</v>
      </c>
      <c r="C531" s="1" t="n">
        <v>46002</v>
      </c>
      <c r="D531" t="inlineStr">
        <is>
          <t>JÄMTLANDS LÄN</t>
        </is>
      </c>
      <c r="E531" t="inlineStr">
        <is>
          <t>RAGUNDA</t>
        </is>
      </c>
      <c r="F531" t="inlineStr">
        <is>
          <t>SCA</t>
        </is>
      </c>
      <c r="G531" t="n">
        <v>16.2</v>
      </c>
      <c r="H531" t="n">
        <v>0</v>
      </c>
      <c r="I531" t="n">
        <v>0</v>
      </c>
      <c r="J531" t="n">
        <v>0</v>
      </c>
      <c r="K531" t="n">
        <v>0</v>
      </c>
      <c r="L531" t="n">
        <v>0</v>
      </c>
      <c r="M531" t="n">
        <v>0</v>
      </c>
      <c r="N531" t="n">
        <v>0</v>
      </c>
      <c r="O531" t="n">
        <v>0</v>
      </c>
      <c r="P531" t="n">
        <v>0</v>
      </c>
      <c r="Q531" t="n">
        <v>0</v>
      </c>
      <c r="R531" s="2" t="inlineStr"/>
    </row>
    <row r="532" ht="15" customHeight="1">
      <c r="A532" t="inlineStr">
        <is>
          <t>A 53762-2023</t>
        </is>
      </c>
      <c r="B532" s="1" t="n">
        <v>45230.96376157407</v>
      </c>
      <c r="C532" s="1" t="n">
        <v>46002</v>
      </c>
      <c r="D532" t="inlineStr">
        <is>
          <t>JÄMTLANDS LÄN</t>
        </is>
      </c>
      <c r="E532" t="inlineStr">
        <is>
          <t>RAGUNDA</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4916-2025</t>
        </is>
      </c>
      <c r="B533" s="1" t="n">
        <v>45688.68196759259</v>
      </c>
      <c r="C533" s="1" t="n">
        <v>46002</v>
      </c>
      <c r="D533" t="inlineStr">
        <is>
          <t>JÄMTLANDS LÄN</t>
        </is>
      </c>
      <c r="E533" t="inlineStr">
        <is>
          <t>RAGUNDA</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59557-2023</t>
        </is>
      </c>
      <c r="B534" s="1" t="n">
        <v>45253</v>
      </c>
      <c r="C534" s="1" t="n">
        <v>46002</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40586-2025</t>
        </is>
      </c>
      <c r="B535" s="1" t="n">
        <v>45896.52478009259</v>
      </c>
      <c r="C535" s="1" t="n">
        <v>46002</v>
      </c>
      <c r="D535" t="inlineStr">
        <is>
          <t>JÄMTLANDS LÄN</t>
        </is>
      </c>
      <c r="E535" t="inlineStr">
        <is>
          <t>RAGUNDA</t>
        </is>
      </c>
      <c r="G535" t="n">
        <v>1.2</v>
      </c>
      <c r="H535" t="n">
        <v>0</v>
      </c>
      <c r="I535" t="n">
        <v>0</v>
      </c>
      <c r="J535" t="n">
        <v>0</v>
      </c>
      <c r="K535" t="n">
        <v>0</v>
      </c>
      <c r="L535" t="n">
        <v>0</v>
      </c>
      <c r="M535" t="n">
        <v>0</v>
      </c>
      <c r="N535" t="n">
        <v>0</v>
      </c>
      <c r="O535" t="n">
        <v>0</v>
      </c>
      <c r="P535" t="n">
        <v>0</v>
      </c>
      <c r="Q535" t="n">
        <v>0</v>
      </c>
      <c r="R535" s="2" t="inlineStr"/>
    </row>
    <row r="536" ht="15" customHeight="1">
      <c r="A536" t="inlineStr">
        <is>
          <t>A 19089-2024</t>
        </is>
      </c>
      <c r="B536" s="1" t="n">
        <v>45428.00471064815</v>
      </c>
      <c r="C536" s="1" t="n">
        <v>46002</v>
      </c>
      <c r="D536" t="inlineStr">
        <is>
          <t>JÄMTLANDS LÄN</t>
        </is>
      </c>
      <c r="E536" t="inlineStr">
        <is>
          <t>RAGUNDA</t>
        </is>
      </c>
      <c r="F536" t="inlineStr">
        <is>
          <t>SCA</t>
        </is>
      </c>
      <c r="G536" t="n">
        <v>6.1</v>
      </c>
      <c r="H536" t="n">
        <v>0</v>
      </c>
      <c r="I536" t="n">
        <v>0</v>
      </c>
      <c r="J536" t="n">
        <v>0</v>
      </c>
      <c r="K536" t="n">
        <v>0</v>
      </c>
      <c r="L536" t="n">
        <v>0</v>
      </c>
      <c r="M536" t="n">
        <v>0</v>
      </c>
      <c r="N536" t="n">
        <v>0</v>
      </c>
      <c r="O536" t="n">
        <v>0</v>
      </c>
      <c r="P536" t="n">
        <v>0</v>
      </c>
      <c r="Q536" t="n">
        <v>0</v>
      </c>
      <c r="R536" s="2" t="inlineStr"/>
    </row>
    <row r="537" ht="15" customHeight="1">
      <c r="A537" t="inlineStr">
        <is>
          <t>A 57112-2024</t>
        </is>
      </c>
      <c r="B537" s="1" t="n">
        <v>45629.36486111111</v>
      </c>
      <c r="C537" s="1" t="n">
        <v>46002</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53136-2024</t>
        </is>
      </c>
      <c r="B538" s="1" t="n">
        <v>45611.5953125</v>
      </c>
      <c r="C538" s="1" t="n">
        <v>46002</v>
      </c>
      <c r="D538" t="inlineStr">
        <is>
          <t>JÄMTLANDS LÄN</t>
        </is>
      </c>
      <c r="E538" t="inlineStr">
        <is>
          <t>RAGUNDA</t>
        </is>
      </c>
      <c r="G538" t="n">
        <v>3.8</v>
      </c>
      <c r="H538" t="n">
        <v>0</v>
      </c>
      <c r="I538" t="n">
        <v>0</v>
      </c>
      <c r="J538" t="n">
        <v>0</v>
      </c>
      <c r="K538" t="n">
        <v>0</v>
      </c>
      <c r="L538" t="n">
        <v>0</v>
      </c>
      <c r="M538" t="n">
        <v>0</v>
      </c>
      <c r="N538" t="n">
        <v>0</v>
      </c>
      <c r="O538" t="n">
        <v>0</v>
      </c>
      <c r="P538" t="n">
        <v>0</v>
      </c>
      <c r="Q538" t="n">
        <v>0</v>
      </c>
      <c r="R538" s="2" t="inlineStr"/>
    </row>
    <row r="539" ht="15" customHeight="1">
      <c r="A539" t="inlineStr">
        <is>
          <t>A 33621-2023</t>
        </is>
      </c>
      <c r="B539" s="1" t="n">
        <v>45119</v>
      </c>
      <c r="C539" s="1" t="n">
        <v>46002</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6694-2024</t>
        </is>
      </c>
      <c r="B540" s="1" t="n">
        <v>45341.95381944445</v>
      </c>
      <c r="C540" s="1" t="n">
        <v>46002</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1537-2024</t>
        </is>
      </c>
      <c r="B541" s="1" t="n">
        <v>45306</v>
      </c>
      <c r="C541" s="1" t="n">
        <v>46002</v>
      </c>
      <c r="D541" t="inlineStr">
        <is>
          <t>JÄMTLANDS LÄN</t>
        </is>
      </c>
      <c r="E541" t="inlineStr">
        <is>
          <t>RAGUNDA</t>
        </is>
      </c>
      <c r="G541" t="n">
        <v>0.2</v>
      </c>
      <c r="H541" t="n">
        <v>0</v>
      </c>
      <c r="I541" t="n">
        <v>0</v>
      </c>
      <c r="J541" t="n">
        <v>0</v>
      </c>
      <c r="K541" t="n">
        <v>0</v>
      </c>
      <c r="L541" t="n">
        <v>0</v>
      </c>
      <c r="M541" t="n">
        <v>0</v>
      </c>
      <c r="N541" t="n">
        <v>0</v>
      </c>
      <c r="O541" t="n">
        <v>0</v>
      </c>
      <c r="P541" t="n">
        <v>0</v>
      </c>
      <c r="Q541" t="n">
        <v>0</v>
      </c>
      <c r="R541" s="2" t="inlineStr"/>
    </row>
    <row r="542" ht="15" customHeight="1">
      <c r="A542" t="inlineStr">
        <is>
          <t>A 41161-2025</t>
        </is>
      </c>
      <c r="B542" s="1" t="n">
        <v>45898.53193287037</v>
      </c>
      <c r="C542" s="1" t="n">
        <v>46002</v>
      </c>
      <c r="D542" t="inlineStr">
        <is>
          <t>JÄMTLANDS LÄN</t>
        </is>
      </c>
      <c r="E542" t="inlineStr">
        <is>
          <t>RAGUNDA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60935-2024</t>
        </is>
      </c>
      <c r="B543" s="1" t="n">
        <v>45645.36740740741</v>
      </c>
      <c r="C543" s="1" t="n">
        <v>46002</v>
      </c>
      <c r="D543" t="inlineStr">
        <is>
          <t>JÄMTLANDS LÄN</t>
        </is>
      </c>
      <c r="E543" t="inlineStr">
        <is>
          <t>RAGUNDA</t>
        </is>
      </c>
      <c r="G543" t="n">
        <v>2.6</v>
      </c>
      <c r="H543" t="n">
        <v>0</v>
      </c>
      <c r="I543" t="n">
        <v>0</v>
      </c>
      <c r="J543" t="n">
        <v>0</v>
      </c>
      <c r="K543" t="n">
        <v>0</v>
      </c>
      <c r="L543" t="n">
        <v>0</v>
      </c>
      <c r="M543" t="n">
        <v>0</v>
      </c>
      <c r="N543" t="n">
        <v>0</v>
      </c>
      <c r="O543" t="n">
        <v>0</v>
      </c>
      <c r="P543" t="n">
        <v>0</v>
      </c>
      <c r="Q543" t="n">
        <v>0</v>
      </c>
      <c r="R543" s="2" t="inlineStr"/>
    </row>
    <row r="544" ht="15" customHeight="1">
      <c r="A544" t="inlineStr">
        <is>
          <t>A 27510-2025</t>
        </is>
      </c>
      <c r="B544" s="1" t="n">
        <v>45813.42790509259</v>
      </c>
      <c r="C544" s="1" t="n">
        <v>46002</v>
      </c>
      <c r="D544" t="inlineStr">
        <is>
          <t>JÄMTLANDS LÄN</t>
        </is>
      </c>
      <c r="E544" t="inlineStr">
        <is>
          <t>RAGUNDA</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41233-2025</t>
        </is>
      </c>
      <c r="B545" s="1" t="n">
        <v>45898.59295138889</v>
      </c>
      <c r="C545" s="1" t="n">
        <v>46002</v>
      </c>
      <c r="D545" t="inlineStr">
        <is>
          <t>JÄMTLANDS LÄN</t>
        </is>
      </c>
      <c r="E545" t="inlineStr">
        <is>
          <t>RAGUNDA</t>
        </is>
      </c>
      <c r="G545" t="n">
        <v>1.7</v>
      </c>
      <c r="H545" t="n">
        <v>0</v>
      </c>
      <c r="I545" t="n">
        <v>0</v>
      </c>
      <c r="J545" t="n">
        <v>0</v>
      </c>
      <c r="K545" t="n">
        <v>0</v>
      </c>
      <c r="L545" t="n">
        <v>0</v>
      </c>
      <c r="M545" t="n">
        <v>0</v>
      </c>
      <c r="N545" t="n">
        <v>0</v>
      </c>
      <c r="O545" t="n">
        <v>0</v>
      </c>
      <c r="P545" t="n">
        <v>0</v>
      </c>
      <c r="Q545" t="n">
        <v>0</v>
      </c>
      <c r="R545" s="2" t="inlineStr"/>
    </row>
    <row r="546" ht="15" customHeight="1">
      <c r="A546" t="inlineStr">
        <is>
          <t>A 19404-2025</t>
        </is>
      </c>
      <c r="B546" s="1" t="n">
        <v>45769.67802083334</v>
      </c>
      <c r="C546" s="1" t="n">
        <v>46002</v>
      </c>
      <c r="D546" t="inlineStr">
        <is>
          <t>JÄMTLANDS LÄN</t>
        </is>
      </c>
      <c r="E546" t="inlineStr">
        <is>
          <t>RAGUNDA</t>
        </is>
      </c>
      <c r="F546" t="inlineStr">
        <is>
          <t>SCA</t>
        </is>
      </c>
      <c r="G546" t="n">
        <v>3</v>
      </c>
      <c r="H546" t="n">
        <v>0</v>
      </c>
      <c r="I546" t="n">
        <v>0</v>
      </c>
      <c r="J546" t="n">
        <v>0</v>
      </c>
      <c r="K546" t="n">
        <v>0</v>
      </c>
      <c r="L546" t="n">
        <v>0</v>
      </c>
      <c r="M546" t="n">
        <v>0</v>
      </c>
      <c r="N546" t="n">
        <v>0</v>
      </c>
      <c r="O546" t="n">
        <v>0</v>
      </c>
      <c r="P546" t="n">
        <v>0</v>
      </c>
      <c r="Q546" t="n">
        <v>0</v>
      </c>
      <c r="R546" s="2" t="inlineStr"/>
      <c r="U546">
        <f>HYPERLINK("https://klasma.github.io/Logging_2303/knärot/A 19404-2025 karta knärot.png", "A 19404-2025")</f>
        <v/>
      </c>
      <c r="V546">
        <f>HYPERLINK("https://klasma.github.io/Logging_2303/klagomål/A 19404-2025 FSC-klagomål.docx", "A 19404-2025")</f>
        <v/>
      </c>
      <c r="W546">
        <f>HYPERLINK("https://klasma.github.io/Logging_2303/klagomålsmail/A 19404-2025 FSC-klagomål mail.docx", "A 19404-2025")</f>
        <v/>
      </c>
      <c r="X546">
        <f>HYPERLINK("https://klasma.github.io/Logging_2303/tillsyn/A 19404-2025 tillsynsbegäran.docx", "A 19404-2025")</f>
        <v/>
      </c>
      <c r="Y546">
        <f>HYPERLINK("https://klasma.github.io/Logging_2303/tillsynsmail/A 19404-2025 tillsynsbegäran mail.docx", "A 19404-2025")</f>
        <v/>
      </c>
    </row>
    <row r="547" ht="15" customHeight="1">
      <c r="A547" t="inlineStr">
        <is>
          <t>A 6257-2025</t>
        </is>
      </c>
      <c r="B547" s="1" t="n">
        <v>45698.59409722222</v>
      </c>
      <c r="C547" s="1" t="n">
        <v>46002</v>
      </c>
      <c r="D547" t="inlineStr">
        <is>
          <t>JÄMTLANDS LÄN</t>
        </is>
      </c>
      <c r="E547" t="inlineStr">
        <is>
          <t>RAGUNDA</t>
        </is>
      </c>
      <c r="F547" t="inlineStr">
        <is>
          <t>SCA</t>
        </is>
      </c>
      <c r="G547" t="n">
        <v>7</v>
      </c>
      <c r="H547" t="n">
        <v>0</v>
      </c>
      <c r="I547" t="n">
        <v>0</v>
      </c>
      <c r="J547" t="n">
        <v>0</v>
      </c>
      <c r="K547" t="n">
        <v>0</v>
      </c>
      <c r="L547" t="n">
        <v>0</v>
      </c>
      <c r="M547" t="n">
        <v>0</v>
      </c>
      <c r="N547" t="n">
        <v>0</v>
      </c>
      <c r="O547" t="n">
        <v>0</v>
      </c>
      <c r="P547" t="n">
        <v>0</v>
      </c>
      <c r="Q547" t="n">
        <v>0</v>
      </c>
      <c r="R547" s="2" t="inlineStr"/>
    </row>
    <row r="548" ht="15" customHeight="1">
      <c r="A548" t="inlineStr">
        <is>
          <t>A 14074-2023</t>
        </is>
      </c>
      <c r="B548" s="1" t="n">
        <v>45009.089375</v>
      </c>
      <c r="C548" s="1" t="n">
        <v>46002</v>
      </c>
      <c r="D548" t="inlineStr">
        <is>
          <t>JÄMTLANDS LÄN</t>
        </is>
      </c>
      <c r="E548" t="inlineStr">
        <is>
          <t>RAGUNDA</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37265-2024</t>
        </is>
      </c>
      <c r="B549" s="1" t="n">
        <v>45540.38564814815</v>
      </c>
      <c r="C549" s="1" t="n">
        <v>46002</v>
      </c>
      <c r="D549" t="inlineStr">
        <is>
          <t>JÄMTLANDS LÄN</t>
        </is>
      </c>
      <c r="E549" t="inlineStr">
        <is>
          <t>RAGUNDA</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41262-2025</t>
        </is>
      </c>
      <c r="B550" s="1" t="n">
        <v>45898.61502314815</v>
      </c>
      <c r="C550" s="1" t="n">
        <v>46002</v>
      </c>
      <c r="D550" t="inlineStr">
        <is>
          <t>JÄMTLANDS LÄN</t>
        </is>
      </c>
      <c r="E550" t="inlineStr">
        <is>
          <t>RAGUNDA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41423-2025</t>
        </is>
      </c>
      <c r="B551" s="1" t="n">
        <v>45901.38578703703</v>
      </c>
      <c r="C551" s="1" t="n">
        <v>46002</v>
      </c>
      <c r="D551" t="inlineStr">
        <is>
          <t>JÄMTLANDS LÄN</t>
        </is>
      </c>
      <c r="E551" t="inlineStr">
        <is>
          <t>RAGUNDA</t>
        </is>
      </c>
      <c r="G551" t="n">
        <v>0.7</v>
      </c>
      <c r="H551" t="n">
        <v>0</v>
      </c>
      <c r="I551" t="n">
        <v>0</v>
      </c>
      <c r="J551" t="n">
        <v>0</v>
      </c>
      <c r="K551" t="n">
        <v>0</v>
      </c>
      <c r="L551" t="n">
        <v>0</v>
      </c>
      <c r="M551" t="n">
        <v>0</v>
      </c>
      <c r="N551" t="n">
        <v>0</v>
      </c>
      <c r="O551" t="n">
        <v>0</v>
      </c>
      <c r="P551" t="n">
        <v>0</v>
      </c>
      <c r="Q551" t="n">
        <v>0</v>
      </c>
      <c r="R551" s="2" t="inlineStr"/>
    </row>
    <row r="552" ht="15" customHeight="1">
      <c r="A552" t="inlineStr">
        <is>
          <t>A 18777-2024</t>
        </is>
      </c>
      <c r="B552" s="1" t="n">
        <v>45426</v>
      </c>
      <c r="C552" s="1" t="n">
        <v>46002</v>
      </c>
      <c r="D552" t="inlineStr">
        <is>
          <t>JÄMTLANDS LÄN</t>
        </is>
      </c>
      <c r="E552" t="inlineStr">
        <is>
          <t>RAGUNDA</t>
        </is>
      </c>
      <c r="G552" t="n">
        <v>1.9</v>
      </c>
      <c r="H552" t="n">
        <v>0</v>
      </c>
      <c r="I552" t="n">
        <v>0</v>
      </c>
      <c r="J552" t="n">
        <v>0</v>
      </c>
      <c r="K552" t="n">
        <v>0</v>
      </c>
      <c r="L552" t="n">
        <v>0</v>
      </c>
      <c r="M552" t="n">
        <v>0</v>
      </c>
      <c r="N552" t="n">
        <v>0</v>
      </c>
      <c r="O552" t="n">
        <v>0</v>
      </c>
      <c r="P552" t="n">
        <v>0</v>
      </c>
      <c r="Q552" t="n">
        <v>0</v>
      </c>
      <c r="R552" s="2" t="inlineStr"/>
    </row>
    <row r="553" ht="15" customHeight="1">
      <c r="A553" t="inlineStr">
        <is>
          <t>A 18989-2025</t>
        </is>
      </c>
      <c r="B553" s="1" t="n">
        <v>45764</v>
      </c>
      <c r="C553" s="1" t="n">
        <v>46002</v>
      </c>
      <c r="D553" t="inlineStr">
        <is>
          <t>JÄMTLANDS LÄN</t>
        </is>
      </c>
      <c r="E553" t="inlineStr">
        <is>
          <t>RAGUNDA</t>
        </is>
      </c>
      <c r="G553" t="n">
        <v>0.9</v>
      </c>
      <c r="H553" t="n">
        <v>0</v>
      </c>
      <c r="I553" t="n">
        <v>0</v>
      </c>
      <c r="J553" t="n">
        <v>0</v>
      </c>
      <c r="K553" t="n">
        <v>0</v>
      </c>
      <c r="L553" t="n">
        <v>0</v>
      </c>
      <c r="M553" t="n">
        <v>0</v>
      </c>
      <c r="N553" t="n">
        <v>0</v>
      </c>
      <c r="O553" t="n">
        <v>0</v>
      </c>
      <c r="P553" t="n">
        <v>0</v>
      </c>
      <c r="Q553" t="n">
        <v>0</v>
      </c>
      <c r="R553" s="2" t="inlineStr"/>
    </row>
    <row r="554" ht="15" customHeight="1">
      <c r="A554" t="inlineStr">
        <is>
          <t>A 41424-2025</t>
        </is>
      </c>
      <c r="B554" s="1" t="n">
        <v>45901.38584490741</v>
      </c>
      <c r="C554" s="1" t="n">
        <v>46002</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41140-2025</t>
        </is>
      </c>
      <c r="B555" s="1" t="n">
        <v>45898.49012731481</v>
      </c>
      <c r="C555" s="1" t="n">
        <v>46002</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41422-2025</t>
        </is>
      </c>
      <c r="B556" s="1" t="n">
        <v>45901.38572916666</v>
      </c>
      <c r="C556" s="1" t="n">
        <v>46002</v>
      </c>
      <c r="D556" t="inlineStr">
        <is>
          <t>JÄMTLANDS LÄN</t>
        </is>
      </c>
      <c r="E556" t="inlineStr">
        <is>
          <t>RAGUNDA</t>
        </is>
      </c>
      <c r="G556" t="n">
        <v>4.3</v>
      </c>
      <c r="H556" t="n">
        <v>0</v>
      </c>
      <c r="I556" t="n">
        <v>0</v>
      </c>
      <c r="J556" t="n">
        <v>0</v>
      </c>
      <c r="K556" t="n">
        <v>0</v>
      </c>
      <c r="L556" t="n">
        <v>0</v>
      </c>
      <c r="M556" t="n">
        <v>0</v>
      </c>
      <c r="N556" t="n">
        <v>0</v>
      </c>
      <c r="O556" t="n">
        <v>0</v>
      </c>
      <c r="P556" t="n">
        <v>0</v>
      </c>
      <c r="Q556" t="n">
        <v>0</v>
      </c>
      <c r="R556" s="2" t="inlineStr"/>
    </row>
    <row r="557" ht="15" customHeight="1">
      <c r="A557" t="inlineStr">
        <is>
          <t>A 41876-2025</t>
        </is>
      </c>
      <c r="B557" s="1" t="n">
        <v>45903.34555555556</v>
      </c>
      <c r="C557" s="1" t="n">
        <v>46002</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58564-2024</t>
        </is>
      </c>
      <c r="B558" s="1" t="n">
        <v>45635.47243055556</v>
      </c>
      <c r="C558" s="1" t="n">
        <v>46002</v>
      </c>
      <c r="D558" t="inlineStr">
        <is>
          <t>JÄMTLANDS LÄN</t>
        </is>
      </c>
      <c r="E558" t="inlineStr">
        <is>
          <t>RAGUNDA</t>
        </is>
      </c>
      <c r="G558" t="n">
        <v>2.6</v>
      </c>
      <c r="H558" t="n">
        <v>0</v>
      </c>
      <c r="I558" t="n">
        <v>0</v>
      </c>
      <c r="J558" t="n">
        <v>0</v>
      </c>
      <c r="K558" t="n">
        <v>0</v>
      </c>
      <c r="L558" t="n">
        <v>0</v>
      </c>
      <c r="M558" t="n">
        <v>0</v>
      </c>
      <c r="N558" t="n">
        <v>0</v>
      </c>
      <c r="O558" t="n">
        <v>0</v>
      </c>
      <c r="P558" t="n">
        <v>0</v>
      </c>
      <c r="Q558" t="n">
        <v>0</v>
      </c>
      <c r="R558" s="2" t="inlineStr"/>
    </row>
    <row r="559" ht="15" customHeight="1">
      <c r="A559" t="inlineStr">
        <is>
          <t>A 8243-2024</t>
        </is>
      </c>
      <c r="B559" s="1" t="n">
        <v>45351.98532407408</v>
      </c>
      <c r="C559" s="1" t="n">
        <v>46002</v>
      </c>
      <c r="D559" t="inlineStr">
        <is>
          <t>JÄMTLANDS LÄN</t>
        </is>
      </c>
      <c r="E559" t="inlineStr">
        <is>
          <t>RAGUNDA</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1325-2025</t>
        </is>
      </c>
      <c r="B560" s="1" t="n">
        <v>45667.57342592593</v>
      </c>
      <c r="C560" s="1" t="n">
        <v>46002</v>
      </c>
      <c r="D560" t="inlineStr">
        <is>
          <t>JÄMTLANDS LÄN</t>
        </is>
      </c>
      <c r="E560" t="inlineStr">
        <is>
          <t>RAGUNDA</t>
        </is>
      </c>
      <c r="F560" t="inlineStr">
        <is>
          <t>SCA</t>
        </is>
      </c>
      <c r="G560" t="n">
        <v>20.2</v>
      </c>
      <c r="H560" t="n">
        <v>0</v>
      </c>
      <c r="I560" t="n">
        <v>0</v>
      </c>
      <c r="J560" t="n">
        <v>0</v>
      </c>
      <c r="K560" t="n">
        <v>0</v>
      </c>
      <c r="L560" t="n">
        <v>0</v>
      </c>
      <c r="M560" t="n">
        <v>0</v>
      </c>
      <c r="N560" t="n">
        <v>0</v>
      </c>
      <c r="O560" t="n">
        <v>0</v>
      </c>
      <c r="P560" t="n">
        <v>0</v>
      </c>
      <c r="Q560" t="n">
        <v>0</v>
      </c>
      <c r="R560" s="2" t="inlineStr"/>
    </row>
    <row r="561" ht="15" customHeight="1">
      <c r="A561" t="inlineStr">
        <is>
          <t>A 41656-2025</t>
        </is>
      </c>
      <c r="B561" s="1" t="n">
        <v>45902.34423611111</v>
      </c>
      <c r="C561" s="1" t="n">
        <v>46002</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18159-2023</t>
        </is>
      </c>
      <c r="B562" s="1" t="n">
        <v>45040.94277777777</v>
      </c>
      <c r="C562" s="1" t="n">
        <v>46002</v>
      </c>
      <c r="D562" t="inlineStr">
        <is>
          <t>JÄMTLANDS LÄN</t>
        </is>
      </c>
      <c r="E562" t="inlineStr">
        <is>
          <t>RAGUNDA</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19486-2024</t>
        </is>
      </c>
      <c r="B563" s="1" t="n">
        <v>45429</v>
      </c>
      <c r="C563" s="1" t="n">
        <v>46002</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1326-2025</t>
        </is>
      </c>
      <c r="B564" s="1" t="n">
        <v>45667.57347222222</v>
      </c>
      <c r="C564" s="1" t="n">
        <v>46002</v>
      </c>
      <c r="D564" t="inlineStr">
        <is>
          <t>JÄMTLANDS LÄN</t>
        </is>
      </c>
      <c r="E564" t="inlineStr">
        <is>
          <t>RAGUNDA</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30642-2024</t>
        </is>
      </c>
      <c r="B565" s="1" t="n">
        <v>45495.57677083334</v>
      </c>
      <c r="C565" s="1" t="n">
        <v>46002</v>
      </c>
      <c r="D565" t="inlineStr">
        <is>
          <t>JÄMTLANDS LÄN</t>
        </is>
      </c>
      <c r="E565" t="inlineStr">
        <is>
          <t>RAGUNDA</t>
        </is>
      </c>
      <c r="G565" t="n">
        <v>2.7</v>
      </c>
      <c r="H565" t="n">
        <v>0</v>
      </c>
      <c r="I565" t="n">
        <v>0</v>
      </c>
      <c r="J565" t="n">
        <v>0</v>
      </c>
      <c r="K565" t="n">
        <v>0</v>
      </c>
      <c r="L565" t="n">
        <v>0</v>
      </c>
      <c r="M565" t="n">
        <v>0</v>
      </c>
      <c r="N565" t="n">
        <v>0</v>
      </c>
      <c r="O565" t="n">
        <v>0</v>
      </c>
      <c r="P565" t="n">
        <v>0</v>
      </c>
      <c r="Q565" t="n">
        <v>0</v>
      </c>
      <c r="R565" s="2" t="inlineStr"/>
    </row>
    <row r="566" ht="15" customHeight="1">
      <c r="A566" t="inlineStr">
        <is>
          <t>A 28637-2025</t>
        </is>
      </c>
      <c r="B566" s="1" t="n">
        <v>45819.6359375</v>
      </c>
      <c r="C566" s="1" t="n">
        <v>46002</v>
      </c>
      <c r="D566" t="inlineStr">
        <is>
          <t>JÄMTLANDS LÄN</t>
        </is>
      </c>
      <c r="E566" t="inlineStr">
        <is>
          <t>RAGUNDA</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993-2025</t>
        </is>
      </c>
      <c r="B567" s="1" t="n">
        <v>45666.44943287037</v>
      </c>
      <c r="C567" s="1" t="n">
        <v>46002</v>
      </c>
      <c r="D567" t="inlineStr">
        <is>
          <t>JÄMTLANDS LÄN</t>
        </is>
      </c>
      <c r="E567" t="inlineStr">
        <is>
          <t>RAGUNDA</t>
        </is>
      </c>
      <c r="G567" t="n">
        <v>11.3</v>
      </c>
      <c r="H567" t="n">
        <v>0</v>
      </c>
      <c r="I567" t="n">
        <v>0</v>
      </c>
      <c r="J567" t="n">
        <v>0</v>
      </c>
      <c r="K567" t="n">
        <v>0</v>
      </c>
      <c r="L567" t="n">
        <v>0</v>
      </c>
      <c r="M567" t="n">
        <v>0</v>
      </c>
      <c r="N567" t="n">
        <v>0</v>
      </c>
      <c r="O567" t="n">
        <v>0</v>
      </c>
      <c r="P567" t="n">
        <v>0</v>
      </c>
      <c r="Q567" t="n">
        <v>0</v>
      </c>
      <c r="R567" s="2" t="inlineStr"/>
    </row>
    <row r="568" ht="15" customHeight="1">
      <c r="A568" t="inlineStr">
        <is>
          <t>A 28973-2025</t>
        </is>
      </c>
      <c r="B568" s="1" t="n">
        <v>45821.34513888889</v>
      </c>
      <c r="C568" s="1" t="n">
        <v>46002</v>
      </c>
      <c r="D568" t="inlineStr">
        <is>
          <t>JÄMTLANDS LÄN</t>
        </is>
      </c>
      <c r="E568" t="inlineStr">
        <is>
          <t>RAGUNDA</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58193-2022</t>
        </is>
      </c>
      <c r="B569" s="1" t="n">
        <v>44900.95700231481</v>
      </c>
      <c r="C569" s="1" t="n">
        <v>46002</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28081-2022</t>
        </is>
      </c>
      <c r="B570" s="1" t="n">
        <v>44746</v>
      </c>
      <c r="C570" s="1" t="n">
        <v>46002</v>
      </c>
      <c r="D570" t="inlineStr">
        <is>
          <t>JÄMTLANDS LÄN</t>
        </is>
      </c>
      <c r="E570" t="inlineStr">
        <is>
          <t>RAGUNDA</t>
        </is>
      </c>
      <c r="G570" t="n">
        <v>7.2</v>
      </c>
      <c r="H570" t="n">
        <v>0</v>
      </c>
      <c r="I570" t="n">
        <v>0</v>
      </c>
      <c r="J570" t="n">
        <v>0</v>
      </c>
      <c r="K570" t="n">
        <v>0</v>
      </c>
      <c r="L570" t="n">
        <v>0</v>
      </c>
      <c r="M570" t="n">
        <v>0</v>
      </c>
      <c r="N570" t="n">
        <v>0</v>
      </c>
      <c r="O570" t="n">
        <v>0</v>
      </c>
      <c r="P570" t="n">
        <v>0</v>
      </c>
      <c r="Q570" t="n">
        <v>0</v>
      </c>
      <c r="R570" s="2" t="inlineStr"/>
    </row>
    <row r="571" ht="15" customHeight="1">
      <c r="A571" t="inlineStr">
        <is>
          <t>A 29731-2025</t>
        </is>
      </c>
      <c r="B571" s="1" t="n">
        <v>45825.58252314815</v>
      </c>
      <c r="C571" s="1" t="n">
        <v>46002</v>
      </c>
      <c r="D571" t="inlineStr">
        <is>
          <t>JÄMTLANDS LÄN</t>
        </is>
      </c>
      <c r="E571" t="inlineStr">
        <is>
          <t>RAGUNDA</t>
        </is>
      </c>
      <c r="G571" t="n">
        <v>2.3</v>
      </c>
      <c r="H571" t="n">
        <v>0</v>
      </c>
      <c r="I571" t="n">
        <v>0</v>
      </c>
      <c r="J571" t="n">
        <v>0</v>
      </c>
      <c r="K571" t="n">
        <v>0</v>
      </c>
      <c r="L571" t="n">
        <v>0</v>
      </c>
      <c r="M571" t="n">
        <v>0</v>
      </c>
      <c r="N571" t="n">
        <v>0</v>
      </c>
      <c r="O571" t="n">
        <v>0</v>
      </c>
      <c r="P571" t="n">
        <v>0</v>
      </c>
      <c r="Q571" t="n">
        <v>0</v>
      </c>
      <c r="R571" s="2" t="inlineStr"/>
    </row>
    <row r="572" ht="15" customHeight="1">
      <c r="A572" t="inlineStr">
        <is>
          <t>A 42269-2025</t>
        </is>
      </c>
      <c r="B572" s="1" t="n">
        <v>45904.60431712963</v>
      </c>
      <c r="C572" s="1" t="n">
        <v>46002</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29723-2025</t>
        </is>
      </c>
      <c r="B573" s="1" t="n">
        <v>45825.57675925926</v>
      </c>
      <c r="C573" s="1" t="n">
        <v>46002</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51049-2024</t>
        </is>
      </c>
      <c r="B574" s="1" t="n">
        <v>45603.44644675926</v>
      </c>
      <c r="C574" s="1" t="n">
        <v>46002</v>
      </c>
      <c r="D574" t="inlineStr">
        <is>
          <t>JÄMTLANDS LÄN</t>
        </is>
      </c>
      <c r="E574" t="inlineStr">
        <is>
          <t>RAGUNDA</t>
        </is>
      </c>
      <c r="F574" t="inlineStr">
        <is>
          <t>SCA</t>
        </is>
      </c>
      <c r="G574" t="n">
        <v>6.9</v>
      </c>
      <c r="H574" t="n">
        <v>0</v>
      </c>
      <c r="I574" t="n">
        <v>0</v>
      </c>
      <c r="J574" t="n">
        <v>0</v>
      </c>
      <c r="K574" t="n">
        <v>0</v>
      </c>
      <c r="L574" t="n">
        <v>0</v>
      </c>
      <c r="M574" t="n">
        <v>0</v>
      </c>
      <c r="N574" t="n">
        <v>0</v>
      </c>
      <c r="O574" t="n">
        <v>0</v>
      </c>
      <c r="P574" t="n">
        <v>0</v>
      </c>
      <c r="Q574" t="n">
        <v>0</v>
      </c>
      <c r="R574" s="2" t="inlineStr"/>
    </row>
    <row r="575" ht="15" customHeight="1">
      <c r="A575" t="inlineStr">
        <is>
          <t>A 44759-2024</t>
        </is>
      </c>
      <c r="B575" s="1" t="n">
        <v>45574.61634259259</v>
      </c>
      <c r="C575" s="1" t="n">
        <v>46002</v>
      </c>
      <c r="D575" t="inlineStr">
        <is>
          <t>JÄMTLANDS LÄN</t>
        </is>
      </c>
      <c r="E575" t="inlineStr">
        <is>
          <t>RAGUNDA</t>
        </is>
      </c>
      <c r="G575" t="n">
        <v>1.9</v>
      </c>
      <c r="H575" t="n">
        <v>0</v>
      </c>
      <c r="I575" t="n">
        <v>0</v>
      </c>
      <c r="J575" t="n">
        <v>0</v>
      </c>
      <c r="K575" t="n">
        <v>0</v>
      </c>
      <c r="L575" t="n">
        <v>0</v>
      </c>
      <c r="M575" t="n">
        <v>0</v>
      </c>
      <c r="N575" t="n">
        <v>0</v>
      </c>
      <c r="O575" t="n">
        <v>0</v>
      </c>
      <c r="P575" t="n">
        <v>0</v>
      </c>
      <c r="Q575" t="n">
        <v>0</v>
      </c>
      <c r="R575" s="2" t="inlineStr"/>
    </row>
    <row r="576" ht="15" customHeight="1">
      <c r="A576" t="inlineStr">
        <is>
          <t>A 37324-2022</t>
        </is>
      </c>
      <c r="B576" s="1" t="n">
        <v>44806</v>
      </c>
      <c r="C576" s="1" t="n">
        <v>46002</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41343-2024</t>
        </is>
      </c>
      <c r="B577" s="1" t="n">
        <v>45559.67745370371</v>
      </c>
      <c r="C577" s="1" t="n">
        <v>46002</v>
      </c>
      <c r="D577" t="inlineStr">
        <is>
          <t>JÄMTLANDS LÄN</t>
        </is>
      </c>
      <c r="E577" t="inlineStr">
        <is>
          <t>RAGUNDA</t>
        </is>
      </c>
      <c r="F577" t="inlineStr">
        <is>
          <t>SCA</t>
        </is>
      </c>
      <c r="G577" t="n">
        <v>25.1</v>
      </c>
      <c r="H577" t="n">
        <v>0</v>
      </c>
      <c r="I577" t="n">
        <v>0</v>
      </c>
      <c r="J577" t="n">
        <v>0</v>
      </c>
      <c r="K577" t="n">
        <v>0</v>
      </c>
      <c r="L577" t="n">
        <v>0</v>
      </c>
      <c r="M577" t="n">
        <v>0</v>
      </c>
      <c r="N577" t="n">
        <v>0</v>
      </c>
      <c r="O577" t="n">
        <v>0</v>
      </c>
      <c r="P577" t="n">
        <v>0</v>
      </c>
      <c r="Q577" t="n">
        <v>0</v>
      </c>
      <c r="R577" s="2" t="inlineStr"/>
    </row>
    <row r="578" ht="15" customHeight="1">
      <c r="A578" t="inlineStr">
        <is>
          <t>A 45953-2023</t>
        </is>
      </c>
      <c r="B578" s="1" t="n">
        <v>45195.94672453704</v>
      </c>
      <c r="C578" s="1" t="n">
        <v>46002</v>
      </c>
      <c r="D578" t="inlineStr">
        <is>
          <t>JÄMTLANDS LÄN</t>
        </is>
      </c>
      <c r="E578" t="inlineStr">
        <is>
          <t>RAGUNDA</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16982-2024</t>
        </is>
      </c>
      <c r="B579" s="1" t="n">
        <v>45412.02506944445</v>
      </c>
      <c r="C579" s="1" t="n">
        <v>46002</v>
      </c>
      <c r="D579" t="inlineStr">
        <is>
          <t>JÄMTLANDS LÄN</t>
        </is>
      </c>
      <c r="E579" t="inlineStr">
        <is>
          <t>RAGUNDA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49650-2024</t>
        </is>
      </c>
      <c r="B580" s="1" t="n">
        <v>45596.61569444444</v>
      </c>
      <c r="C580" s="1" t="n">
        <v>46002</v>
      </c>
      <c r="D580" t="inlineStr">
        <is>
          <t>JÄMTLANDS LÄN</t>
        </is>
      </c>
      <c r="E580" t="inlineStr">
        <is>
          <t>RAGUNDA</t>
        </is>
      </c>
      <c r="F580" t="inlineStr">
        <is>
          <t>Naturvårdsverket</t>
        </is>
      </c>
      <c r="G580" t="n">
        <v>3</v>
      </c>
      <c r="H580" t="n">
        <v>0</v>
      </c>
      <c r="I580" t="n">
        <v>0</v>
      </c>
      <c r="J580" t="n">
        <v>0</v>
      </c>
      <c r="K580" t="n">
        <v>0</v>
      </c>
      <c r="L580" t="n">
        <v>0</v>
      </c>
      <c r="M580" t="n">
        <v>0</v>
      </c>
      <c r="N580" t="n">
        <v>0</v>
      </c>
      <c r="O580" t="n">
        <v>0</v>
      </c>
      <c r="P580" t="n">
        <v>0</v>
      </c>
      <c r="Q580" t="n">
        <v>0</v>
      </c>
      <c r="R580" s="2" t="inlineStr"/>
    </row>
    <row r="581" ht="15" customHeight="1">
      <c r="A581" t="inlineStr">
        <is>
          <t>A 49651-2024</t>
        </is>
      </c>
      <c r="B581" s="1" t="n">
        <v>45596.61582175926</v>
      </c>
      <c r="C581" s="1" t="n">
        <v>46002</v>
      </c>
      <c r="D581" t="inlineStr">
        <is>
          <t>JÄMTLANDS LÄN</t>
        </is>
      </c>
      <c r="E581" t="inlineStr">
        <is>
          <t>RAGUNDA</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30088-2025</t>
        </is>
      </c>
      <c r="B582" s="1" t="n">
        <v>45826.65759259259</v>
      </c>
      <c r="C582" s="1" t="n">
        <v>46002</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33763-2025</t>
        </is>
      </c>
      <c r="B583" s="1" t="n">
        <v>45842.38579861111</v>
      </c>
      <c r="C583" s="1" t="n">
        <v>46002</v>
      </c>
      <c r="D583" t="inlineStr">
        <is>
          <t>JÄMTLANDS LÄN</t>
        </is>
      </c>
      <c r="E583" t="inlineStr">
        <is>
          <t>RAGUNDA</t>
        </is>
      </c>
      <c r="F583" t="inlineStr">
        <is>
          <t>SCA</t>
        </is>
      </c>
      <c r="G583" t="n">
        <v>13.4</v>
      </c>
      <c r="H583" t="n">
        <v>0</v>
      </c>
      <c r="I583" t="n">
        <v>0</v>
      </c>
      <c r="J583" t="n">
        <v>0</v>
      </c>
      <c r="K583" t="n">
        <v>0</v>
      </c>
      <c r="L583" t="n">
        <v>0</v>
      </c>
      <c r="M583" t="n">
        <v>0</v>
      </c>
      <c r="N583" t="n">
        <v>0</v>
      </c>
      <c r="O583" t="n">
        <v>0</v>
      </c>
      <c r="P583" t="n">
        <v>0</v>
      </c>
      <c r="Q583" t="n">
        <v>0</v>
      </c>
      <c r="R583" s="2" t="inlineStr"/>
    </row>
    <row r="584" ht="15" customHeight="1">
      <c r="A584" t="inlineStr">
        <is>
          <t>A 30348-2025</t>
        </is>
      </c>
      <c r="B584" s="1" t="n">
        <v>45827.53178240741</v>
      </c>
      <c r="C584" s="1" t="n">
        <v>46002</v>
      </c>
      <c r="D584" t="inlineStr">
        <is>
          <t>JÄMTLANDS LÄN</t>
        </is>
      </c>
      <c r="E584" t="inlineStr">
        <is>
          <t>RAGUNDA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30434-2025</t>
        </is>
      </c>
      <c r="B585" s="1" t="n">
        <v>45827.63582175926</v>
      </c>
      <c r="C585" s="1" t="n">
        <v>46002</v>
      </c>
      <c r="D585" t="inlineStr">
        <is>
          <t>JÄMTLANDS LÄN</t>
        </is>
      </c>
      <c r="E585" t="inlineStr">
        <is>
          <t>RAGUNDA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64264-2023</t>
        </is>
      </c>
      <c r="B586" s="1" t="n">
        <v>45279.94564814815</v>
      </c>
      <c r="C586" s="1" t="n">
        <v>46002</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43177-2025</t>
        </is>
      </c>
      <c r="B587" s="1" t="n">
        <v>45910.40667824074</v>
      </c>
      <c r="C587" s="1" t="n">
        <v>46002</v>
      </c>
      <c r="D587" t="inlineStr">
        <is>
          <t>JÄMTLANDS LÄN</t>
        </is>
      </c>
      <c r="E587" t="inlineStr">
        <is>
          <t>RAGUNDA</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31463-2024</t>
        </is>
      </c>
      <c r="B588" s="1" t="n">
        <v>45505</v>
      </c>
      <c r="C588" s="1" t="n">
        <v>46002</v>
      </c>
      <c r="D588" t="inlineStr">
        <is>
          <t>JÄMTLANDS LÄN</t>
        </is>
      </c>
      <c r="E588" t="inlineStr">
        <is>
          <t>RAGUNDA</t>
        </is>
      </c>
      <c r="F588" t="inlineStr">
        <is>
          <t>SCA</t>
        </is>
      </c>
      <c r="G588" t="n">
        <v>20.3</v>
      </c>
      <c r="H588" t="n">
        <v>0</v>
      </c>
      <c r="I588" t="n">
        <v>0</v>
      </c>
      <c r="J588" t="n">
        <v>0</v>
      </c>
      <c r="K588" t="n">
        <v>0</v>
      </c>
      <c r="L588" t="n">
        <v>0</v>
      </c>
      <c r="M588" t="n">
        <v>0</v>
      </c>
      <c r="N588" t="n">
        <v>0</v>
      </c>
      <c r="O588" t="n">
        <v>0</v>
      </c>
      <c r="P588" t="n">
        <v>0</v>
      </c>
      <c r="Q588" t="n">
        <v>0</v>
      </c>
      <c r="R588" s="2" t="inlineStr"/>
    </row>
    <row r="589" ht="15" customHeight="1">
      <c r="A589" t="inlineStr">
        <is>
          <t>A 43181-2025</t>
        </is>
      </c>
      <c r="B589" s="1" t="n">
        <v>45910.40721064815</v>
      </c>
      <c r="C589" s="1" t="n">
        <v>46002</v>
      </c>
      <c r="D589" t="inlineStr">
        <is>
          <t>JÄMTLANDS LÄN</t>
        </is>
      </c>
      <c r="E589" t="inlineStr">
        <is>
          <t>RAGUNDA</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43330-2025</t>
        </is>
      </c>
      <c r="B590" s="1" t="n">
        <v>45910.67766203704</v>
      </c>
      <c r="C590" s="1" t="n">
        <v>46002</v>
      </c>
      <c r="D590" t="inlineStr">
        <is>
          <t>JÄMTLANDS LÄN</t>
        </is>
      </c>
      <c r="E590" t="inlineStr">
        <is>
          <t>RAGUNDA</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30887-2025</t>
        </is>
      </c>
      <c r="B591" s="1" t="n">
        <v>45832.3459375</v>
      </c>
      <c r="C591" s="1" t="n">
        <v>46002</v>
      </c>
      <c r="D591" t="inlineStr">
        <is>
          <t>JÄMTLANDS LÄN</t>
        </is>
      </c>
      <c r="E591" t="inlineStr">
        <is>
          <t>RAGUNDA</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30883-2025</t>
        </is>
      </c>
      <c r="B592" s="1" t="n">
        <v>45832.34552083333</v>
      </c>
      <c r="C592" s="1" t="n">
        <v>46002</v>
      </c>
      <c r="D592" t="inlineStr">
        <is>
          <t>JÄMTLANDS LÄN</t>
        </is>
      </c>
      <c r="E592" t="inlineStr">
        <is>
          <t>RAGUNDA</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42893-2022</t>
        </is>
      </c>
      <c r="B593" s="1" t="n">
        <v>44832</v>
      </c>
      <c r="C593" s="1" t="n">
        <v>46002</v>
      </c>
      <c r="D593" t="inlineStr">
        <is>
          <t>JÄMTLANDS LÄN</t>
        </is>
      </c>
      <c r="E593" t="inlineStr">
        <is>
          <t>RAGUNDA</t>
        </is>
      </c>
      <c r="F593" t="inlineStr">
        <is>
          <t>SCA</t>
        </is>
      </c>
      <c r="G593" t="n">
        <v>28.4</v>
      </c>
      <c r="H593" t="n">
        <v>0</v>
      </c>
      <c r="I593" t="n">
        <v>0</v>
      </c>
      <c r="J593" t="n">
        <v>0</v>
      </c>
      <c r="K593" t="n">
        <v>0</v>
      </c>
      <c r="L593" t="n">
        <v>0</v>
      </c>
      <c r="M593" t="n">
        <v>0</v>
      </c>
      <c r="N593" t="n">
        <v>0</v>
      </c>
      <c r="O593" t="n">
        <v>0</v>
      </c>
      <c r="P593" t="n">
        <v>0</v>
      </c>
      <c r="Q593" t="n">
        <v>0</v>
      </c>
      <c r="R593" s="2" t="inlineStr"/>
    </row>
    <row r="594" ht="15" customHeight="1">
      <c r="A594" t="inlineStr">
        <is>
          <t>A 43776-2025</t>
        </is>
      </c>
      <c r="B594" s="1" t="n">
        <v>45912.51086805556</v>
      </c>
      <c r="C594" s="1" t="n">
        <v>46002</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43971-2025</t>
        </is>
      </c>
      <c r="B595" s="1" t="n">
        <v>45915.40694444445</v>
      </c>
      <c r="C595" s="1" t="n">
        <v>46002</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29940-2023</t>
        </is>
      </c>
      <c r="B596" s="1" t="n">
        <v>45107</v>
      </c>
      <c r="C596" s="1" t="n">
        <v>46002</v>
      </c>
      <c r="D596" t="inlineStr">
        <is>
          <t>JÄMTLANDS LÄN</t>
        </is>
      </c>
      <c r="E596" t="inlineStr">
        <is>
          <t>RAGUNDA</t>
        </is>
      </c>
      <c r="G596" t="n">
        <v>13.5</v>
      </c>
      <c r="H596" t="n">
        <v>0</v>
      </c>
      <c r="I596" t="n">
        <v>0</v>
      </c>
      <c r="J596" t="n">
        <v>0</v>
      </c>
      <c r="K596" t="n">
        <v>0</v>
      </c>
      <c r="L596" t="n">
        <v>0</v>
      </c>
      <c r="M596" t="n">
        <v>0</v>
      </c>
      <c r="N596" t="n">
        <v>0</v>
      </c>
      <c r="O596" t="n">
        <v>0</v>
      </c>
      <c r="P596" t="n">
        <v>0</v>
      </c>
      <c r="Q596" t="n">
        <v>0</v>
      </c>
      <c r="R596" s="2" t="inlineStr"/>
    </row>
    <row r="597" ht="15" customHeight="1">
      <c r="A597" t="inlineStr">
        <is>
          <t>A 43804-2025</t>
        </is>
      </c>
      <c r="B597" s="1" t="n">
        <v>45912.57373842593</v>
      </c>
      <c r="C597" s="1" t="n">
        <v>46002</v>
      </c>
      <c r="D597" t="inlineStr">
        <is>
          <t>JÄMTLANDS LÄN</t>
        </is>
      </c>
      <c r="E597" t="inlineStr">
        <is>
          <t>RAGUNDA</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30880-2025</t>
        </is>
      </c>
      <c r="B598" s="1" t="n">
        <v>45832.34524305556</v>
      </c>
      <c r="C598" s="1" t="n">
        <v>46002</v>
      </c>
      <c r="D598" t="inlineStr">
        <is>
          <t>JÄMTLANDS LÄN</t>
        </is>
      </c>
      <c r="E598" t="inlineStr">
        <is>
          <t>RAGUNDA</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23303-2024</t>
        </is>
      </c>
      <c r="B599" s="1" t="n">
        <v>45453.4444212963</v>
      </c>
      <c r="C599" s="1" t="n">
        <v>46002</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179-2025</t>
        </is>
      </c>
      <c r="B600" s="1" t="n">
        <v>45659.69822916666</v>
      </c>
      <c r="C600" s="1" t="n">
        <v>46002</v>
      </c>
      <c r="D600" t="inlineStr">
        <is>
          <t>JÄMTLANDS LÄN</t>
        </is>
      </c>
      <c r="E600" t="inlineStr">
        <is>
          <t>RAGUNDA</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32096-2025</t>
        </is>
      </c>
      <c r="B601" s="1" t="n">
        <v>45835.46334490741</v>
      </c>
      <c r="C601" s="1" t="n">
        <v>46002</v>
      </c>
      <c r="D601" t="inlineStr">
        <is>
          <t>JÄMTLANDS LÄN</t>
        </is>
      </c>
      <c r="E601" t="inlineStr">
        <is>
          <t>RAGUNDA</t>
        </is>
      </c>
      <c r="G601" t="n">
        <v>0.9</v>
      </c>
      <c r="H601" t="n">
        <v>0</v>
      </c>
      <c r="I601" t="n">
        <v>0</v>
      </c>
      <c r="J601" t="n">
        <v>0</v>
      </c>
      <c r="K601" t="n">
        <v>0</v>
      </c>
      <c r="L601" t="n">
        <v>0</v>
      </c>
      <c r="M601" t="n">
        <v>0</v>
      </c>
      <c r="N601" t="n">
        <v>0</v>
      </c>
      <c r="O601" t="n">
        <v>0</v>
      </c>
      <c r="P601" t="n">
        <v>0</v>
      </c>
      <c r="Q601" t="n">
        <v>0</v>
      </c>
      <c r="R601" s="2" t="inlineStr"/>
    </row>
    <row r="602" ht="15" customHeight="1">
      <c r="A602" t="inlineStr">
        <is>
          <t>A 32151-2025</t>
        </is>
      </c>
      <c r="B602" s="1" t="n">
        <v>45835.53166666667</v>
      </c>
      <c r="C602" s="1" t="n">
        <v>46002</v>
      </c>
      <c r="D602" t="inlineStr">
        <is>
          <t>JÄMTLANDS LÄN</t>
        </is>
      </c>
      <c r="E602" t="inlineStr">
        <is>
          <t>RAGUNDA</t>
        </is>
      </c>
      <c r="F602" t="inlineStr">
        <is>
          <t>SCA</t>
        </is>
      </c>
      <c r="G602" t="n">
        <v>12.3</v>
      </c>
      <c r="H602" t="n">
        <v>0</v>
      </c>
      <c r="I602" t="n">
        <v>0</v>
      </c>
      <c r="J602" t="n">
        <v>0</v>
      </c>
      <c r="K602" t="n">
        <v>0</v>
      </c>
      <c r="L602" t="n">
        <v>0</v>
      </c>
      <c r="M602" t="n">
        <v>0</v>
      </c>
      <c r="N602" t="n">
        <v>0</v>
      </c>
      <c r="O602" t="n">
        <v>0</v>
      </c>
      <c r="P602" t="n">
        <v>0</v>
      </c>
      <c r="Q602" t="n">
        <v>0</v>
      </c>
      <c r="R602" s="2" t="inlineStr"/>
    </row>
    <row r="603" ht="15" customHeight="1">
      <c r="A603" t="inlineStr">
        <is>
          <t>A 22412-2024</t>
        </is>
      </c>
      <c r="B603" s="1" t="n">
        <v>45446.68947916666</v>
      </c>
      <c r="C603" s="1" t="n">
        <v>46002</v>
      </c>
      <c r="D603" t="inlineStr">
        <is>
          <t>JÄMTLANDS LÄN</t>
        </is>
      </c>
      <c r="E603" t="inlineStr">
        <is>
          <t>RAGUNDA</t>
        </is>
      </c>
      <c r="G603" t="n">
        <v>0.8</v>
      </c>
      <c r="H603" t="n">
        <v>0</v>
      </c>
      <c r="I603" t="n">
        <v>0</v>
      </c>
      <c r="J603" t="n">
        <v>0</v>
      </c>
      <c r="K603" t="n">
        <v>0</v>
      </c>
      <c r="L603" t="n">
        <v>0</v>
      </c>
      <c r="M603" t="n">
        <v>0</v>
      </c>
      <c r="N603" t="n">
        <v>0</v>
      </c>
      <c r="O603" t="n">
        <v>0</v>
      </c>
      <c r="P603" t="n">
        <v>0</v>
      </c>
      <c r="Q603" t="n">
        <v>0</v>
      </c>
      <c r="R603" s="2" t="inlineStr"/>
    </row>
    <row r="604" ht="15" customHeight="1">
      <c r="A604" t="inlineStr">
        <is>
          <t>A 32306-2025</t>
        </is>
      </c>
      <c r="B604" s="1" t="n">
        <v>45835.72046296296</v>
      </c>
      <c r="C604" s="1" t="n">
        <v>46002</v>
      </c>
      <c r="D604" t="inlineStr">
        <is>
          <t>JÄMTLANDS LÄN</t>
        </is>
      </c>
      <c r="E604" t="inlineStr">
        <is>
          <t>RAGUNDA</t>
        </is>
      </c>
      <c r="G604" t="n">
        <v>10.2</v>
      </c>
      <c r="H604" t="n">
        <v>0</v>
      </c>
      <c r="I604" t="n">
        <v>0</v>
      </c>
      <c r="J604" t="n">
        <v>0</v>
      </c>
      <c r="K604" t="n">
        <v>0</v>
      </c>
      <c r="L604" t="n">
        <v>0</v>
      </c>
      <c r="M604" t="n">
        <v>0</v>
      </c>
      <c r="N604" t="n">
        <v>0</v>
      </c>
      <c r="O604" t="n">
        <v>0</v>
      </c>
      <c r="P604" t="n">
        <v>0</v>
      </c>
      <c r="Q604" t="n">
        <v>0</v>
      </c>
      <c r="R604" s="2" t="inlineStr"/>
    </row>
    <row r="605" ht="15" customHeight="1">
      <c r="A605" t="inlineStr">
        <is>
          <t>A 13334-2024</t>
        </is>
      </c>
      <c r="B605" s="1" t="n">
        <v>45386</v>
      </c>
      <c r="C605" s="1" t="n">
        <v>46002</v>
      </c>
      <c r="D605" t="inlineStr">
        <is>
          <t>JÄMTLANDS LÄN</t>
        </is>
      </c>
      <c r="E605" t="inlineStr">
        <is>
          <t>RAGUNDA</t>
        </is>
      </c>
      <c r="G605" t="n">
        <v>8.6</v>
      </c>
      <c r="H605" t="n">
        <v>0</v>
      </c>
      <c r="I605" t="n">
        <v>0</v>
      </c>
      <c r="J605" t="n">
        <v>0</v>
      </c>
      <c r="K605" t="n">
        <v>0</v>
      </c>
      <c r="L605" t="n">
        <v>0</v>
      </c>
      <c r="M605" t="n">
        <v>0</v>
      </c>
      <c r="N605" t="n">
        <v>0</v>
      </c>
      <c r="O605" t="n">
        <v>0</v>
      </c>
      <c r="P605" t="n">
        <v>0</v>
      </c>
      <c r="Q605" t="n">
        <v>0</v>
      </c>
      <c r="R605" s="2" t="inlineStr"/>
    </row>
    <row r="606" ht="15" customHeight="1">
      <c r="A606" t="inlineStr">
        <is>
          <t>A 60443-2023</t>
        </is>
      </c>
      <c r="B606" s="1" t="n">
        <v>45258</v>
      </c>
      <c r="C606" s="1" t="n">
        <v>46002</v>
      </c>
      <c r="D606" t="inlineStr">
        <is>
          <t>JÄMTLANDS LÄN</t>
        </is>
      </c>
      <c r="E606" t="inlineStr">
        <is>
          <t>RAGUNDA</t>
        </is>
      </c>
      <c r="G606" t="n">
        <v>2.9</v>
      </c>
      <c r="H606" t="n">
        <v>0</v>
      </c>
      <c r="I606" t="n">
        <v>0</v>
      </c>
      <c r="J606" t="n">
        <v>0</v>
      </c>
      <c r="K606" t="n">
        <v>0</v>
      </c>
      <c r="L606" t="n">
        <v>0</v>
      </c>
      <c r="M606" t="n">
        <v>0</v>
      </c>
      <c r="N606" t="n">
        <v>0</v>
      </c>
      <c r="O606" t="n">
        <v>0</v>
      </c>
      <c r="P606" t="n">
        <v>0</v>
      </c>
      <c r="Q606" t="n">
        <v>0</v>
      </c>
      <c r="R606" s="2" t="inlineStr"/>
    </row>
    <row r="607" ht="15" customHeight="1">
      <c r="A607" t="inlineStr">
        <is>
          <t>A 32021-2025</t>
        </is>
      </c>
      <c r="B607" s="1" t="n">
        <v>45835.40668981482</v>
      </c>
      <c r="C607" s="1" t="n">
        <v>46002</v>
      </c>
      <c r="D607" t="inlineStr">
        <is>
          <t>JÄMTLANDS LÄN</t>
        </is>
      </c>
      <c r="E607" t="inlineStr">
        <is>
          <t>RAGUNDA</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31882-2025</t>
        </is>
      </c>
      <c r="B608" s="1" t="n">
        <v>45834.65662037037</v>
      </c>
      <c r="C608" s="1" t="n">
        <v>46002</v>
      </c>
      <c r="D608" t="inlineStr">
        <is>
          <t>JÄMTLANDS LÄN</t>
        </is>
      </c>
      <c r="E608" t="inlineStr">
        <is>
          <t>RAGUNDA</t>
        </is>
      </c>
      <c r="F608" t="inlineStr">
        <is>
          <t>SCA</t>
        </is>
      </c>
      <c r="G608" t="n">
        <v>5.5</v>
      </c>
      <c r="H608" t="n">
        <v>0</v>
      </c>
      <c r="I608" t="n">
        <v>0</v>
      </c>
      <c r="J608" t="n">
        <v>0</v>
      </c>
      <c r="K608" t="n">
        <v>0</v>
      </c>
      <c r="L608" t="n">
        <v>0</v>
      </c>
      <c r="M608" t="n">
        <v>0</v>
      </c>
      <c r="N608" t="n">
        <v>0</v>
      </c>
      <c r="O608" t="n">
        <v>0</v>
      </c>
      <c r="P608" t="n">
        <v>0</v>
      </c>
      <c r="Q608" t="n">
        <v>0</v>
      </c>
      <c r="R608" s="2" t="inlineStr"/>
    </row>
    <row r="609" ht="15" customHeight="1">
      <c r="A609" t="inlineStr">
        <is>
          <t>A 21726-2023</t>
        </is>
      </c>
      <c r="B609" s="1" t="n">
        <v>45065.42894675926</v>
      </c>
      <c r="C609" s="1" t="n">
        <v>46002</v>
      </c>
      <c r="D609" t="inlineStr">
        <is>
          <t>JÄMTLANDS LÄN</t>
        </is>
      </c>
      <c r="E609" t="inlineStr">
        <is>
          <t>RAGUNDA</t>
        </is>
      </c>
      <c r="G609" t="n">
        <v>0.4</v>
      </c>
      <c r="H609" t="n">
        <v>0</v>
      </c>
      <c r="I609" t="n">
        <v>0</v>
      </c>
      <c r="J609" t="n">
        <v>0</v>
      </c>
      <c r="K609" t="n">
        <v>0</v>
      </c>
      <c r="L609" t="n">
        <v>0</v>
      </c>
      <c r="M609" t="n">
        <v>0</v>
      </c>
      <c r="N609" t="n">
        <v>0</v>
      </c>
      <c r="O609" t="n">
        <v>0</v>
      </c>
      <c r="P609" t="n">
        <v>0</v>
      </c>
      <c r="Q609" t="n">
        <v>0</v>
      </c>
      <c r="R609" s="2" t="inlineStr"/>
    </row>
    <row r="610" ht="15" customHeight="1">
      <c r="A610" t="inlineStr">
        <is>
          <t>A 53765-2025</t>
        </is>
      </c>
      <c r="B610" s="1" t="n">
        <v>45960.67753472222</v>
      </c>
      <c r="C610" s="1" t="n">
        <v>46002</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53549-2025</t>
        </is>
      </c>
      <c r="B611" s="1" t="n">
        <v>45960.38576388889</v>
      </c>
      <c r="C611" s="1" t="n">
        <v>46002</v>
      </c>
      <c r="D611" t="inlineStr">
        <is>
          <t>JÄMTLANDS LÄN</t>
        </is>
      </c>
      <c r="E611" t="inlineStr">
        <is>
          <t>RAGUNDA</t>
        </is>
      </c>
      <c r="G611" t="n">
        <v>5.4</v>
      </c>
      <c r="H611" t="n">
        <v>0</v>
      </c>
      <c r="I611" t="n">
        <v>0</v>
      </c>
      <c r="J611" t="n">
        <v>0</v>
      </c>
      <c r="K611" t="n">
        <v>0</v>
      </c>
      <c r="L611" t="n">
        <v>0</v>
      </c>
      <c r="M611" t="n">
        <v>0</v>
      </c>
      <c r="N611" t="n">
        <v>0</v>
      </c>
      <c r="O611" t="n">
        <v>0</v>
      </c>
      <c r="P611" t="n">
        <v>0</v>
      </c>
      <c r="Q611" t="n">
        <v>0</v>
      </c>
      <c r="R611" s="2" t="inlineStr"/>
    </row>
    <row r="612" ht="15" customHeight="1">
      <c r="A612" t="inlineStr">
        <is>
          <t>A 53726-2025</t>
        </is>
      </c>
      <c r="B612" s="1" t="n">
        <v>45960.63597222222</v>
      </c>
      <c r="C612" s="1" t="n">
        <v>46002</v>
      </c>
      <c r="D612" t="inlineStr">
        <is>
          <t>JÄMTLANDS LÄN</t>
        </is>
      </c>
      <c r="E612" t="inlineStr">
        <is>
          <t>RAGUNDA</t>
        </is>
      </c>
      <c r="F612" t="inlineStr">
        <is>
          <t>SCA</t>
        </is>
      </c>
      <c r="G612" t="n">
        <v>10.9</v>
      </c>
      <c r="H612" t="n">
        <v>0</v>
      </c>
      <c r="I612" t="n">
        <v>0</v>
      </c>
      <c r="J612" t="n">
        <v>0</v>
      </c>
      <c r="K612" t="n">
        <v>0</v>
      </c>
      <c r="L612" t="n">
        <v>0</v>
      </c>
      <c r="M612" t="n">
        <v>0</v>
      </c>
      <c r="N612" t="n">
        <v>0</v>
      </c>
      <c r="O612" t="n">
        <v>0</v>
      </c>
      <c r="P612" t="n">
        <v>0</v>
      </c>
      <c r="Q612" t="n">
        <v>0</v>
      </c>
      <c r="R612" s="2" t="inlineStr"/>
    </row>
    <row r="613" ht="15" customHeight="1">
      <c r="A613" t="inlineStr">
        <is>
          <t>A 53948-2025</t>
        </is>
      </c>
      <c r="B613" s="1" t="n">
        <v>45961.50033564815</v>
      </c>
      <c r="C613" s="1" t="n">
        <v>46002</v>
      </c>
      <c r="D613" t="inlineStr">
        <is>
          <t>JÄMTLANDS LÄN</t>
        </is>
      </c>
      <c r="E613" t="inlineStr">
        <is>
          <t>RAGUNDA</t>
        </is>
      </c>
      <c r="G613" t="n">
        <v>7.9</v>
      </c>
      <c r="H613" t="n">
        <v>0</v>
      </c>
      <c r="I613" t="n">
        <v>0</v>
      </c>
      <c r="J613" t="n">
        <v>0</v>
      </c>
      <c r="K613" t="n">
        <v>0</v>
      </c>
      <c r="L613" t="n">
        <v>0</v>
      </c>
      <c r="M613" t="n">
        <v>0</v>
      </c>
      <c r="N613" t="n">
        <v>0</v>
      </c>
      <c r="O613" t="n">
        <v>0</v>
      </c>
      <c r="P613" t="n">
        <v>0</v>
      </c>
      <c r="Q613" t="n">
        <v>0</v>
      </c>
      <c r="R613" s="2" t="inlineStr"/>
    </row>
    <row r="614" ht="15" customHeight="1">
      <c r="A614" t="inlineStr">
        <is>
          <t>A 45952-2023</t>
        </is>
      </c>
      <c r="B614" s="1" t="n">
        <v>45195</v>
      </c>
      <c r="C614" s="1" t="n">
        <v>46002</v>
      </c>
      <c r="D614" t="inlineStr">
        <is>
          <t>JÄMTLANDS LÄN</t>
        </is>
      </c>
      <c r="E614" t="inlineStr">
        <is>
          <t>RAGUNDA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45954-2023</t>
        </is>
      </c>
      <c r="B615" s="1" t="n">
        <v>45195.94679398148</v>
      </c>
      <c r="C615" s="1" t="n">
        <v>46002</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45955-2023</t>
        </is>
      </c>
      <c r="B616" s="1" t="n">
        <v>45195.94685185186</v>
      </c>
      <c r="C616" s="1" t="n">
        <v>46002</v>
      </c>
      <c r="D616" t="inlineStr">
        <is>
          <t>JÄMTLANDS LÄN</t>
        </is>
      </c>
      <c r="E616" t="inlineStr">
        <is>
          <t>RAGUNDA</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32796-2025</t>
        </is>
      </c>
      <c r="B617" s="1" t="n">
        <v>45839.49082175926</v>
      </c>
      <c r="C617" s="1" t="n">
        <v>46002</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32655-2025</t>
        </is>
      </c>
      <c r="B618" s="1" t="n">
        <v>45838.67800925926</v>
      </c>
      <c r="C618" s="1" t="n">
        <v>46002</v>
      </c>
      <c r="D618" t="inlineStr">
        <is>
          <t>JÄMTLANDS LÄN</t>
        </is>
      </c>
      <c r="E618" t="inlineStr">
        <is>
          <t>RAGUNDA</t>
        </is>
      </c>
      <c r="G618" t="n">
        <v>2.8</v>
      </c>
      <c r="H618" t="n">
        <v>0</v>
      </c>
      <c r="I618" t="n">
        <v>0</v>
      </c>
      <c r="J618" t="n">
        <v>0</v>
      </c>
      <c r="K618" t="n">
        <v>0</v>
      </c>
      <c r="L618" t="n">
        <v>0</v>
      </c>
      <c r="M618" t="n">
        <v>0</v>
      </c>
      <c r="N618" t="n">
        <v>0</v>
      </c>
      <c r="O618" t="n">
        <v>0</v>
      </c>
      <c r="P618" t="n">
        <v>0</v>
      </c>
      <c r="Q618" t="n">
        <v>0</v>
      </c>
      <c r="R618" s="2" t="inlineStr"/>
    </row>
    <row r="619" ht="15" customHeight="1">
      <c r="A619" t="inlineStr">
        <is>
          <t>A 32751-2025</t>
        </is>
      </c>
      <c r="B619" s="1" t="n">
        <v>45839.42864583333</v>
      </c>
      <c r="C619" s="1" t="n">
        <v>46002</v>
      </c>
      <c r="D619" t="inlineStr">
        <is>
          <t>JÄMTLANDS LÄN</t>
        </is>
      </c>
      <c r="E619" t="inlineStr">
        <is>
          <t>RAGUNDA</t>
        </is>
      </c>
      <c r="F619" t="inlineStr">
        <is>
          <t>SCA</t>
        </is>
      </c>
      <c r="G619" t="n">
        <v>10</v>
      </c>
      <c r="H619" t="n">
        <v>0</v>
      </c>
      <c r="I619" t="n">
        <v>0</v>
      </c>
      <c r="J619" t="n">
        <v>0</v>
      </c>
      <c r="K619" t="n">
        <v>0</v>
      </c>
      <c r="L619" t="n">
        <v>0</v>
      </c>
      <c r="M619" t="n">
        <v>0</v>
      </c>
      <c r="N619" t="n">
        <v>0</v>
      </c>
      <c r="O619" t="n">
        <v>0</v>
      </c>
      <c r="P619" t="n">
        <v>0</v>
      </c>
      <c r="Q619" t="n">
        <v>0</v>
      </c>
      <c r="R619" s="2" t="inlineStr"/>
    </row>
    <row r="620" ht="15" customHeight="1">
      <c r="A620" t="inlineStr">
        <is>
          <t>A 53986-2025</t>
        </is>
      </c>
      <c r="B620" s="1" t="n">
        <v>45961.57381944444</v>
      </c>
      <c r="C620" s="1" t="n">
        <v>46002</v>
      </c>
      <c r="D620" t="inlineStr">
        <is>
          <t>JÄMTLANDS LÄN</t>
        </is>
      </c>
      <c r="E620" t="inlineStr">
        <is>
          <t>RAGUNDA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45279-2025</t>
        </is>
      </c>
      <c r="B621" s="1" t="n">
        <v>45919.71912037037</v>
      </c>
      <c r="C621" s="1" t="n">
        <v>46002</v>
      </c>
      <c r="D621" t="inlineStr">
        <is>
          <t>JÄMTLANDS LÄN</t>
        </is>
      </c>
      <c r="E621" t="inlineStr">
        <is>
          <t>RAGUNDA</t>
        </is>
      </c>
      <c r="F621" t="inlineStr">
        <is>
          <t>SCA</t>
        </is>
      </c>
      <c r="G621" t="n">
        <v>11.5</v>
      </c>
      <c r="H621" t="n">
        <v>0</v>
      </c>
      <c r="I621" t="n">
        <v>0</v>
      </c>
      <c r="J621" t="n">
        <v>0</v>
      </c>
      <c r="K621" t="n">
        <v>0</v>
      </c>
      <c r="L621" t="n">
        <v>0</v>
      </c>
      <c r="M621" t="n">
        <v>0</v>
      </c>
      <c r="N621" t="n">
        <v>0</v>
      </c>
      <c r="O621" t="n">
        <v>0</v>
      </c>
      <c r="P621" t="n">
        <v>0</v>
      </c>
      <c r="Q621" t="n">
        <v>0</v>
      </c>
      <c r="R621" s="2" t="inlineStr"/>
    </row>
    <row r="622" ht="15" customHeight="1">
      <c r="A622" t="inlineStr">
        <is>
          <t>A 32777-2025</t>
        </is>
      </c>
      <c r="B622" s="1" t="n">
        <v>45839.46915509259</v>
      </c>
      <c r="C622" s="1" t="n">
        <v>46002</v>
      </c>
      <c r="D622" t="inlineStr">
        <is>
          <t>JÄMTLANDS LÄN</t>
        </is>
      </c>
      <c r="E622" t="inlineStr">
        <is>
          <t>RAGUNDA</t>
        </is>
      </c>
      <c r="F622" t="inlineStr">
        <is>
          <t>SCA</t>
        </is>
      </c>
      <c r="G622" t="n">
        <v>21.7</v>
      </c>
      <c r="H622" t="n">
        <v>0</v>
      </c>
      <c r="I622" t="n">
        <v>0</v>
      </c>
      <c r="J622" t="n">
        <v>0</v>
      </c>
      <c r="K622" t="n">
        <v>0</v>
      </c>
      <c r="L622" t="n">
        <v>0</v>
      </c>
      <c r="M622" t="n">
        <v>0</v>
      </c>
      <c r="N622" t="n">
        <v>0</v>
      </c>
      <c r="O622" t="n">
        <v>0</v>
      </c>
      <c r="P622" t="n">
        <v>0</v>
      </c>
      <c r="Q622" t="n">
        <v>0</v>
      </c>
      <c r="R622" s="2" t="inlineStr"/>
    </row>
    <row r="623" ht="15" customHeight="1">
      <c r="A623" t="inlineStr">
        <is>
          <t>A 60456-2023</t>
        </is>
      </c>
      <c r="B623" s="1" t="n">
        <v>45258</v>
      </c>
      <c r="C623" s="1" t="n">
        <v>46002</v>
      </c>
      <c r="D623" t="inlineStr">
        <is>
          <t>JÄMTLANDS LÄN</t>
        </is>
      </c>
      <c r="E623" t="inlineStr">
        <is>
          <t>RAGUNDA</t>
        </is>
      </c>
      <c r="G623" t="n">
        <v>1.8</v>
      </c>
      <c r="H623" t="n">
        <v>0</v>
      </c>
      <c r="I623" t="n">
        <v>0</v>
      </c>
      <c r="J623" t="n">
        <v>0</v>
      </c>
      <c r="K623" t="n">
        <v>0</v>
      </c>
      <c r="L623" t="n">
        <v>0</v>
      </c>
      <c r="M623" t="n">
        <v>0</v>
      </c>
      <c r="N623" t="n">
        <v>0</v>
      </c>
      <c r="O623" t="n">
        <v>0</v>
      </c>
      <c r="P623" t="n">
        <v>0</v>
      </c>
      <c r="Q623" t="n">
        <v>0</v>
      </c>
      <c r="R623" s="2" t="inlineStr"/>
    </row>
    <row r="624" ht="15" customHeight="1">
      <c r="A624" t="inlineStr">
        <is>
          <t>A 16334-2025</t>
        </is>
      </c>
      <c r="B624" s="1" t="n">
        <v>45751.36490740741</v>
      </c>
      <c r="C624" s="1" t="n">
        <v>46002</v>
      </c>
      <c r="D624" t="inlineStr">
        <is>
          <t>JÄMTLANDS LÄN</t>
        </is>
      </c>
      <c r="E624" t="inlineStr">
        <is>
          <t>RAGUNDA</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32430-2025</t>
        </is>
      </c>
      <c r="B625" s="1" t="n">
        <v>45838.36532407408</v>
      </c>
      <c r="C625" s="1" t="n">
        <v>46002</v>
      </c>
      <c r="D625" t="inlineStr">
        <is>
          <t>JÄMTLANDS LÄN</t>
        </is>
      </c>
      <c r="E625" t="inlineStr">
        <is>
          <t>RAGUNDA</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53973-2025</t>
        </is>
      </c>
      <c r="B626" s="1" t="n">
        <v>45961.55246527777</v>
      </c>
      <c r="C626" s="1" t="n">
        <v>46002</v>
      </c>
      <c r="D626" t="inlineStr">
        <is>
          <t>JÄMTLANDS LÄN</t>
        </is>
      </c>
      <c r="E626" t="inlineStr">
        <is>
          <t>RAGUNDA</t>
        </is>
      </c>
      <c r="G626" t="n">
        <v>2.4</v>
      </c>
      <c r="H626" t="n">
        <v>0</v>
      </c>
      <c r="I626" t="n">
        <v>0</v>
      </c>
      <c r="J626" t="n">
        <v>0</v>
      </c>
      <c r="K626" t="n">
        <v>0</v>
      </c>
      <c r="L626" t="n">
        <v>0</v>
      </c>
      <c r="M626" t="n">
        <v>0</v>
      </c>
      <c r="N626" t="n">
        <v>0</v>
      </c>
      <c r="O626" t="n">
        <v>0</v>
      </c>
      <c r="P626" t="n">
        <v>0</v>
      </c>
      <c r="Q626" t="n">
        <v>0</v>
      </c>
      <c r="R626" s="2" t="inlineStr"/>
    </row>
    <row r="627" ht="15" customHeight="1">
      <c r="A627" t="inlineStr">
        <is>
          <t>A 58438-2022</t>
        </is>
      </c>
      <c r="B627" s="1" t="n">
        <v>44901</v>
      </c>
      <c r="C627" s="1" t="n">
        <v>46002</v>
      </c>
      <c r="D627" t="inlineStr">
        <is>
          <t>JÄMTLANDS LÄN</t>
        </is>
      </c>
      <c r="E627" t="inlineStr">
        <is>
          <t>RAGUNDA</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58442-2022</t>
        </is>
      </c>
      <c r="B628" s="1" t="n">
        <v>44901</v>
      </c>
      <c r="C628" s="1" t="n">
        <v>46002</v>
      </c>
      <c r="D628" t="inlineStr">
        <is>
          <t>JÄMTLANDS LÄN</t>
        </is>
      </c>
      <c r="E628" t="inlineStr">
        <is>
          <t>RAGUNDA</t>
        </is>
      </c>
      <c r="F628" t="inlineStr">
        <is>
          <t>SCA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5806-2025</t>
        </is>
      </c>
      <c r="B629" s="1" t="n">
        <v>45694.69826388889</v>
      </c>
      <c r="C629" s="1" t="n">
        <v>46002</v>
      </c>
      <c r="D629" t="inlineStr">
        <is>
          <t>JÄMTLANDS LÄN</t>
        </is>
      </c>
      <c r="E629" t="inlineStr">
        <is>
          <t>RAGUNDA</t>
        </is>
      </c>
      <c r="F629" t="inlineStr">
        <is>
          <t>SCA</t>
        </is>
      </c>
      <c r="G629" t="n">
        <v>5.8</v>
      </c>
      <c r="H629" t="n">
        <v>0</v>
      </c>
      <c r="I629" t="n">
        <v>0</v>
      </c>
      <c r="J629" t="n">
        <v>0</v>
      </c>
      <c r="K629" t="n">
        <v>0</v>
      </c>
      <c r="L629" t="n">
        <v>0</v>
      </c>
      <c r="M629" t="n">
        <v>0</v>
      </c>
      <c r="N629" t="n">
        <v>0</v>
      </c>
      <c r="O629" t="n">
        <v>0</v>
      </c>
      <c r="P629" t="n">
        <v>0</v>
      </c>
      <c r="Q629" t="n">
        <v>0</v>
      </c>
      <c r="R629" s="2" t="inlineStr"/>
    </row>
    <row r="630" ht="15" customHeight="1">
      <c r="A630" t="inlineStr">
        <is>
          <t>A 32747-2025</t>
        </is>
      </c>
      <c r="B630" s="1" t="n">
        <v>45839.42810185185</v>
      </c>
      <c r="C630" s="1" t="n">
        <v>46002</v>
      </c>
      <c r="D630" t="inlineStr">
        <is>
          <t>JÄMTLANDS LÄN</t>
        </is>
      </c>
      <c r="E630" t="inlineStr">
        <is>
          <t>RAGUNDA</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32757-2025</t>
        </is>
      </c>
      <c r="B631" s="1" t="n">
        <v>45838</v>
      </c>
      <c r="C631" s="1" t="n">
        <v>46002</v>
      </c>
      <c r="D631" t="inlineStr">
        <is>
          <t>JÄMTLANDS LÄN</t>
        </is>
      </c>
      <c r="E631" t="inlineStr">
        <is>
          <t>RAGUNDA</t>
        </is>
      </c>
      <c r="G631" t="n">
        <v>4.5</v>
      </c>
      <c r="H631" t="n">
        <v>0</v>
      </c>
      <c r="I631" t="n">
        <v>0</v>
      </c>
      <c r="J631" t="n">
        <v>0</v>
      </c>
      <c r="K631" t="n">
        <v>0</v>
      </c>
      <c r="L631" t="n">
        <v>0</v>
      </c>
      <c r="M631" t="n">
        <v>0</v>
      </c>
      <c r="N631" t="n">
        <v>0</v>
      </c>
      <c r="O631" t="n">
        <v>0</v>
      </c>
      <c r="P631" t="n">
        <v>0</v>
      </c>
      <c r="Q631" t="n">
        <v>0</v>
      </c>
      <c r="R631" s="2" t="inlineStr"/>
    </row>
    <row r="632" ht="15" customHeight="1">
      <c r="A632" t="inlineStr">
        <is>
          <t>A 41179-2022</t>
        </is>
      </c>
      <c r="B632" s="1" t="n">
        <v>44825</v>
      </c>
      <c r="C632" s="1" t="n">
        <v>46002</v>
      </c>
      <c r="D632" t="inlineStr">
        <is>
          <t>JÄMTLANDS LÄN</t>
        </is>
      </c>
      <c r="E632" t="inlineStr">
        <is>
          <t>RAGUNDA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32846-2025</t>
        </is>
      </c>
      <c r="B633" s="1" t="n">
        <v>45839.57331018519</v>
      </c>
      <c r="C633" s="1" t="n">
        <v>46002</v>
      </c>
      <c r="D633" t="inlineStr">
        <is>
          <t>JÄMTLANDS LÄN</t>
        </is>
      </c>
      <c r="E633" t="inlineStr">
        <is>
          <t>RAGUNDA</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32748-2025</t>
        </is>
      </c>
      <c r="B634" s="1" t="n">
        <v>45839.42822916667</v>
      </c>
      <c r="C634" s="1" t="n">
        <v>46002</v>
      </c>
      <c r="D634" t="inlineStr">
        <is>
          <t>JÄMTLANDS LÄN</t>
        </is>
      </c>
      <c r="E634" t="inlineStr">
        <is>
          <t>RAGUNDA</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32762-2025</t>
        </is>
      </c>
      <c r="B635" s="1" t="n">
        <v>45838</v>
      </c>
      <c r="C635" s="1" t="n">
        <v>46002</v>
      </c>
      <c r="D635" t="inlineStr">
        <is>
          <t>JÄMTLANDS LÄN</t>
        </is>
      </c>
      <c r="E635" t="inlineStr">
        <is>
          <t>RAGUNDA</t>
        </is>
      </c>
      <c r="G635" t="n">
        <v>0.6</v>
      </c>
      <c r="H635" t="n">
        <v>0</v>
      </c>
      <c r="I635" t="n">
        <v>0</v>
      </c>
      <c r="J635" t="n">
        <v>0</v>
      </c>
      <c r="K635" t="n">
        <v>0</v>
      </c>
      <c r="L635" t="n">
        <v>0</v>
      </c>
      <c r="M635" t="n">
        <v>0</v>
      </c>
      <c r="N635" t="n">
        <v>0</v>
      </c>
      <c r="O635" t="n">
        <v>0</v>
      </c>
      <c r="P635" t="n">
        <v>0</v>
      </c>
      <c r="Q635" t="n">
        <v>0</v>
      </c>
      <c r="R635" s="2" t="inlineStr"/>
    </row>
    <row r="636" ht="15" customHeight="1">
      <c r="A636" t="inlineStr">
        <is>
          <t>A 32660-2025</t>
        </is>
      </c>
      <c r="B636" s="1" t="n">
        <v>45838.67887731481</v>
      </c>
      <c r="C636" s="1" t="n">
        <v>46002</v>
      </c>
      <c r="D636" t="inlineStr">
        <is>
          <t>JÄMTLANDS LÄN</t>
        </is>
      </c>
      <c r="E636" t="inlineStr">
        <is>
          <t>RAGUNDA</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44954-2025</t>
        </is>
      </c>
      <c r="B637" s="1" t="n">
        <v>45918.61203703703</v>
      </c>
      <c r="C637" s="1" t="n">
        <v>46002</v>
      </c>
      <c r="D637" t="inlineStr">
        <is>
          <t>JÄMTLANDS LÄN</t>
        </is>
      </c>
      <c r="E637" t="inlineStr">
        <is>
          <t>RAGUNDA</t>
        </is>
      </c>
      <c r="G637" t="n">
        <v>3</v>
      </c>
      <c r="H637" t="n">
        <v>0</v>
      </c>
      <c r="I637" t="n">
        <v>0</v>
      </c>
      <c r="J637" t="n">
        <v>0</v>
      </c>
      <c r="K637" t="n">
        <v>0</v>
      </c>
      <c r="L637" t="n">
        <v>0</v>
      </c>
      <c r="M637" t="n">
        <v>0</v>
      </c>
      <c r="N637" t="n">
        <v>0</v>
      </c>
      <c r="O637" t="n">
        <v>0</v>
      </c>
      <c r="P637" t="n">
        <v>0</v>
      </c>
      <c r="Q637" t="n">
        <v>0</v>
      </c>
      <c r="R637" s="2" t="inlineStr"/>
    </row>
    <row r="638" ht="15" customHeight="1">
      <c r="A638" t="inlineStr">
        <is>
          <t>A 32527-2025</t>
        </is>
      </c>
      <c r="B638" s="1" t="n">
        <v>45838.48996527777</v>
      </c>
      <c r="C638" s="1" t="n">
        <v>46002</v>
      </c>
      <c r="D638" t="inlineStr">
        <is>
          <t>JÄMTLANDS LÄN</t>
        </is>
      </c>
      <c r="E638" t="inlineStr">
        <is>
          <t>RAGUNDA</t>
        </is>
      </c>
      <c r="G638" t="n">
        <v>5</v>
      </c>
      <c r="H638" t="n">
        <v>0</v>
      </c>
      <c r="I638" t="n">
        <v>0</v>
      </c>
      <c r="J638" t="n">
        <v>0</v>
      </c>
      <c r="K638" t="n">
        <v>0</v>
      </c>
      <c r="L638" t="n">
        <v>0</v>
      </c>
      <c r="M638" t="n">
        <v>0</v>
      </c>
      <c r="N638" t="n">
        <v>0</v>
      </c>
      <c r="O638" t="n">
        <v>0</v>
      </c>
      <c r="P638" t="n">
        <v>0</v>
      </c>
      <c r="Q638" t="n">
        <v>0</v>
      </c>
      <c r="R638" s="2" t="inlineStr"/>
    </row>
    <row r="639" ht="15" customHeight="1">
      <c r="A639" t="inlineStr">
        <is>
          <t>A 53748-2025</t>
        </is>
      </c>
      <c r="B639" s="1" t="n">
        <v>45960.65673611111</v>
      </c>
      <c r="C639" s="1" t="n">
        <v>46002</v>
      </c>
      <c r="D639" t="inlineStr">
        <is>
          <t>JÄMTLANDS LÄN</t>
        </is>
      </c>
      <c r="E639" t="inlineStr">
        <is>
          <t>RAGUNDA</t>
        </is>
      </c>
      <c r="F639" t="inlineStr">
        <is>
          <t>SCA</t>
        </is>
      </c>
      <c r="G639" t="n">
        <v>14.9</v>
      </c>
      <c r="H639" t="n">
        <v>0</v>
      </c>
      <c r="I639" t="n">
        <v>0</v>
      </c>
      <c r="J639" t="n">
        <v>0</v>
      </c>
      <c r="K639" t="n">
        <v>0</v>
      </c>
      <c r="L639" t="n">
        <v>0</v>
      </c>
      <c r="M639" t="n">
        <v>0</v>
      </c>
      <c r="N639" t="n">
        <v>0</v>
      </c>
      <c r="O639" t="n">
        <v>0</v>
      </c>
      <c r="P639" t="n">
        <v>0</v>
      </c>
      <c r="Q639" t="n">
        <v>0</v>
      </c>
      <c r="R639" s="2" t="inlineStr"/>
    </row>
    <row r="640" ht="15" customHeight="1">
      <c r="A640" t="inlineStr">
        <is>
          <t>A 53727-2025</t>
        </is>
      </c>
      <c r="B640" s="1" t="n">
        <v>45960.63630787037</v>
      </c>
      <c r="C640" s="1" t="n">
        <v>46002</v>
      </c>
      <c r="D640" t="inlineStr">
        <is>
          <t>JÄMTLANDS LÄN</t>
        </is>
      </c>
      <c r="E640" t="inlineStr">
        <is>
          <t>RAGUNDA</t>
        </is>
      </c>
      <c r="F640" t="inlineStr">
        <is>
          <t>SCA</t>
        </is>
      </c>
      <c r="G640" t="n">
        <v>6.4</v>
      </c>
      <c r="H640" t="n">
        <v>0</v>
      </c>
      <c r="I640" t="n">
        <v>0</v>
      </c>
      <c r="J640" t="n">
        <v>0</v>
      </c>
      <c r="K640" t="n">
        <v>0</v>
      </c>
      <c r="L640" t="n">
        <v>0</v>
      </c>
      <c r="M640" t="n">
        <v>0</v>
      </c>
      <c r="N640" t="n">
        <v>0</v>
      </c>
      <c r="O640" t="n">
        <v>0</v>
      </c>
      <c r="P640" t="n">
        <v>0</v>
      </c>
      <c r="Q640" t="n">
        <v>0</v>
      </c>
      <c r="R640" s="2" t="inlineStr"/>
    </row>
    <row r="641" ht="15" customHeight="1">
      <c r="A641" t="inlineStr">
        <is>
          <t>A 53951-2025</t>
        </is>
      </c>
      <c r="B641" s="1" t="n">
        <v>45961.50200231482</v>
      </c>
      <c r="C641" s="1" t="n">
        <v>46002</v>
      </c>
      <c r="D641" t="inlineStr">
        <is>
          <t>JÄMTLANDS LÄN</t>
        </is>
      </c>
      <c r="E641" t="inlineStr">
        <is>
          <t>RAGUNDA</t>
        </is>
      </c>
      <c r="G641" t="n">
        <v>1.8</v>
      </c>
      <c r="H641" t="n">
        <v>0</v>
      </c>
      <c r="I641" t="n">
        <v>0</v>
      </c>
      <c r="J641" t="n">
        <v>0</v>
      </c>
      <c r="K641" t="n">
        <v>0</v>
      </c>
      <c r="L641" t="n">
        <v>0</v>
      </c>
      <c r="M641" t="n">
        <v>0</v>
      </c>
      <c r="N641" t="n">
        <v>0</v>
      </c>
      <c r="O641" t="n">
        <v>0</v>
      </c>
      <c r="P641" t="n">
        <v>0</v>
      </c>
      <c r="Q641" t="n">
        <v>0</v>
      </c>
      <c r="R641" s="2" t="inlineStr"/>
    </row>
    <row r="642" ht="15" customHeight="1">
      <c r="A642" t="inlineStr">
        <is>
          <t>A 53975-2025</t>
        </is>
      </c>
      <c r="B642" s="1" t="n">
        <v>45961.55277777778</v>
      </c>
      <c r="C642" s="1" t="n">
        <v>46002</v>
      </c>
      <c r="D642" t="inlineStr">
        <is>
          <t>JÄMTLANDS LÄN</t>
        </is>
      </c>
      <c r="E642" t="inlineStr">
        <is>
          <t>RAGUNDA</t>
        </is>
      </c>
      <c r="F642" t="inlineStr">
        <is>
          <t>SCA</t>
        </is>
      </c>
      <c r="G642" t="n">
        <v>21.9</v>
      </c>
      <c r="H642" t="n">
        <v>0</v>
      </c>
      <c r="I642" t="n">
        <v>0</v>
      </c>
      <c r="J642" t="n">
        <v>0</v>
      </c>
      <c r="K642" t="n">
        <v>0</v>
      </c>
      <c r="L642" t="n">
        <v>0</v>
      </c>
      <c r="M642" t="n">
        <v>0</v>
      </c>
      <c r="N642" t="n">
        <v>0</v>
      </c>
      <c r="O642" t="n">
        <v>0</v>
      </c>
      <c r="P642" t="n">
        <v>0</v>
      </c>
      <c r="Q642" t="n">
        <v>0</v>
      </c>
      <c r="R642" s="2" t="inlineStr"/>
    </row>
    <row r="643" ht="15" customHeight="1">
      <c r="A643" t="inlineStr">
        <is>
          <t>A 61598-2024</t>
        </is>
      </c>
      <c r="B643" s="1" t="n">
        <v>45646.63605324074</v>
      </c>
      <c r="C643" s="1" t="n">
        <v>46002</v>
      </c>
      <c r="D643" t="inlineStr">
        <is>
          <t>JÄMTLANDS LÄN</t>
        </is>
      </c>
      <c r="E643" t="inlineStr">
        <is>
          <t>RAGUNDA</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17667-2025</t>
        </is>
      </c>
      <c r="B644" s="1" t="n">
        <v>45758.36487268518</v>
      </c>
      <c r="C644" s="1" t="n">
        <v>46002</v>
      </c>
      <c r="D644" t="inlineStr">
        <is>
          <t>JÄMTLANDS LÄN</t>
        </is>
      </c>
      <c r="E644" t="inlineStr">
        <is>
          <t>RAGUNDA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54396-2025</t>
        </is>
      </c>
      <c r="B645" s="1" t="n">
        <v>45965.44849537037</v>
      </c>
      <c r="C645" s="1" t="n">
        <v>46002</v>
      </c>
      <c r="D645" t="inlineStr">
        <is>
          <t>JÄMTLANDS LÄN</t>
        </is>
      </c>
      <c r="E645" t="inlineStr">
        <is>
          <t>RAGUNDA</t>
        </is>
      </c>
      <c r="F645" t="inlineStr">
        <is>
          <t>SCA</t>
        </is>
      </c>
      <c r="G645" t="n">
        <v>35.2</v>
      </c>
      <c r="H645" t="n">
        <v>0</v>
      </c>
      <c r="I645" t="n">
        <v>0</v>
      </c>
      <c r="J645" t="n">
        <v>0</v>
      </c>
      <c r="K645" t="n">
        <v>0</v>
      </c>
      <c r="L645" t="n">
        <v>0</v>
      </c>
      <c r="M645" t="n">
        <v>0</v>
      </c>
      <c r="N645" t="n">
        <v>0</v>
      </c>
      <c r="O645" t="n">
        <v>0</v>
      </c>
      <c r="P645" t="n">
        <v>0</v>
      </c>
      <c r="Q645" t="n">
        <v>0</v>
      </c>
      <c r="R645" s="2" t="inlineStr"/>
    </row>
    <row r="646" ht="15" customHeight="1">
      <c r="A646" t="inlineStr">
        <is>
          <t>A 50157-2023</t>
        </is>
      </c>
      <c r="B646" s="1" t="n">
        <v>45208</v>
      </c>
      <c r="C646" s="1" t="n">
        <v>46002</v>
      </c>
      <c r="D646" t="inlineStr">
        <is>
          <t>JÄMTLANDS LÄN</t>
        </is>
      </c>
      <c r="E646" t="inlineStr">
        <is>
          <t>RAGUNDA</t>
        </is>
      </c>
      <c r="G646" t="n">
        <v>0.9</v>
      </c>
      <c r="H646" t="n">
        <v>0</v>
      </c>
      <c r="I646" t="n">
        <v>0</v>
      </c>
      <c r="J646" t="n">
        <v>0</v>
      </c>
      <c r="K646" t="n">
        <v>0</v>
      </c>
      <c r="L646" t="n">
        <v>0</v>
      </c>
      <c r="M646" t="n">
        <v>0</v>
      </c>
      <c r="N646" t="n">
        <v>0</v>
      </c>
      <c r="O646" t="n">
        <v>0</v>
      </c>
      <c r="P646" t="n">
        <v>0</v>
      </c>
      <c r="Q646" t="n">
        <v>0</v>
      </c>
      <c r="R646" s="2" t="inlineStr"/>
    </row>
    <row r="647" ht="15" customHeight="1">
      <c r="A647" t="inlineStr">
        <is>
          <t>A 12405-2025</t>
        </is>
      </c>
      <c r="B647" s="1" t="n">
        <v>45730.42738425926</v>
      </c>
      <c r="C647" s="1" t="n">
        <v>46002</v>
      </c>
      <c r="D647" t="inlineStr">
        <is>
          <t>JÄMTLANDS LÄN</t>
        </is>
      </c>
      <c r="E647" t="inlineStr">
        <is>
          <t>RAGUNDA</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33140-2025</t>
        </is>
      </c>
      <c r="B648" s="1" t="n">
        <v>45840.52225694444</v>
      </c>
      <c r="C648" s="1" t="n">
        <v>46002</v>
      </c>
      <c r="D648" t="inlineStr">
        <is>
          <t>JÄMTLANDS LÄN</t>
        </is>
      </c>
      <c r="E648" t="inlineStr">
        <is>
          <t>RAGUNDA</t>
        </is>
      </c>
      <c r="G648" t="n">
        <v>2</v>
      </c>
      <c r="H648" t="n">
        <v>0</v>
      </c>
      <c r="I648" t="n">
        <v>0</v>
      </c>
      <c r="J648" t="n">
        <v>0</v>
      </c>
      <c r="K648" t="n">
        <v>0</v>
      </c>
      <c r="L648" t="n">
        <v>0</v>
      </c>
      <c r="M648" t="n">
        <v>0</v>
      </c>
      <c r="N648" t="n">
        <v>0</v>
      </c>
      <c r="O648" t="n">
        <v>0</v>
      </c>
      <c r="P648" t="n">
        <v>0</v>
      </c>
      <c r="Q648" t="n">
        <v>0</v>
      </c>
      <c r="R648" s="2" t="inlineStr"/>
    </row>
    <row r="649" ht="15" customHeight="1">
      <c r="A649" t="inlineStr">
        <is>
          <t>A 33556-2025</t>
        </is>
      </c>
      <c r="B649" s="1" t="n">
        <v>45841.57427083333</v>
      </c>
      <c r="C649" s="1" t="n">
        <v>46002</v>
      </c>
      <c r="D649" t="inlineStr">
        <is>
          <t>JÄMTLANDS LÄN</t>
        </is>
      </c>
      <c r="E649" t="inlineStr">
        <is>
          <t>RAGUNDA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36986-2023</t>
        </is>
      </c>
      <c r="B650" s="1" t="n">
        <v>45154.95525462963</v>
      </c>
      <c r="C650" s="1" t="n">
        <v>46002</v>
      </c>
      <c r="D650" t="inlineStr">
        <is>
          <t>JÄMTLANDS LÄN</t>
        </is>
      </c>
      <c r="E650" t="inlineStr">
        <is>
          <t>RAGUNDA</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54195-2025</t>
        </is>
      </c>
      <c r="B651" s="1" t="n">
        <v>45964.57413194444</v>
      </c>
      <c r="C651" s="1" t="n">
        <v>46002</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2224-2024</t>
        </is>
      </c>
      <c r="B652" s="1" t="n">
        <v>45309.92524305556</v>
      </c>
      <c r="C652" s="1" t="n">
        <v>46002</v>
      </c>
      <c r="D652" t="inlineStr">
        <is>
          <t>JÄMTLANDS LÄN</t>
        </is>
      </c>
      <c r="E652" t="inlineStr">
        <is>
          <t>RAGUNDA</t>
        </is>
      </c>
      <c r="G652" t="n">
        <v>0.9</v>
      </c>
      <c r="H652" t="n">
        <v>0</v>
      </c>
      <c r="I652" t="n">
        <v>0</v>
      </c>
      <c r="J652" t="n">
        <v>0</v>
      </c>
      <c r="K652" t="n">
        <v>0</v>
      </c>
      <c r="L652" t="n">
        <v>0</v>
      </c>
      <c r="M652" t="n">
        <v>0</v>
      </c>
      <c r="N652" t="n">
        <v>0</v>
      </c>
      <c r="O652" t="n">
        <v>0</v>
      </c>
      <c r="P652" t="n">
        <v>0</v>
      </c>
      <c r="Q652" t="n">
        <v>0</v>
      </c>
      <c r="R652" s="2" t="inlineStr"/>
    </row>
    <row r="653" ht="15" customHeight="1">
      <c r="A653" t="inlineStr">
        <is>
          <t>A 45894-2025</t>
        </is>
      </c>
      <c r="B653" s="1" t="n">
        <v>45923.67765046296</v>
      </c>
      <c r="C653" s="1" t="n">
        <v>46002</v>
      </c>
      <c r="D653" t="inlineStr">
        <is>
          <t>JÄMTLANDS LÄN</t>
        </is>
      </c>
      <c r="E653" t="inlineStr">
        <is>
          <t>RAGUNDA</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1523-2024</t>
        </is>
      </c>
      <c r="B654" s="1" t="n">
        <v>45306</v>
      </c>
      <c r="C654" s="1" t="n">
        <v>46002</v>
      </c>
      <c r="D654" t="inlineStr">
        <is>
          <t>JÄMTLANDS LÄN</t>
        </is>
      </c>
      <c r="E654" t="inlineStr">
        <is>
          <t>RAGUNDA</t>
        </is>
      </c>
      <c r="G654" t="n">
        <v>4.1</v>
      </c>
      <c r="H654" t="n">
        <v>0</v>
      </c>
      <c r="I654" t="n">
        <v>0</v>
      </c>
      <c r="J654" t="n">
        <v>0</v>
      </c>
      <c r="K654" t="n">
        <v>0</v>
      </c>
      <c r="L654" t="n">
        <v>0</v>
      </c>
      <c r="M654" t="n">
        <v>0</v>
      </c>
      <c r="N654" t="n">
        <v>0</v>
      </c>
      <c r="O654" t="n">
        <v>0</v>
      </c>
      <c r="P654" t="n">
        <v>0</v>
      </c>
      <c r="Q654" t="n">
        <v>0</v>
      </c>
      <c r="R654" s="2" t="inlineStr"/>
    </row>
    <row r="655" ht="15" customHeight="1">
      <c r="A655" t="inlineStr">
        <is>
          <t>A 46192-2025</t>
        </is>
      </c>
      <c r="B655" s="1" t="n">
        <v>45924.67789351852</v>
      </c>
      <c r="C655" s="1" t="n">
        <v>46002</v>
      </c>
      <c r="D655" t="inlineStr">
        <is>
          <t>JÄMTLANDS LÄN</t>
        </is>
      </c>
      <c r="E655" t="inlineStr">
        <is>
          <t>RAGUNDA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58630-2024</t>
        </is>
      </c>
      <c r="B656" s="1" t="n">
        <v>45635.57331018519</v>
      </c>
      <c r="C656" s="1" t="n">
        <v>46002</v>
      </c>
      <c r="D656" t="inlineStr">
        <is>
          <t>JÄMTLANDS LÄN</t>
        </is>
      </c>
      <c r="E656" t="inlineStr">
        <is>
          <t>RAGUNDA</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33790-2025</t>
        </is>
      </c>
      <c r="B657" s="1" t="n">
        <v>45842.42608796297</v>
      </c>
      <c r="C657" s="1" t="n">
        <v>46002</v>
      </c>
      <c r="D657" t="inlineStr">
        <is>
          <t>JÄMTLANDS LÄN</t>
        </is>
      </c>
      <c r="E657" t="inlineStr">
        <is>
          <t>RAGUNDA</t>
        </is>
      </c>
      <c r="G657" t="n">
        <v>0.3</v>
      </c>
      <c r="H657" t="n">
        <v>0</v>
      </c>
      <c r="I657" t="n">
        <v>0</v>
      </c>
      <c r="J657" t="n">
        <v>0</v>
      </c>
      <c r="K657" t="n">
        <v>0</v>
      </c>
      <c r="L657" t="n">
        <v>0</v>
      </c>
      <c r="M657" t="n">
        <v>0</v>
      </c>
      <c r="N657" t="n">
        <v>0</v>
      </c>
      <c r="O657" t="n">
        <v>0</v>
      </c>
      <c r="P657" t="n">
        <v>0</v>
      </c>
      <c r="Q657" t="n">
        <v>0</v>
      </c>
      <c r="R657" s="2" t="inlineStr"/>
    </row>
    <row r="658" ht="15" customHeight="1">
      <c r="A658" t="inlineStr">
        <is>
          <t>A 46549-2023</t>
        </is>
      </c>
      <c r="B658" s="1" t="n">
        <v>45197.94171296297</v>
      </c>
      <c r="C658" s="1" t="n">
        <v>46002</v>
      </c>
      <c r="D658" t="inlineStr">
        <is>
          <t>JÄMTLANDS LÄN</t>
        </is>
      </c>
      <c r="E658" t="inlineStr">
        <is>
          <t>RAGUNDA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34607-2025</t>
        </is>
      </c>
      <c r="B659" s="1" t="n">
        <v>45847.65703703704</v>
      </c>
      <c r="C659" s="1" t="n">
        <v>46002</v>
      </c>
      <c r="D659" t="inlineStr">
        <is>
          <t>JÄMTLANDS LÄN</t>
        </is>
      </c>
      <c r="E659" t="inlineStr">
        <is>
          <t>RAGUNDA</t>
        </is>
      </c>
      <c r="F659" t="inlineStr">
        <is>
          <t>SCA</t>
        </is>
      </c>
      <c r="G659" t="n">
        <v>31.4</v>
      </c>
      <c r="H659" t="n">
        <v>0</v>
      </c>
      <c r="I659" t="n">
        <v>0</v>
      </c>
      <c r="J659" t="n">
        <v>0</v>
      </c>
      <c r="K659" t="n">
        <v>0</v>
      </c>
      <c r="L659" t="n">
        <v>0</v>
      </c>
      <c r="M659" t="n">
        <v>0</v>
      </c>
      <c r="N659" t="n">
        <v>0</v>
      </c>
      <c r="O659" t="n">
        <v>0</v>
      </c>
      <c r="P659" t="n">
        <v>0</v>
      </c>
      <c r="Q659" t="n">
        <v>0</v>
      </c>
      <c r="R659" s="2" t="inlineStr"/>
    </row>
    <row r="660" ht="15" customHeight="1">
      <c r="A660" t="inlineStr">
        <is>
          <t>A 34461-2025</t>
        </is>
      </c>
      <c r="B660" s="1" t="n">
        <v>45847.34474537037</v>
      </c>
      <c r="C660" s="1" t="n">
        <v>46002</v>
      </c>
      <c r="D660" t="inlineStr">
        <is>
          <t>JÄMTLANDS LÄN</t>
        </is>
      </c>
      <c r="E660" t="inlineStr">
        <is>
          <t>RAGUNDA</t>
        </is>
      </c>
      <c r="F660" t="inlineStr">
        <is>
          <t>SCA</t>
        </is>
      </c>
      <c r="G660" t="n">
        <v>44.8</v>
      </c>
      <c r="H660" t="n">
        <v>0</v>
      </c>
      <c r="I660" t="n">
        <v>0</v>
      </c>
      <c r="J660" t="n">
        <v>0</v>
      </c>
      <c r="K660" t="n">
        <v>0</v>
      </c>
      <c r="L660" t="n">
        <v>0</v>
      </c>
      <c r="M660" t="n">
        <v>0</v>
      </c>
      <c r="N660" t="n">
        <v>0</v>
      </c>
      <c r="O660" t="n">
        <v>0</v>
      </c>
      <c r="P660" t="n">
        <v>0</v>
      </c>
      <c r="Q660" t="n">
        <v>0</v>
      </c>
      <c r="R660" s="2" t="inlineStr"/>
    </row>
    <row r="661" ht="15" customHeight="1">
      <c r="A661" t="inlineStr">
        <is>
          <t>A 34464-2025</t>
        </is>
      </c>
      <c r="B661" s="1" t="n">
        <v>45847.34528935186</v>
      </c>
      <c r="C661" s="1" t="n">
        <v>46002</v>
      </c>
      <c r="D661" t="inlineStr">
        <is>
          <t>JÄMTLANDS LÄN</t>
        </is>
      </c>
      <c r="E661" t="inlineStr">
        <is>
          <t>RAGUNDA</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34468-2025</t>
        </is>
      </c>
      <c r="B662" s="1" t="n">
        <v>45847.34597222223</v>
      </c>
      <c r="C662" s="1" t="n">
        <v>46002</v>
      </c>
      <c r="D662" t="inlineStr">
        <is>
          <t>JÄMTLANDS LÄN</t>
        </is>
      </c>
      <c r="E662" t="inlineStr">
        <is>
          <t>RAGUNDA</t>
        </is>
      </c>
      <c r="F662" t="inlineStr">
        <is>
          <t>SCA</t>
        </is>
      </c>
      <c r="G662" t="n">
        <v>10</v>
      </c>
      <c r="H662" t="n">
        <v>0</v>
      </c>
      <c r="I662" t="n">
        <v>0</v>
      </c>
      <c r="J662" t="n">
        <v>0</v>
      </c>
      <c r="K662" t="n">
        <v>0</v>
      </c>
      <c r="L662" t="n">
        <v>0</v>
      </c>
      <c r="M662" t="n">
        <v>0</v>
      </c>
      <c r="N662" t="n">
        <v>0</v>
      </c>
      <c r="O662" t="n">
        <v>0</v>
      </c>
      <c r="P662" t="n">
        <v>0</v>
      </c>
      <c r="Q662" t="n">
        <v>0</v>
      </c>
      <c r="R662" s="2" t="inlineStr"/>
    </row>
    <row r="663" ht="15" customHeight="1">
      <c r="A663" t="inlineStr">
        <is>
          <t>A 54820-2025</t>
        </is>
      </c>
      <c r="B663" s="1" t="n">
        <v>45966.65728009259</v>
      </c>
      <c r="C663" s="1" t="n">
        <v>46002</v>
      </c>
      <c r="D663" t="inlineStr">
        <is>
          <t>JÄMTLANDS LÄN</t>
        </is>
      </c>
      <c r="E663" t="inlineStr">
        <is>
          <t>RAGUNDA</t>
        </is>
      </c>
      <c r="G663" t="n">
        <v>15.3</v>
      </c>
      <c r="H663" t="n">
        <v>0</v>
      </c>
      <c r="I663" t="n">
        <v>0</v>
      </c>
      <c r="J663" t="n">
        <v>0</v>
      </c>
      <c r="K663" t="n">
        <v>0</v>
      </c>
      <c r="L663" t="n">
        <v>0</v>
      </c>
      <c r="M663" t="n">
        <v>0</v>
      </c>
      <c r="N663" t="n">
        <v>0</v>
      </c>
      <c r="O663" t="n">
        <v>0</v>
      </c>
      <c r="P663" t="n">
        <v>0</v>
      </c>
      <c r="Q663" t="n">
        <v>0</v>
      </c>
      <c r="R663" s="2" t="inlineStr"/>
    </row>
    <row r="664" ht="15" customHeight="1">
      <c r="A664" t="inlineStr">
        <is>
          <t>A 34466-2025</t>
        </is>
      </c>
      <c r="B664" s="1" t="n">
        <v>45847.34565972222</v>
      </c>
      <c r="C664" s="1" t="n">
        <v>46002</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34463-2025</t>
        </is>
      </c>
      <c r="B665" s="1" t="n">
        <v>45847.34515046296</v>
      </c>
      <c r="C665" s="1" t="n">
        <v>46002</v>
      </c>
      <c r="D665" t="inlineStr">
        <is>
          <t>JÄMTLANDS LÄN</t>
        </is>
      </c>
      <c r="E665" t="inlineStr">
        <is>
          <t>RAGUNDA</t>
        </is>
      </c>
      <c r="F665" t="inlineStr">
        <is>
          <t>SCA</t>
        </is>
      </c>
      <c r="G665" t="n">
        <v>6.1</v>
      </c>
      <c r="H665" t="n">
        <v>0</v>
      </c>
      <c r="I665" t="n">
        <v>0</v>
      </c>
      <c r="J665" t="n">
        <v>0</v>
      </c>
      <c r="K665" t="n">
        <v>0</v>
      </c>
      <c r="L665" t="n">
        <v>0</v>
      </c>
      <c r="M665" t="n">
        <v>0</v>
      </c>
      <c r="N665" t="n">
        <v>0</v>
      </c>
      <c r="O665" t="n">
        <v>0</v>
      </c>
      <c r="P665" t="n">
        <v>0</v>
      </c>
      <c r="Q665" t="n">
        <v>0</v>
      </c>
      <c r="R665" s="2" t="inlineStr"/>
    </row>
    <row r="666" ht="15" customHeight="1">
      <c r="A666" t="inlineStr">
        <is>
          <t>A 32258-2024</t>
        </is>
      </c>
      <c r="B666" s="1" t="n">
        <v>45511</v>
      </c>
      <c r="C666" s="1" t="n">
        <v>46002</v>
      </c>
      <c r="D666" t="inlineStr">
        <is>
          <t>JÄMTLANDS LÄN</t>
        </is>
      </c>
      <c r="E666" t="inlineStr">
        <is>
          <t>RAGUNDA</t>
        </is>
      </c>
      <c r="F666" t="inlineStr">
        <is>
          <t>SCA</t>
        </is>
      </c>
      <c r="G666" t="n">
        <v>5.5</v>
      </c>
      <c r="H666" t="n">
        <v>0</v>
      </c>
      <c r="I666" t="n">
        <v>0</v>
      </c>
      <c r="J666" t="n">
        <v>0</v>
      </c>
      <c r="K666" t="n">
        <v>0</v>
      </c>
      <c r="L666" t="n">
        <v>0</v>
      </c>
      <c r="M666" t="n">
        <v>0</v>
      </c>
      <c r="N666" t="n">
        <v>0</v>
      </c>
      <c r="O666" t="n">
        <v>0</v>
      </c>
      <c r="P666" t="n">
        <v>0</v>
      </c>
      <c r="Q666" t="n">
        <v>0</v>
      </c>
      <c r="R666" s="2" t="inlineStr"/>
    </row>
    <row r="667" ht="15" customHeight="1">
      <c r="A667" t="inlineStr">
        <is>
          <t>A 38270-2021</t>
        </is>
      </c>
      <c r="B667" s="1" t="n">
        <v>44405.92065972222</v>
      </c>
      <c r="C667" s="1" t="n">
        <v>46002</v>
      </c>
      <c r="D667" t="inlineStr">
        <is>
          <t>JÄMTLANDS LÄN</t>
        </is>
      </c>
      <c r="E667" t="inlineStr">
        <is>
          <t>RAGUNDA</t>
        </is>
      </c>
      <c r="G667" t="n">
        <v>1.3</v>
      </c>
      <c r="H667" t="n">
        <v>0</v>
      </c>
      <c r="I667" t="n">
        <v>0</v>
      </c>
      <c r="J667" t="n">
        <v>0</v>
      </c>
      <c r="K667" t="n">
        <v>0</v>
      </c>
      <c r="L667" t="n">
        <v>0</v>
      </c>
      <c r="M667" t="n">
        <v>0</v>
      </c>
      <c r="N667" t="n">
        <v>0</v>
      </c>
      <c r="O667" t="n">
        <v>0</v>
      </c>
      <c r="P667" t="n">
        <v>0</v>
      </c>
      <c r="Q667" t="n">
        <v>0</v>
      </c>
      <c r="R667" s="2" t="inlineStr"/>
    </row>
    <row r="668" ht="15" customHeight="1">
      <c r="A668" t="inlineStr">
        <is>
          <t>A 29257-2024</t>
        </is>
      </c>
      <c r="B668" s="1" t="n">
        <v>45482.94815972223</v>
      </c>
      <c r="C668" s="1" t="n">
        <v>46002</v>
      </c>
      <c r="D668" t="inlineStr">
        <is>
          <t>JÄMTLANDS LÄN</t>
        </is>
      </c>
      <c r="E668" t="inlineStr">
        <is>
          <t>RAGUNDA</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27373-2023</t>
        </is>
      </c>
      <c r="B669" s="1" t="n">
        <v>45096.93866898148</v>
      </c>
      <c r="C669" s="1" t="n">
        <v>46002</v>
      </c>
      <c r="D669" t="inlineStr">
        <is>
          <t>JÄMTLANDS LÄN</t>
        </is>
      </c>
      <c r="E669" t="inlineStr">
        <is>
          <t>RAGUNDA</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34586-2025</t>
        </is>
      </c>
      <c r="B670" s="1" t="n">
        <v>45847.61513888889</v>
      </c>
      <c r="C670" s="1" t="n">
        <v>46002</v>
      </c>
      <c r="D670" t="inlineStr">
        <is>
          <t>JÄMTLANDS LÄN</t>
        </is>
      </c>
      <c r="E670" t="inlineStr">
        <is>
          <t>RAGUNDA</t>
        </is>
      </c>
      <c r="G670" t="n">
        <v>1.6</v>
      </c>
      <c r="H670" t="n">
        <v>0</v>
      </c>
      <c r="I670" t="n">
        <v>0</v>
      </c>
      <c r="J670" t="n">
        <v>0</v>
      </c>
      <c r="K670" t="n">
        <v>0</v>
      </c>
      <c r="L670" t="n">
        <v>0</v>
      </c>
      <c r="M670" t="n">
        <v>0</v>
      </c>
      <c r="N670" t="n">
        <v>0</v>
      </c>
      <c r="O670" t="n">
        <v>0</v>
      </c>
      <c r="P670" t="n">
        <v>0</v>
      </c>
      <c r="Q670" t="n">
        <v>0</v>
      </c>
      <c r="R670" s="2" t="inlineStr"/>
    </row>
    <row r="671" ht="15" customHeight="1">
      <c r="A671" t="inlineStr">
        <is>
          <t>A 34588-2025</t>
        </is>
      </c>
      <c r="B671" s="1" t="n">
        <v>45847.61548611111</v>
      </c>
      <c r="C671" s="1" t="n">
        <v>46002</v>
      </c>
      <c r="D671" t="inlineStr">
        <is>
          <t>JÄMTLANDS LÄN</t>
        </is>
      </c>
      <c r="E671" t="inlineStr">
        <is>
          <t>RAGUNDA</t>
        </is>
      </c>
      <c r="G671" t="n">
        <v>32.3</v>
      </c>
      <c r="H671" t="n">
        <v>0</v>
      </c>
      <c r="I671" t="n">
        <v>0</v>
      </c>
      <c r="J671" t="n">
        <v>0</v>
      </c>
      <c r="K671" t="n">
        <v>0</v>
      </c>
      <c r="L671" t="n">
        <v>0</v>
      </c>
      <c r="M671" t="n">
        <v>0</v>
      </c>
      <c r="N671" t="n">
        <v>0</v>
      </c>
      <c r="O671" t="n">
        <v>0</v>
      </c>
      <c r="P671" t="n">
        <v>0</v>
      </c>
      <c r="Q671" t="n">
        <v>0</v>
      </c>
      <c r="R671" s="2" t="inlineStr"/>
    </row>
    <row r="672" ht="15" customHeight="1">
      <c r="A672" t="inlineStr">
        <is>
          <t>A 34296-2025</t>
        </is>
      </c>
      <c r="B672" s="1" t="n">
        <v>45846.34454861111</v>
      </c>
      <c r="C672" s="1" t="n">
        <v>46002</v>
      </c>
      <c r="D672" t="inlineStr">
        <is>
          <t>JÄMTLANDS LÄN</t>
        </is>
      </c>
      <c r="E672" t="inlineStr">
        <is>
          <t>RAGUNDA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62115-2024</t>
        </is>
      </c>
      <c r="B673" s="1" t="n">
        <v>45656</v>
      </c>
      <c r="C673" s="1" t="n">
        <v>46002</v>
      </c>
      <c r="D673" t="inlineStr">
        <is>
          <t>JÄMTLANDS LÄN</t>
        </is>
      </c>
      <c r="E673" t="inlineStr">
        <is>
          <t>RAGUNDA</t>
        </is>
      </c>
      <c r="G673" t="n">
        <v>3.3</v>
      </c>
      <c r="H673" t="n">
        <v>0</v>
      </c>
      <c r="I673" t="n">
        <v>0</v>
      </c>
      <c r="J673" t="n">
        <v>0</v>
      </c>
      <c r="K673" t="n">
        <v>0</v>
      </c>
      <c r="L673" t="n">
        <v>0</v>
      </c>
      <c r="M673" t="n">
        <v>0</v>
      </c>
      <c r="N673" t="n">
        <v>0</v>
      </c>
      <c r="O673" t="n">
        <v>0</v>
      </c>
      <c r="P673" t="n">
        <v>0</v>
      </c>
      <c r="Q673" t="n">
        <v>0</v>
      </c>
      <c r="R673" s="2" t="inlineStr"/>
    </row>
    <row r="674" ht="15" customHeight="1">
      <c r="A674" t="inlineStr">
        <is>
          <t>A 12653-2024</t>
        </is>
      </c>
      <c r="B674" s="1" t="n">
        <v>45384</v>
      </c>
      <c r="C674" s="1" t="n">
        <v>46002</v>
      </c>
      <c r="D674" t="inlineStr">
        <is>
          <t>JÄMTLANDS LÄN</t>
        </is>
      </c>
      <c r="E674" t="inlineStr">
        <is>
          <t>RAGUNDA</t>
        </is>
      </c>
      <c r="G674" t="n">
        <v>1.1</v>
      </c>
      <c r="H674" t="n">
        <v>0</v>
      </c>
      <c r="I674" t="n">
        <v>0</v>
      </c>
      <c r="J674" t="n">
        <v>0</v>
      </c>
      <c r="K674" t="n">
        <v>0</v>
      </c>
      <c r="L674" t="n">
        <v>0</v>
      </c>
      <c r="M674" t="n">
        <v>0</v>
      </c>
      <c r="N674" t="n">
        <v>0</v>
      </c>
      <c r="O674" t="n">
        <v>0</v>
      </c>
      <c r="P674" t="n">
        <v>0</v>
      </c>
      <c r="Q674" t="n">
        <v>0</v>
      </c>
      <c r="R674" s="2" t="inlineStr"/>
    </row>
    <row r="675" ht="15" customHeight="1">
      <c r="A675" t="inlineStr">
        <is>
          <t>A 50211-2023</t>
        </is>
      </c>
      <c r="B675" s="1" t="n">
        <v>45215.94657407407</v>
      </c>
      <c r="C675" s="1" t="n">
        <v>46002</v>
      </c>
      <c r="D675" t="inlineStr">
        <is>
          <t>JÄMTLANDS LÄN</t>
        </is>
      </c>
      <c r="E675" t="inlineStr">
        <is>
          <t>RAGUNDA</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34709-2025</t>
        </is>
      </c>
      <c r="B676" s="1" t="n">
        <v>45848.49761574074</v>
      </c>
      <c r="C676" s="1" t="n">
        <v>46002</v>
      </c>
      <c r="D676" t="inlineStr">
        <is>
          <t>JÄMTLANDS LÄN</t>
        </is>
      </c>
      <c r="E676" t="inlineStr">
        <is>
          <t>RAGUNDA</t>
        </is>
      </c>
      <c r="G676" t="n">
        <v>3.1</v>
      </c>
      <c r="H676" t="n">
        <v>0</v>
      </c>
      <c r="I676" t="n">
        <v>0</v>
      </c>
      <c r="J676" t="n">
        <v>0</v>
      </c>
      <c r="K676" t="n">
        <v>0</v>
      </c>
      <c r="L676" t="n">
        <v>0</v>
      </c>
      <c r="M676" t="n">
        <v>0</v>
      </c>
      <c r="N676" t="n">
        <v>0</v>
      </c>
      <c r="O676" t="n">
        <v>0</v>
      </c>
      <c r="P676" t="n">
        <v>0</v>
      </c>
      <c r="Q676" t="n">
        <v>0</v>
      </c>
      <c r="R676" s="2" t="inlineStr"/>
    </row>
    <row r="677" ht="15" customHeight="1">
      <c r="A677" t="inlineStr">
        <is>
          <t>A 34772-2025</t>
        </is>
      </c>
      <c r="B677" s="1" t="n">
        <v>45848.65658564815</v>
      </c>
      <c r="C677" s="1" t="n">
        <v>46002</v>
      </c>
      <c r="D677" t="inlineStr">
        <is>
          <t>JÄMTLANDS LÄN</t>
        </is>
      </c>
      <c r="E677" t="inlineStr">
        <is>
          <t>RAGUNDA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34710-2025</t>
        </is>
      </c>
      <c r="B678" s="1" t="n">
        <v>45848.49774305556</v>
      </c>
      <c r="C678" s="1" t="n">
        <v>46002</v>
      </c>
      <c r="D678" t="inlineStr">
        <is>
          <t>JÄMTLANDS LÄN</t>
        </is>
      </c>
      <c r="E678" t="inlineStr">
        <is>
          <t>RAGUNDA</t>
        </is>
      </c>
      <c r="G678" t="n">
        <v>4.1</v>
      </c>
      <c r="H678" t="n">
        <v>0</v>
      </c>
      <c r="I678" t="n">
        <v>0</v>
      </c>
      <c r="J678" t="n">
        <v>0</v>
      </c>
      <c r="K678" t="n">
        <v>0</v>
      </c>
      <c r="L678" t="n">
        <v>0</v>
      </c>
      <c r="M678" t="n">
        <v>0</v>
      </c>
      <c r="N678" t="n">
        <v>0</v>
      </c>
      <c r="O678" t="n">
        <v>0</v>
      </c>
      <c r="P678" t="n">
        <v>0</v>
      </c>
      <c r="Q678" t="n">
        <v>0</v>
      </c>
      <c r="R678" s="2" t="inlineStr"/>
    </row>
    <row r="679" ht="15" customHeight="1">
      <c r="A679" t="inlineStr">
        <is>
          <t>A 9232-2025</t>
        </is>
      </c>
      <c r="B679" s="1" t="n">
        <v>45714.55064814815</v>
      </c>
      <c r="C679" s="1" t="n">
        <v>46002</v>
      </c>
      <c r="D679" t="inlineStr">
        <is>
          <t>JÄMTLANDS LÄN</t>
        </is>
      </c>
      <c r="E679" t="inlineStr">
        <is>
          <t>RAGUNDA</t>
        </is>
      </c>
      <c r="G679" t="n">
        <v>1.9</v>
      </c>
      <c r="H679" t="n">
        <v>0</v>
      </c>
      <c r="I679" t="n">
        <v>0</v>
      </c>
      <c r="J679" t="n">
        <v>0</v>
      </c>
      <c r="K679" t="n">
        <v>0</v>
      </c>
      <c r="L679" t="n">
        <v>0</v>
      </c>
      <c r="M679" t="n">
        <v>0</v>
      </c>
      <c r="N679" t="n">
        <v>0</v>
      </c>
      <c r="O679" t="n">
        <v>0</v>
      </c>
      <c r="P679" t="n">
        <v>0</v>
      </c>
      <c r="Q679" t="n">
        <v>0</v>
      </c>
      <c r="R679" s="2" t="inlineStr"/>
    </row>
    <row r="680" ht="15" customHeight="1">
      <c r="A680" t="inlineStr">
        <is>
          <t>A 34968-2025</t>
        </is>
      </c>
      <c r="B680" s="1" t="n">
        <v>45849.65663194445</v>
      </c>
      <c r="C680" s="1" t="n">
        <v>46002</v>
      </c>
      <c r="D680" t="inlineStr">
        <is>
          <t>JÄMTLANDS LÄN</t>
        </is>
      </c>
      <c r="E680" t="inlineStr">
        <is>
          <t>RAGUNDA</t>
        </is>
      </c>
      <c r="F680" t="inlineStr">
        <is>
          <t>SCA</t>
        </is>
      </c>
      <c r="G680" t="n">
        <v>20.2</v>
      </c>
      <c r="H680" t="n">
        <v>0</v>
      </c>
      <c r="I680" t="n">
        <v>0</v>
      </c>
      <c r="J680" t="n">
        <v>0</v>
      </c>
      <c r="K680" t="n">
        <v>0</v>
      </c>
      <c r="L680" t="n">
        <v>0</v>
      </c>
      <c r="M680" t="n">
        <v>0</v>
      </c>
      <c r="N680" t="n">
        <v>0</v>
      </c>
      <c r="O680" t="n">
        <v>0</v>
      </c>
      <c r="P680" t="n">
        <v>0</v>
      </c>
      <c r="Q680" t="n">
        <v>0</v>
      </c>
      <c r="R680" s="2" t="inlineStr"/>
    </row>
    <row r="681" ht="15" customHeight="1">
      <c r="A681" t="inlineStr">
        <is>
          <t>A 29775-2023</t>
        </is>
      </c>
      <c r="B681" s="1" t="n">
        <v>45098</v>
      </c>
      <c r="C681" s="1" t="n">
        <v>46002</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34998-2025</t>
        </is>
      </c>
      <c r="B682" s="1" t="n">
        <v>45850.34434027778</v>
      </c>
      <c r="C682" s="1" t="n">
        <v>46002</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46275-2025</t>
        </is>
      </c>
      <c r="B683" s="1" t="n">
        <v>45925.3711574074</v>
      </c>
      <c r="C683" s="1" t="n">
        <v>46002</v>
      </c>
      <c r="D683" t="inlineStr">
        <is>
          <t>JÄMTLANDS LÄN</t>
        </is>
      </c>
      <c r="E683" t="inlineStr">
        <is>
          <t>RAGUNDA</t>
        </is>
      </c>
      <c r="G683" t="n">
        <v>2.7</v>
      </c>
      <c r="H683" t="n">
        <v>0</v>
      </c>
      <c r="I683" t="n">
        <v>0</v>
      </c>
      <c r="J683" t="n">
        <v>0</v>
      </c>
      <c r="K683" t="n">
        <v>0</v>
      </c>
      <c r="L683" t="n">
        <v>0</v>
      </c>
      <c r="M683" t="n">
        <v>0</v>
      </c>
      <c r="N683" t="n">
        <v>0</v>
      </c>
      <c r="O683" t="n">
        <v>0</v>
      </c>
      <c r="P683" t="n">
        <v>0</v>
      </c>
      <c r="Q683" t="n">
        <v>0</v>
      </c>
      <c r="R683" s="2" t="inlineStr"/>
    </row>
    <row r="684" ht="15" customHeight="1">
      <c r="A684" t="inlineStr">
        <is>
          <t>A 34999-2025</t>
        </is>
      </c>
      <c r="B684" s="1" t="n">
        <v>45850.34450231482</v>
      </c>
      <c r="C684" s="1" t="n">
        <v>46002</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44494-2024</t>
        </is>
      </c>
      <c r="B685" s="1" t="n">
        <v>45574.39081018518</v>
      </c>
      <c r="C685" s="1" t="n">
        <v>46002</v>
      </c>
      <c r="D685" t="inlineStr">
        <is>
          <t>JÄMTLANDS LÄN</t>
        </is>
      </c>
      <c r="E685" t="inlineStr">
        <is>
          <t>RAGUNDA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35092-2025</t>
        </is>
      </c>
      <c r="B686" s="1" t="n">
        <v>45852.53185185185</v>
      </c>
      <c r="C686" s="1" t="n">
        <v>46002</v>
      </c>
      <c r="D686" t="inlineStr">
        <is>
          <t>JÄMTLANDS LÄN</t>
        </is>
      </c>
      <c r="E686" t="inlineStr">
        <is>
          <t>RAGUNDA</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54794-2025</t>
        </is>
      </c>
      <c r="B687" s="1" t="n">
        <v>45966.63592592593</v>
      </c>
      <c r="C687" s="1" t="n">
        <v>46002</v>
      </c>
      <c r="D687" t="inlineStr">
        <is>
          <t>JÄMTLANDS LÄN</t>
        </is>
      </c>
      <c r="E687" t="inlineStr">
        <is>
          <t>RAGUNDA</t>
        </is>
      </c>
      <c r="G687" t="n">
        <v>4</v>
      </c>
      <c r="H687" t="n">
        <v>0</v>
      </c>
      <c r="I687" t="n">
        <v>0</v>
      </c>
      <c r="J687" t="n">
        <v>0</v>
      </c>
      <c r="K687" t="n">
        <v>0</v>
      </c>
      <c r="L687" t="n">
        <v>0</v>
      </c>
      <c r="M687" t="n">
        <v>0</v>
      </c>
      <c r="N687" t="n">
        <v>0</v>
      </c>
      <c r="O687" t="n">
        <v>0</v>
      </c>
      <c r="P687" t="n">
        <v>0</v>
      </c>
      <c r="Q687" t="n">
        <v>0</v>
      </c>
      <c r="R687" s="2" t="inlineStr"/>
    </row>
    <row r="688" ht="15" customHeight="1">
      <c r="A688" t="inlineStr">
        <is>
          <t>A 35091-2025</t>
        </is>
      </c>
      <c r="B688" s="1" t="n">
        <v>45852.53168981482</v>
      </c>
      <c r="C688" s="1" t="n">
        <v>46002</v>
      </c>
      <c r="D688" t="inlineStr">
        <is>
          <t>JÄMTLANDS LÄN</t>
        </is>
      </c>
      <c r="E688" t="inlineStr">
        <is>
          <t>RAGUNDA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13898-2023</t>
        </is>
      </c>
      <c r="B689" s="1" t="n">
        <v>45008.01408564814</v>
      </c>
      <c r="C689" s="1" t="n">
        <v>46002</v>
      </c>
      <c r="D689" t="inlineStr">
        <is>
          <t>JÄMTLANDS LÄN</t>
        </is>
      </c>
      <c r="E689" t="inlineStr">
        <is>
          <t>RAGUNDA</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35462-2025</t>
        </is>
      </c>
      <c r="B690" s="1" t="n">
        <v>45855.61523148148</v>
      </c>
      <c r="C690" s="1" t="n">
        <v>46002</v>
      </c>
      <c r="D690" t="inlineStr">
        <is>
          <t>JÄMTLANDS LÄN</t>
        </is>
      </c>
      <c r="E690" t="inlineStr">
        <is>
          <t>RAGUNDA</t>
        </is>
      </c>
      <c r="F690" t="inlineStr">
        <is>
          <t>SCA</t>
        </is>
      </c>
      <c r="G690" t="n">
        <v>5.7</v>
      </c>
      <c r="H690" t="n">
        <v>0</v>
      </c>
      <c r="I690" t="n">
        <v>0</v>
      </c>
      <c r="J690" t="n">
        <v>0</v>
      </c>
      <c r="K690" t="n">
        <v>0</v>
      </c>
      <c r="L690" t="n">
        <v>0</v>
      </c>
      <c r="M690" t="n">
        <v>0</v>
      </c>
      <c r="N690" t="n">
        <v>0</v>
      </c>
      <c r="O690" t="n">
        <v>0</v>
      </c>
      <c r="P690" t="n">
        <v>0</v>
      </c>
      <c r="Q690" t="n">
        <v>0</v>
      </c>
      <c r="R690" s="2" t="inlineStr"/>
    </row>
    <row r="691" ht="15" customHeight="1">
      <c r="A691" t="inlineStr">
        <is>
          <t>A 35355-2025</t>
        </is>
      </c>
      <c r="B691" s="1" t="n">
        <v>45854.65663194445</v>
      </c>
      <c r="C691" s="1" t="n">
        <v>46002</v>
      </c>
      <c r="D691" t="inlineStr">
        <is>
          <t>JÄMTLANDS LÄN</t>
        </is>
      </c>
      <c r="E691" t="inlineStr">
        <is>
          <t>RAGUNDA</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35477-2025</t>
        </is>
      </c>
      <c r="B692" s="1" t="n">
        <v>45855.67899305555</v>
      </c>
      <c r="C692" s="1" t="n">
        <v>46002</v>
      </c>
      <c r="D692" t="inlineStr">
        <is>
          <t>JÄMTLANDS LÄN</t>
        </is>
      </c>
      <c r="E692" t="inlineStr">
        <is>
          <t>RAGUNDA</t>
        </is>
      </c>
      <c r="G692" t="n">
        <v>3.6</v>
      </c>
      <c r="H692" t="n">
        <v>0</v>
      </c>
      <c r="I692" t="n">
        <v>0</v>
      </c>
      <c r="J692" t="n">
        <v>0</v>
      </c>
      <c r="K692" t="n">
        <v>0</v>
      </c>
      <c r="L692" t="n">
        <v>0</v>
      </c>
      <c r="M692" t="n">
        <v>0</v>
      </c>
      <c r="N692" t="n">
        <v>0</v>
      </c>
      <c r="O692" t="n">
        <v>0</v>
      </c>
      <c r="P692" t="n">
        <v>0</v>
      </c>
      <c r="Q692" t="n">
        <v>0</v>
      </c>
      <c r="R692" s="2" t="inlineStr"/>
    </row>
    <row r="693" ht="15" customHeight="1">
      <c r="A693" t="inlineStr">
        <is>
          <t>A 46825-2025</t>
        </is>
      </c>
      <c r="B693" s="1" t="n">
        <v>45926.92506944444</v>
      </c>
      <c r="C693" s="1" t="n">
        <v>46002</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46710-2025</t>
        </is>
      </c>
      <c r="B694" s="1" t="n">
        <v>45926.57337962963</v>
      </c>
      <c r="C694" s="1" t="n">
        <v>46002</v>
      </c>
      <c r="D694" t="inlineStr">
        <is>
          <t>JÄMTLANDS LÄN</t>
        </is>
      </c>
      <c r="E694" t="inlineStr">
        <is>
          <t>RAGUNDA</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47075-2025</t>
        </is>
      </c>
      <c r="B695" s="1" t="n">
        <v>45929.63728009259</v>
      </c>
      <c r="C695" s="1" t="n">
        <v>46002</v>
      </c>
      <c r="D695" t="inlineStr">
        <is>
          <t>JÄMTLANDS LÄN</t>
        </is>
      </c>
      <c r="E695" t="inlineStr">
        <is>
          <t>RAGUNDA</t>
        </is>
      </c>
      <c r="F695" t="inlineStr">
        <is>
          <t>SCA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35541-2025</t>
        </is>
      </c>
      <c r="B696" s="1" t="n">
        <v>45856.46931712963</v>
      </c>
      <c r="C696" s="1" t="n">
        <v>46002</v>
      </c>
      <c r="D696" t="inlineStr">
        <is>
          <t>JÄMTLANDS LÄN</t>
        </is>
      </c>
      <c r="E696" t="inlineStr">
        <is>
          <t>RAGUNDA</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26026-2024</t>
        </is>
      </c>
      <c r="B697" s="1" t="n">
        <v>45467.96207175926</v>
      </c>
      <c r="C697" s="1" t="n">
        <v>46002</v>
      </c>
      <c r="D697" t="inlineStr">
        <is>
          <t>JÄMTLANDS LÄN</t>
        </is>
      </c>
      <c r="E697" t="inlineStr">
        <is>
          <t>RAGUNDA</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47119-2025</t>
        </is>
      </c>
      <c r="B698" s="1" t="n">
        <v>45929.67795138889</v>
      </c>
      <c r="C698" s="1" t="n">
        <v>46002</v>
      </c>
      <c r="D698" t="inlineStr">
        <is>
          <t>JÄMTLANDS LÄN</t>
        </is>
      </c>
      <c r="E698" t="inlineStr">
        <is>
          <t>RAGUNDA</t>
        </is>
      </c>
      <c r="F698" t="inlineStr">
        <is>
          <t>SCA</t>
        </is>
      </c>
      <c r="G698" t="n">
        <v>22.7</v>
      </c>
      <c r="H698" t="n">
        <v>0</v>
      </c>
      <c r="I698" t="n">
        <v>0</v>
      </c>
      <c r="J698" t="n">
        <v>0</v>
      </c>
      <c r="K698" t="n">
        <v>0</v>
      </c>
      <c r="L698" t="n">
        <v>0</v>
      </c>
      <c r="M698" t="n">
        <v>0</v>
      </c>
      <c r="N698" t="n">
        <v>0</v>
      </c>
      <c r="O698" t="n">
        <v>0</v>
      </c>
      <c r="P698" t="n">
        <v>0</v>
      </c>
      <c r="Q698" t="n">
        <v>0</v>
      </c>
      <c r="R698" s="2" t="inlineStr"/>
    </row>
    <row r="699" ht="15" customHeight="1">
      <c r="A699" t="inlineStr">
        <is>
          <t>A 46689-2025</t>
        </is>
      </c>
      <c r="B699" s="1" t="n">
        <v>45926.55307870371</v>
      </c>
      <c r="C699" s="1" t="n">
        <v>46002</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46909-2025</t>
        </is>
      </c>
      <c r="B700" s="1" t="n">
        <v>45929.40673611111</v>
      </c>
      <c r="C700" s="1" t="n">
        <v>46002</v>
      </c>
      <c r="D700" t="inlineStr">
        <is>
          <t>JÄMTLANDS LÄN</t>
        </is>
      </c>
      <c r="E700" t="inlineStr">
        <is>
          <t>RAGUNDA</t>
        </is>
      </c>
      <c r="G700" t="n">
        <v>5.7</v>
      </c>
      <c r="H700" t="n">
        <v>0</v>
      </c>
      <c r="I700" t="n">
        <v>0</v>
      </c>
      <c r="J700" t="n">
        <v>0</v>
      </c>
      <c r="K700" t="n">
        <v>0</v>
      </c>
      <c r="L700" t="n">
        <v>0</v>
      </c>
      <c r="M700" t="n">
        <v>0</v>
      </c>
      <c r="N700" t="n">
        <v>0</v>
      </c>
      <c r="O700" t="n">
        <v>0</v>
      </c>
      <c r="P700" t="n">
        <v>0</v>
      </c>
      <c r="Q700" t="n">
        <v>0</v>
      </c>
      <c r="R700" s="2" t="inlineStr"/>
    </row>
    <row r="701" ht="15" customHeight="1">
      <c r="A701" t="inlineStr">
        <is>
          <t>A 35658-2025</t>
        </is>
      </c>
      <c r="B701" s="1" t="n">
        <v>45859.594375</v>
      </c>
      <c r="C701" s="1" t="n">
        <v>46002</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5429-2024</t>
        </is>
      </c>
      <c r="B702" s="1" t="n">
        <v>45331.92746527777</v>
      </c>
      <c r="C702" s="1" t="n">
        <v>46002</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47122-2025</t>
        </is>
      </c>
      <c r="B703" s="1" t="n">
        <v>45929.67878472222</v>
      </c>
      <c r="C703" s="1" t="n">
        <v>46002</v>
      </c>
      <c r="D703" t="inlineStr">
        <is>
          <t>JÄMTLANDS LÄN</t>
        </is>
      </c>
      <c r="E703" t="inlineStr">
        <is>
          <t>RAGUNDA</t>
        </is>
      </c>
      <c r="F703" t="inlineStr">
        <is>
          <t>SCA</t>
        </is>
      </c>
      <c r="G703" t="n">
        <v>31.1</v>
      </c>
      <c r="H703" t="n">
        <v>0</v>
      </c>
      <c r="I703" t="n">
        <v>0</v>
      </c>
      <c r="J703" t="n">
        <v>0</v>
      </c>
      <c r="K703" t="n">
        <v>0</v>
      </c>
      <c r="L703" t="n">
        <v>0</v>
      </c>
      <c r="M703" t="n">
        <v>0</v>
      </c>
      <c r="N703" t="n">
        <v>0</v>
      </c>
      <c r="O703" t="n">
        <v>0</v>
      </c>
      <c r="P703" t="n">
        <v>0</v>
      </c>
      <c r="Q703" t="n">
        <v>0</v>
      </c>
      <c r="R703" s="2" t="inlineStr"/>
    </row>
    <row r="704" ht="15" customHeight="1">
      <c r="A704" t="inlineStr">
        <is>
          <t>A 46974-2025</t>
        </is>
      </c>
      <c r="B704" s="1" t="n">
        <v>45929.51104166666</v>
      </c>
      <c r="C704" s="1" t="n">
        <v>46002</v>
      </c>
      <c r="D704" t="inlineStr">
        <is>
          <t>JÄMTLANDS LÄN</t>
        </is>
      </c>
      <c r="E704" t="inlineStr">
        <is>
          <t>RAGUNDA</t>
        </is>
      </c>
      <c r="F704" t="inlineStr">
        <is>
          <t>SCA</t>
        </is>
      </c>
      <c r="G704" t="n">
        <v>12.1</v>
      </c>
      <c r="H704" t="n">
        <v>0</v>
      </c>
      <c r="I704" t="n">
        <v>0</v>
      </c>
      <c r="J704" t="n">
        <v>0</v>
      </c>
      <c r="K704" t="n">
        <v>0</v>
      </c>
      <c r="L704" t="n">
        <v>0</v>
      </c>
      <c r="M704" t="n">
        <v>0</v>
      </c>
      <c r="N704" t="n">
        <v>0</v>
      </c>
      <c r="O704" t="n">
        <v>0</v>
      </c>
      <c r="P704" t="n">
        <v>0</v>
      </c>
      <c r="Q704" t="n">
        <v>0</v>
      </c>
      <c r="R704" s="2" t="inlineStr"/>
    </row>
    <row r="705" ht="15" customHeight="1">
      <c r="A705" t="inlineStr">
        <is>
          <t>A 35689-2025</t>
        </is>
      </c>
      <c r="B705" s="1" t="n">
        <v>45860.30229166667</v>
      </c>
      <c r="C705" s="1" t="n">
        <v>46002</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3720-2025</t>
        </is>
      </c>
      <c r="B706" s="1" t="n">
        <v>45681.5315625</v>
      </c>
      <c r="C706" s="1" t="n">
        <v>46002</v>
      </c>
      <c r="D706" t="inlineStr">
        <is>
          <t>JÄMTLANDS LÄN</t>
        </is>
      </c>
      <c r="E706" t="inlineStr">
        <is>
          <t>RAGUNDA</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3770-2025</t>
        </is>
      </c>
      <c r="B707" s="1" t="n">
        <v>45681.6050925926</v>
      </c>
      <c r="C707" s="1" t="n">
        <v>46002</v>
      </c>
      <c r="D707" t="inlineStr">
        <is>
          <t>JÄMTLANDS LÄN</t>
        </is>
      </c>
      <c r="E707" t="inlineStr">
        <is>
          <t>RAGUNDA</t>
        </is>
      </c>
      <c r="G707" t="n">
        <v>2.7</v>
      </c>
      <c r="H707" t="n">
        <v>0</v>
      </c>
      <c r="I707" t="n">
        <v>0</v>
      </c>
      <c r="J707" t="n">
        <v>0</v>
      </c>
      <c r="K707" t="n">
        <v>0</v>
      </c>
      <c r="L707" t="n">
        <v>0</v>
      </c>
      <c r="M707" t="n">
        <v>0</v>
      </c>
      <c r="N707" t="n">
        <v>0</v>
      </c>
      <c r="O707" t="n">
        <v>0</v>
      </c>
      <c r="P707" t="n">
        <v>0</v>
      </c>
      <c r="Q707" t="n">
        <v>0</v>
      </c>
      <c r="R707" s="2" t="inlineStr"/>
    </row>
    <row r="708" ht="15" customHeight="1">
      <c r="A708" t="inlineStr">
        <is>
          <t>A 46751-2025</t>
        </is>
      </c>
      <c r="B708" s="1" t="n">
        <v>45926.6153125</v>
      </c>
      <c r="C708" s="1" t="n">
        <v>46002</v>
      </c>
      <c r="D708" t="inlineStr">
        <is>
          <t>JÄMTLANDS LÄN</t>
        </is>
      </c>
      <c r="E708" t="inlineStr">
        <is>
          <t>RAGUNDA</t>
        </is>
      </c>
      <c r="F708" t="inlineStr">
        <is>
          <t>SCA</t>
        </is>
      </c>
      <c r="G708" t="n">
        <v>7.8</v>
      </c>
      <c r="H708" t="n">
        <v>0</v>
      </c>
      <c r="I708" t="n">
        <v>0</v>
      </c>
      <c r="J708" t="n">
        <v>0</v>
      </c>
      <c r="K708" t="n">
        <v>0</v>
      </c>
      <c r="L708" t="n">
        <v>0</v>
      </c>
      <c r="M708" t="n">
        <v>0</v>
      </c>
      <c r="N708" t="n">
        <v>0</v>
      </c>
      <c r="O708" t="n">
        <v>0</v>
      </c>
      <c r="P708" t="n">
        <v>0</v>
      </c>
      <c r="Q708" t="n">
        <v>0</v>
      </c>
      <c r="R708" s="2" t="inlineStr"/>
    </row>
    <row r="709" ht="15" customHeight="1">
      <c r="A709" t="inlineStr">
        <is>
          <t>A 46753-2025</t>
        </is>
      </c>
      <c r="B709" s="1" t="n">
        <v>45926.61552083334</v>
      </c>
      <c r="C709" s="1" t="n">
        <v>46002</v>
      </c>
      <c r="D709" t="inlineStr">
        <is>
          <t>JÄMTLANDS LÄN</t>
        </is>
      </c>
      <c r="E709" t="inlineStr">
        <is>
          <t>RAGUNDA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51579-2024</t>
        </is>
      </c>
      <c r="B710" s="1" t="n">
        <v>45604.63575231482</v>
      </c>
      <c r="C710" s="1" t="n">
        <v>46002</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47037-2025</t>
        </is>
      </c>
      <c r="B711" s="1" t="n">
        <v>45929.59456018519</v>
      </c>
      <c r="C711" s="1" t="n">
        <v>46002</v>
      </c>
      <c r="D711" t="inlineStr">
        <is>
          <t>JÄMTLANDS LÄN</t>
        </is>
      </c>
      <c r="E711" t="inlineStr">
        <is>
          <t>RAGUNDA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8775-2025</t>
        </is>
      </c>
      <c r="B712" s="1" t="n">
        <v>45712.61502314815</v>
      </c>
      <c r="C712" s="1" t="n">
        <v>46002</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2339-2025</t>
        </is>
      </c>
      <c r="B713" s="1" t="n">
        <v>45673.66358796296</v>
      </c>
      <c r="C713" s="1" t="n">
        <v>46002</v>
      </c>
      <c r="D713" t="inlineStr">
        <is>
          <t>JÄMTLANDS LÄN</t>
        </is>
      </c>
      <c r="E713" t="inlineStr">
        <is>
          <t>RAGUNDA</t>
        </is>
      </c>
      <c r="G713" t="n">
        <v>5</v>
      </c>
      <c r="H713" t="n">
        <v>0</v>
      </c>
      <c r="I713" t="n">
        <v>0</v>
      </c>
      <c r="J713" t="n">
        <v>0</v>
      </c>
      <c r="K713" t="n">
        <v>0</v>
      </c>
      <c r="L713" t="n">
        <v>0</v>
      </c>
      <c r="M713" t="n">
        <v>0</v>
      </c>
      <c r="N713" t="n">
        <v>0</v>
      </c>
      <c r="O713" t="n">
        <v>0</v>
      </c>
      <c r="P713" t="n">
        <v>0</v>
      </c>
      <c r="Q713" t="n">
        <v>0</v>
      </c>
      <c r="R713" s="2" t="inlineStr"/>
    </row>
    <row r="714" ht="15" customHeight="1">
      <c r="A714" t="inlineStr">
        <is>
          <t>A 19438-2023</t>
        </is>
      </c>
      <c r="B714" s="1" t="n">
        <v>45049</v>
      </c>
      <c r="C714" s="1" t="n">
        <v>46002</v>
      </c>
      <c r="D714" t="inlineStr">
        <is>
          <t>JÄMTLANDS LÄN</t>
        </is>
      </c>
      <c r="E714" t="inlineStr">
        <is>
          <t>RAGUNDA</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54092-2024</t>
        </is>
      </c>
      <c r="B715" s="1" t="n">
        <v>45616.5108912037</v>
      </c>
      <c r="C715" s="1" t="n">
        <v>46002</v>
      </c>
      <c r="D715" t="inlineStr">
        <is>
          <t>JÄMTLANDS LÄN</t>
        </is>
      </c>
      <c r="E715" t="inlineStr">
        <is>
          <t>RAGUNDA</t>
        </is>
      </c>
      <c r="F715" t="inlineStr">
        <is>
          <t>Naturvårdsverket</t>
        </is>
      </c>
      <c r="G715" t="n">
        <v>1.3</v>
      </c>
      <c r="H715" t="n">
        <v>0</v>
      </c>
      <c r="I715" t="n">
        <v>0</v>
      </c>
      <c r="J715" t="n">
        <v>0</v>
      </c>
      <c r="K715" t="n">
        <v>0</v>
      </c>
      <c r="L715" t="n">
        <v>0</v>
      </c>
      <c r="M715" t="n">
        <v>0</v>
      </c>
      <c r="N715" t="n">
        <v>0</v>
      </c>
      <c r="O715" t="n">
        <v>0</v>
      </c>
      <c r="P715" t="n">
        <v>0</v>
      </c>
      <c r="Q715" t="n">
        <v>0</v>
      </c>
      <c r="R715" s="2" t="inlineStr"/>
    </row>
    <row r="716" ht="15" customHeight="1">
      <c r="A716" t="inlineStr">
        <is>
          <t>A 47749-2025</t>
        </is>
      </c>
      <c r="B716" s="1" t="n">
        <v>45931.65711805555</v>
      </c>
      <c r="C716" s="1" t="n">
        <v>46002</v>
      </c>
      <c r="D716" t="inlineStr">
        <is>
          <t>JÄMTLANDS LÄN</t>
        </is>
      </c>
      <c r="E716" t="inlineStr">
        <is>
          <t>RAGUNDA</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27499-2024</t>
        </is>
      </c>
      <c r="B717" s="1" t="n">
        <v>45474.50608796296</v>
      </c>
      <c r="C717" s="1" t="n">
        <v>46002</v>
      </c>
      <c r="D717" t="inlineStr">
        <is>
          <t>JÄMTLANDS LÄN</t>
        </is>
      </c>
      <c r="E717" t="inlineStr">
        <is>
          <t>RAGUNDA</t>
        </is>
      </c>
      <c r="G717" t="n">
        <v>1.3</v>
      </c>
      <c r="H717" t="n">
        <v>0</v>
      </c>
      <c r="I717" t="n">
        <v>0</v>
      </c>
      <c r="J717" t="n">
        <v>0</v>
      </c>
      <c r="K717" t="n">
        <v>0</v>
      </c>
      <c r="L717" t="n">
        <v>0</v>
      </c>
      <c r="M717" t="n">
        <v>0</v>
      </c>
      <c r="N717" t="n">
        <v>0</v>
      </c>
      <c r="O717" t="n">
        <v>0</v>
      </c>
      <c r="P717" t="n">
        <v>0</v>
      </c>
      <c r="Q717" t="n">
        <v>0</v>
      </c>
      <c r="R717" s="2" t="inlineStr"/>
    </row>
    <row r="718" ht="15" customHeight="1">
      <c r="A718" t="inlineStr">
        <is>
          <t>A 57078-2023</t>
        </is>
      </c>
      <c r="B718" s="1" t="n">
        <v>45244.96774305555</v>
      </c>
      <c r="C718" s="1" t="n">
        <v>46002</v>
      </c>
      <c r="D718" t="inlineStr">
        <is>
          <t>JÄMTLANDS LÄN</t>
        </is>
      </c>
      <c r="E718" t="inlineStr">
        <is>
          <t>RAGUNDA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47228-2025</t>
        </is>
      </c>
      <c r="B719" s="1" t="n">
        <v>45930.3990162037</v>
      </c>
      <c r="C719" s="1" t="n">
        <v>46002</v>
      </c>
      <c r="D719" t="inlineStr">
        <is>
          <t>JÄMTLANDS LÄN</t>
        </is>
      </c>
      <c r="E719" t="inlineStr">
        <is>
          <t>RAGUNDA</t>
        </is>
      </c>
      <c r="G719" t="n">
        <v>2.6</v>
      </c>
      <c r="H719" t="n">
        <v>0</v>
      </c>
      <c r="I719" t="n">
        <v>0</v>
      </c>
      <c r="J719" t="n">
        <v>0</v>
      </c>
      <c r="K719" t="n">
        <v>0</v>
      </c>
      <c r="L719" t="n">
        <v>0</v>
      </c>
      <c r="M719" t="n">
        <v>0</v>
      </c>
      <c r="N719" t="n">
        <v>0</v>
      </c>
      <c r="O719" t="n">
        <v>0</v>
      </c>
      <c r="P719" t="n">
        <v>0</v>
      </c>
      <c r="Q719" t="n">
        <v>0</v>
      </c>
      <c r="R719" s="2" t="inlineStr"/>
    </row>
    <row r="720" ht="15" customHeight="1">
      <c r="A720" t="inlineStr">
        <is>
          <t>A 59368-2022</t>
        </is>
      </c>
      <c r="B720" s="1" t="n">
        <v>44904.94824074074</v>
      </c>
      <c r="C720" s="1" t="n">
        <v>46002</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6801-2023</t>
        </is>
      </c>
      <c r="B721" s="1" t="n">
        <v>44966.95328703704</v>
      </c>
      <c r="C721" s="1" t="n">
        <v>46002</v>
      </c>
      <c r="D721" t="inlineStr">
        <is>
          <t>JÄMTLANDS LÄN</t>
        </is>
      </c>
      <c r="E721" t="inlineStr">
        <is>
          <t>RAGUNDA</t>
        </is>
      </c>
      <c r="F721" t="inlineStr">
        <is>
          <t>SCA</t>
        </is>
      </c>
      <c r="G721" t="n">
        <v>10.6</v>
      </c>
      <c r="H721" t="n">
        <v>0</v>
      </c>
      <c r="I721" t="n">
        <v>0</v>
      </c>
      <c r="J721" t="n">
        <v>0</v>
      </c>
      <c r="K721" t="n">
        <v>0</v>
      </c>
      <c r="L721" t="n">
        <v>0</v>
      </c>
      <c r="M721" t="n">
        <v>0</v>
      </c>
      <c r="N721" t="n">
        <v>0</v>
      </c>
      <c r="O721" t="n">
        <v>0</v>
      </c>
      <c r="P721" t="n">
        <v>0</v>
      </c>
      <c r="Q721" t="n">
        <v>0</v>
      </c>
      <c r="R721" s="2" t="inlineStr"/>
    </row>
    <row r="722" ht="15" customHeight="1">
      <c r="A722" t="inlineStr">
        <is>
          <t>A 36541-2025</t>
        </is>
      </c>
      <c r="B722" s="1" t="n">
        <v>45869.65666666667</v>
      </c>
      <c r="C722" s="1" t="n">
        <v>46002</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36544-2025</t>
        </is>
      </c>
      <c r="B723" s="1" t="n">
        <v>45869.67744212963</v>
      </c>
      <c r="C723" s="1" t="n">
        <v>46002</v>
      </c>
      <c r="D723" t="inlineStr">
        <is>
          <t>JÄMTLANDS LÄN</t>
        </is>
      </c>
      <c r="E723" t="inlineStr">
        <is>
          <t>RAGUNDA</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41656-2023</t>
        </is>
      </c>
      <c r="B724" s="1" t="n">
        <v>45175</v>
      </c>
      <c r="C724" s="1" t="n">
        <v>46002</v>
      </c>
      <c r="D724" t="inlineStr">
        <is>
          <t>JÄMTLANDS LÄN</t>
        </is>
      </c>
      <c r="E724" t="inlineStr">
        <is>
          <t>RAGUNDA</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51646-2023</t>
        </is>
      </c>
      <c r="B725" s="1" t="n">
        <v>45215</v>
      </c>
      <c r="C725" s="1" t="n">
        <v>46002</v>
      </c>
      <c r="D725" t="inlineStr">
        <is>
          <t>JÄMTLANDS LÄN</t>
        </is>
      </c>
      <c r="E725" t="inlineStr">
        <is>
          <t>RAGUNDA</t>
        </is>
      </c>
      <c r="G725" t="n">
        <v>0.7</v>
      </c>
      <c r="H725" t="n">
        <v>0</v>
      </c>
      <c r="I725" t="n">
        <v>0</v>
      </c>
      <c r="J725" t="n">
        <v>0</v>
      </c>
      <c r="K725" t="n">
        <v>0</v>
      </c>
      <c r="L725" t="n">
        <v>0</v>
      </c>
      <c r="M725" t="n">
        <v>0</v>
      </c>
      <c r="N725" t="n">
        <v>0</v>
      </c>
      <c r="O725" t="n">
        <v>0</v>
      </c>
      <c r="P725" t="n">
        <v>0</v>
      </c>
      <c r="Q725" t="n">
        <v>0</v>
      </c>
      <c r="R725" s="2" t="inlineStr"/>
    </row>
    <row r="726" ht="15" customHeight="1">
      <c r="A726" t="inlineStr">
        <is>
          <t>A 47229-2025</t>
        </is>
      </c>
      <c r="B726" s="1" t="n">
        <v>45930.40166666666</v>
      </c>
      <c r="C726" s="1" t="n">
        <v>46002</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55797-2025</t>
        </is>
      </c>
      <c r="B727" s="1" t="n">
        <v>45972.65693287037</v>
      </c>
      <c r="C727" s="1" t="n">
        <v>46002</v>
      </c>
      <c r="D727" t="inlineStr">
        <is>
          <t>JÄMTLANDS LÄN</t>
        </is>
      </c>
      <c r="E727" t="inlineStr">
        <is>
          <t>RAGUNDA</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37268-2024</t>
        </is>
      </c>
      <c r="B728" s="1" t="n">
        <v>45540.38586805556</v>
      </c>
      <c r="C728" s="1" t="n">
        <v>46002</v>
      </c>
      <c r="D728" t="inlineStr">
        <is>
          <t>JÄMTLANDS LÄN</t>
        </is>
      </c>
      <c r="E728" t="inlineStr">
        <is>
          <t>RAGUNDA</t>
        </is>
      </c>
      <c r="F728" t="inlineStr">
        <is>
          <t>SCA</t>
        </is>
      </c>
      <c r="G728" t="n">
        <v>6.3</v>
      </c>
      <c r="H728" t="n">
        <v>0</v>
      </c>
      <c r="I728" t="n">
        <v>0</v>
      </c>
      <c r="J728" t="n">
        <v>0</v>
      </c>
      <c r="K728" t="n">
        <v>0</v>
      </c>
      <c r="L728" t="n">
        <v>0</v>
      </c>
      <c r="M728" t="n">
        <v>0</v>
      </c>
      <c r="N728" t="n">
        <v>0</v>
      </c>
      <c r="O728" t="n">
        <v>0</v>
      </c>
      <c r="P728" t="n">
        <v>0</v>
      </c>
      <c r="Q728" t="n">
        <v>0</v>
      </c>
      <c r="R728" s="2" t="inlineStr"/>
    </row>
    <row r="729" ht="15" customHeight="1">
      <c r="A729" t="inlineStr">
        <is>
          <t>A 36553-2025</t>
        </is>
      </c>
      <c r="B729" s="1" t="n">
        <v>45870.34439814815</v>
      </c>
      <c r="C729" s="1" t="n">
        <v>46002</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47748-2025</t>
        </is>
      </c>
      <c r="B730" s="1" t="n">
        <v>45931.65693287037</v>
      </c>
      <c r="C730" s="1" t="n">
        <v>46002</v>
      </c>
      <c r="D730" t="inlineStr">
        <is>
          <t>JÄMTLANDS LÄN</t>
        </is>
      </c>
      <c r="E730" t="inlineStr">
        <is>
          <t>RAGUNDA</t>
        </is>
      </c>
      <c r="F730" t="inlineStr">
        <is>
          <t>SCA</t>
        </is>
      </c>
      <c r="G730" t="n">
        <v>8.6</v>
      </c>
      <c r="H730" t="n">
        <v>0</v>
      </c>
      <c r="I730" t="n">
        <v>0</v>
      </c>
      <c r="J730" t="n">
        <v>0</v>
      </c>
      <c r="K730" t="n">
        <v>0</v>
      </c>
      <c r="L730" t="n">
        <v>0</v>
      </c>
      <c r="M730" t="n">
        <v>0</v>
      </c>
      <c r="N730" t="n">
        <v>0</v>
      </c>
      <c r="O730" t="n">
        <v>0</v>
      </c>
      <c r="P730" t="n">
        <v>0</v>
      </c>
      <c r="Q730" t="n">
        <v>0</v>
      </c>
      <c r="R730" s="2" t="inlineStr"/>
    </row>
    <row r="731" ht="15" customHeight="1">
      <c r="A731" t="inlineStr">
        <is>
          <t>A 14512-2025</t>
        </is>
      </c>
      <c r="B731" s="1" t="n">
        <v>45741.63659722222</v>
      </c>
      <c r="C731" s="1" t="n">
        <v>46002</v>
      </c>
      <c r="D731" t="inlineStr">
        <is>
          <t>JÄMTLANDS LÄN</t>
        </is>
      </c>
      <c r="E731" t="inlineStr">
        <is>
          <t>RAGUNDA</t>
        </is>
      </c>
      <c r="F731" t="inlineStr">
        <is>
          <t>SCA</t>
        </is>
      </c>
      <c r="G731" t="n">
        <v>8.9</v>
      </c>
      <c r="H731" t="n">
        <v>0</v>
      </c>
      <c r="I731" t="n">
        <v>0</v>
      </c>
      <c r="J731" t="n">
        <v>0</v>
      </c>
      <c r="K731" t="n">
        <v>0</v>
      </c>
      <c r="L731" t="n">
        <v>0</v>
      </c>
      <c r="M731" t="n">
        <v>0</v>
      </c>
      <c r="N731" t="n">
        <v>0</v>
      </c>
      <c r="O731" t="n">
        <v>0</v>
      </c>
      <c r="P731" t="n">
        <v>0</v>
      </c>
      <c r="Q731" t="n">
        <v>0</v>
      </c>
      <c r="R731" s="2" t="inlineStr"/>
    </row>
    <row r="732" ht="15" customHeight="1">
      <c r="A732" t="inlineStr">
        <is>
          <t>A 55897-2025</t>
        </is>
      </c>
      <c r="B732" s="1" t="n">
        <v>45973.38600694444</v>
      </c>
      <c r="C732" s="1" t="n">
        <v>46002</v>
      </c>
      <c r="D732" t="inlineStr">
        <is>
          <t>JÄMTLANDS LÄN</t>
        </is>
      </c>
      <c r="E732" t="inlineStr">
        <is>
          <t>RAGUNDA</t>
        </is>
      </c>
      <c r="F732" t="inlineStr">
        <is>
          <t>SCA</t>
        </is>
      </c>
      <c r="G732" t="n">
        <v>14.1</v>
      </c>
      <c r="H732" t="n">
        <v>0</v>
      </c>
      <c r="I732" t="n">
        <v>0</v>
      </c>
      <c r="J732" t="n">
        <v>0</v>
      </c>
      <c r="K732" t="n">
        <v>0</v>
      </c>
      <c r="L732" t="n">
        <v>0</v>
      </c>
      <c r="M732" t="n">
        <v>0</v>
      </c>
      <c r="N732" t="n">
        <v>0</v>
      </c>
      <c r="O732" t="n">
        <v>0</v>
      </c>
      <c r="P732" t="n">
        <v>0</v>
      </c>
      <c r="Q732" t="n">
        <v>0</v>
      </c>
      <c r="R732" s="2" t="inlineStr"/>
    </row>
    <row r="733" ht="15" customHeight="1">
      <c r="A733" t="inlineStr">
        <is>
          <t>A 21332-2025</t>
        </is>
      </c>
      <c r="B733" s="1" t="n">
        <v>45782.36506944444</v>
      </c>
      <c r="C733" s="1" t="n">
        <v>46002</v>
      </c>
      <c r="D733" t="inlineStr">
        <is>
          <t>JÄMTLANDS LÄN</t>
        </is>
      </c>
      <c r="E733" t="inlineStr">
        <is>
          <t>RAGUNDA</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50649-2022</t>
        </is>
      </c>
      <c r="B734" s="1" t="n">
        <v>44866</v>
      </c>
      <c r="C734" s="1" t="n">
        <v>46002</v>
      </c>
      <c r="D734" t="inlineStr">
        <is>
          <t>JÄMTLANDS LÄN</t>
        </is>
      </c>
      <c r="E734" t="inlineStr">
        <is>
          <t>RAGUNDA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59759-2024</t>
        </is>
      </c>
      <c r="B735" s="1" t="n">
        <v>45639.55240740741</v>
      </c>
      <c r="C735" s="1" t="n">
        <v>46002</v>
      </c>
      <c r="D735" t="inlineStr">
        <is>
          <t>JÄMTLANDS LÄN</t>
        </is>
      </c>
      <c r="E735" t="inlineStr">
        <is>
          <t>RAGUNDA</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35537-2021</t>
        </is>
      </c>
      <c r="B736" s="1" t="n">
        <v>44384</v>
      </c>
      <c r="C736" s="1" t="n">
        <v>46002</v>
      </c>
      <c r="D736" t="inlineStr">
        <is>
          <t>JÄMTLANDS LÄN</t>
        </is>
      </c>
      <c r="E736" t="inlineStr">
        <is>
          <t>RAGUNDA</t>
        </is>
      </c>
      <c r="G736" t="n">
        <v>3.1</v>
      </c>
      <c r="H736" t="n">
        <v>0</v>
      </c>
      <c r="I736" t="n">
        <v>0</v>
      </c>
      <c r="J736" t="n">
        <v>0</v>
      </c>
      <c r="K736" t="n">
        <v>0</v>
      </c>
      <c r="L736" t="n">
        <v>0</v>
      </c>
      <c r="M736" t="n">
        <v>0</v>
      </c>
      <c r="N736" t="n">
        <v>0</v>
      </c>
      <c r="O736" t="n">
        <v>0</v>
      </c>
      <c r="P736" t="n">
        <v>0</v>
      </c>
      <c r="Q736" t="n">
        <v>0</v>
      </c>
      <c r="R736" s="2" t="inlineStr"/>
    </row>
    <row r="737" ht="15" customHeight="1">
      <c r="A737" t="inlineStr">
        <is>
          <t>A 2819-2023</t>
        </is>
      </c>
      <c r="B737" s="1" t="n">
        <v>44944</v>
      </c>
      <c r="C737" s="1" t="n">
        <v>46002</v>
      </c>
      <c r="D737" t="inlineStr">
        <is>
          <t>JÄMTLANDS LÄN</t>
        </is>
      </c>
      <c r="E737" t="inlineStr">
        <is>
          <t>RAGUNDA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56170-2025</t>
        </is>
      </c>
      <c r="B738" s="1" t="n">
        <v>45974.39398148148</v>
      </c>
      <c r="C738" s="1" t="n">
        <v>46002</v>
      </c>
      <c r="D738" t="inlineStr">
        <is>
          <t>JÄMTLANDS LÄN</t>
        </is>
      </c>
      <c r="E738" t="inlineStr">
        <is>
          <t>RAGUNDA</t>
        </is>
      </c>
      <c r="G738" t="n">
        <v>2</v>
      </c>
      <c r="H738" t="n">
        <v>0</v>
      </c>
      <c r="I738" t="n">
        <v>0</v>
      </c>
      <c r="J738" t="n">
        <v>0</v>
      </c>
      <c r="K738" t="n">
        <v>0</v>
      </c>
      <c r="L738" t="n">
        <v>0</v>
      </c>
      <c r="M738" t="n">
        <v>0</v>
      </c>
      <c r="N738" t="n">
        <v>0</v>
      </c>
      <c r="O738" t="n">
        <v>0</v>
      </c>
      <c r="P738" t="n">
        <v>0</v>
      </c>
      <c r="Q738" t="n">
        <v>0</v>
      </c>
      <c r="R738" s="2" t="inlineStr"/>
    </row>
    <row r="739" ht="15" customHeight="1">
      <c r="A739" t="inlineStr">
        <is>
          <t>A 44536-2022</t>
        </is>
      </c>
      <c r="B739" s="1" t="n">
        <v>44839</v>
      </c>
      <c r="C739" s="1" t="n">
        <v>46002</v>
      </c>
      <c r="D739" t="inlineStr">
        <is>
          <t>JÄMTLANDS LÄN</t>
        </is>
      </c>
      <c r="E739" t="inlineStr">
        <is>
          <t>RAGUNDA</t>
        </is>
      </c>
      <c r="G739" t="n">
        <v>4</v>
      </c>
      <c r="H739" t="n">
        <v>0</v>
      </c>
      <c r="I739" t="n">
        <v>0</v>
      </c>
      <c r="J739" t="n">
        <v>0</v>
      </c>
      <c r="K739" t="n">
        <v>0</v>
      </c>
      <c r="L739" t="n">
        <v>0</v>
      </c>
      <c r="M739" t="n">
        <v>0</v>
      </c>
      <c r="N739" t="n">
        <v>0</v>
      </c>
      <c r="O739" t="n">
        <v>0</v>
      </c>
      <c r="P739" t="n">
        <v>0</v>
      </c>
      <c r="Q739" t="n">
        <v>0</v>
      </c>
      <c r="R739" s="2" t="inlineStr"/>
    </row>
    <row r="740" ht="15" customHeight="1">
      <c r="A740" t="inlineStr">
        <is>
          <t>A 32075-2025</t>
        </is>
      </c>
      <c r="B740" s="1" t="n">
        <v>45835.4506712963</v>
      </c>
      <c r="C740" s="1" t="n">
        <v>46002</v>
      </c>
      <c r="D740" t="inlineStr">
        <is>
          <t>JÄMTLANDS LÄN</t>
        </is>
      </c>
      <c r="E740" t="inlineStr">
        <is>
          <t>RAGUNDA</t>
        </is>
      </c>
      <c r="G740" t="n">
        <v>1.1</v>
      </c>
      <c r="H740" t="n">
        <v>0</v>
      </c>
      <c r="I740" t="n">
        <v>0</v>
      </c>
      <c r="J740" t="n">
        <v>0</v>
      </c>
      <c r="K740" t="n">
        <v>0</v>
      </c>
      <c r="L740" t="n">
        <v>0</v>
      </c>
      <c r="M740" t="n">
        <v>0</v>
      </c>
      <c r="N740" t="n">
        <v>0</v>
      </c>
      <c r="O740" t="n">
        <v>0</v>
      </c>
      <c r="P740" t="n">
        <v>0</v>
      </c>
      <c r="Q740" t="n">
        <v>0</v>
      </c>
      <c r="R740" s="2" t="inlineStr"/>
    </row>
    <row r="741" ht="15" customHeight="1">
      <c r="A741" t="inlineStr">
        <is>
          <t>A 56435-2025</t>
        </is>
      </c>
      <c r="B741" s="1" t="n">
        <v>45975.34679398148</v>
      </c>
      <c r="C741" s="1" t="n">
        <v>46002</v>
      </c>
      <c r="D741" t="inlineStr">
        <is>
          <t>JÄMTLANDS LÄN</t>
        </is>
      </c>
      <c r="E741" t="inlineStr">
        <is>
          <t>RAGUNDA</t>
        </is>
      </c>
      <c r="F741" t="inlineStr">
        <is>
          <t>SCA</t>
        </is>
      </c>
      <c r="G741" t="n">
        <v>9.199999999999999</v>
      </c>
      <c r="H741" t="n">
        <v>0</v>
      </c>
      <c r="I741" t="n">
        <v>0</v>
      </c>
      <c r="J741" t="n">
        <v>0</v>
      </c>
      <c r="K741" t="n">
        <v>0</v>
      </c>
      <c r="L741" t="n">
        <v>0</v>
      </c>
      <c r="M741" t="n">
        <v>0</v>
      </c>
      <c r="N741" t="n">
        <v>0</v>
      </c>
      <c r="O741" t="n">
        <v>0</v>
      </c>
      <c r="P741" t="n">
        <v>0</v>
      </c>
      <c r="Q741" t="n">
        <v>0</v>
      </c>
      <c r="R741" s="2" t="inlineStr"/>
      <c r="U741">
        <f>HYPERLINK("https://klasma.github.io/Logging_2303/knärot/A 56435-2025 karta knärot.png", "A 56435-2025")</f>
        <v/>
      </c>
      <c r="V741">
        <f>HYPERLINK("https://klasma.github.io/Logging_2303/klagomål/A 56435-2025 FSC-klagomål.docx", "A 56435-2025")</f>
        <v/>
      </c>
      <c r="W741">
        <f>HYPERLINK("https://klasma.github.io/Logging_2303/klagomålsmail/A 56435-2025 FSC-klagomål mail.docx", "A 56435-2025")</f>
        <v/>
      </c>
      <c r="X741">
        <f>HYPERLINK("https://klasma.github.io/Logging_2303/tillsyn/A 56435-2025 tillsynsbegäran.docx", "A 56435-2025")</f>
        <v/>
      </c>
      <c r="Y741">
        <f>HYPERLINK("https://klasma.github.io/Logging_2303/tillsynsmail/A 56435-2025 tillsynsbegäran mail.docx", "A 56435-2025")</f>
        <v/>
      </c>
    </row>
    <row r="742" ht="15" customHeight="1">
      <c r="A742" t="inlineStr">
        <is>
          <t>A 32874-2025</t>
        </is>
      </c>
      <c r="B742" s="1" t="n">
        <v>45839</v>
      </c>
      <c r="C742" s="1" t="n">
        <v>46002</v>
      </c>
      <c r="D742" t="inlineStr">
        <is>
          <t>JÄMTLANDS LÄN</t>
        </is>
      </c>
      <c r="E742" t="inlineStr">
        <is>
          <t>RAGUNDA</t>
        </is>
      </c>
      <c r="G742" t="n">
        <v>2.3</v>
      </c>
      <c r="H742" t="n">
        <v>0</v>
      </c>
      <c r="I742" t="n">
        <v>0</v>
      </c>
      <c r="J742" t="n">
        <v>0</v>
      </c>
      <c r="K742" t="n">
        <v>0</v>
      </c>
      <c r="L742" t="n">
        <v>0</v>
      </c>
      <c r="M742" t="n">
        <v>0</v>
      </c>
      <c r="N742" t="n">
        <v>0</v>
      </c>
      <c r="O742" t="n">
        <v>0</v>
      </c>
      <c r="P742" t="n">
        <v>0</v>
      </c>
      <c r="Q742" t="n">
        <v>0</v>
      </c>
      <c r="R742" s="2" t="inlineStr"/>
    </row>
    <row r="743" ht="15" customHeight="1">
      <c r="A743" t="inlineStr">
        <is>
          <t>A 36994-2025</t>
        </is>
      </c>
      <c r="B743" s="1" t="n">
        <v>45874.67746527777</v>
      </c>
      <c r="C743" s="1" t="n">
        <v>46002</v>
      </c>
      <c r="D743" t="inlineStr">
        <is>
          <t>JÄMTLANDS LÄN</t>
        </is>
      </c>
      <c r="E743" t="inlineStr">
        <is>
          <t>RAGUNDA</t>
        </is>
      </c>
      <c r="F743" t="inlineStr">
        <is>
          <t>SCA</t>
        </is>
      </c>
      <c r="G743" t="n">
        <v>7.2</v>
      </c>
      <c r="H743" t="n">
        <v>0</v>
      </c>
      <c r="I743" t="n">
        <v>0</v>
      </c>
      <c r="J743" t="n">
        <v>0</v>
      </c>
      <c r="K743" t="n">
        <v>0</v>
      </c>
      <c r="L743" t="n">
        <v>0</v>
      </c>
      <c r="M743" t="n">
        <v>0</v>
      </c>
      <c r="N743" t="n">
        <v>0</v>
      </c>
      <c r="O743" t="n">
        <v>0</v>
      </c>
      <c r="P743" t="n">
        <v>0</v>
      </c>
      <c r="Q743" t="n">
        <v>0</v>
      </c>
      <c r="R743" s="2" t="inlineStr"/>
    </row>
    <row r="744" ht="15" customHeight="1">
      <c r="A744" t="inlineStr">
        <is>
          <t>A 30459-2021</t>
        </is>
      </c>
      <c r="B744" s="1" t="n">
        <v>44362</v>
      </c>
      <c r="C744" s="1" t="n">
        <v>46002</v>
      </c>
      <c r="D744" t="inlineStr">
        <is>
          <t>JÄMTLANDS LÄN</t>
        </is>
      </c>
      <c r="E744" t="inlineStr">
        <is>
          <t>RAGUNDA</t>
        </is>
      </c>
      <c r="G744" t="n">
        <v>1</v>
      </c>
      <c r="H744" t="n">
        <v>0</v>
      </c>
      <c r="I744" t="n">
        <v>0</v>
      </c>
      <c r="J744" t="n">
        <v>0</v>
      </c>
      <c r="K744" t="n">
        <v>0</v>
      </c>
      <c r="L744" t="n">
        <v>0</v>
      </c>
      <c r="M744" t="n">
        <v>0</v>
      </c>
      <c r="N744" t="n">
        <v>0</v>
      </c>
      <c r="O744" t="n">
        <v>0</v>
      </c>
      <c r="P744" t="n">
        <v>0</v>
      </c>
      <c r="Q744" t="n">
        <v>0</v>
      </c>
      <c r="R744" s="2" t="inlineStr"/>
    </row>
    <row r="745" ht="15" customHeight="1">
      <c r="A745" t="inlineStr">
        <is>
          <t>A 37008-2025</t>
        </is>
      </c>
      <c r="B745" s="1" t="n">
        <v>45874.69844907407</v>
      </c>
      <c r="C745" s="1" t="n">
        <v>46002</v>
      </c>
      <c r="D745" t="inlineStr">
        <is>
          <t>JÄMTLANDS LÄN</t>
        </is>
      </c>
      <c r="E745" t="inlineStr">
        <is>
          <t>RAGUNDA</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36947-2025</t>
        </is>
      </c>
      <c r="B746" s="1" t="n">
        <v>45874.59496527778</v>
      </c>
      <c r="C746" s="1" t="n">
        <v>46002</v>
      </c>
      <c r="D746" t="inlineStr">
        <is>
          <t>JÄMTLANDS LÄN</t>
        </is>
      </c>
      <c r="E746" t="inlineStr">
        <is>
          <t>RAGUNDA</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37543-2023</t>
        </is>
      </c>
      <c r="B747" s="1" t="n">
        <v>45158.94231481481</v>
      </c>
      <c r="C747" s="1" t="n">
        <v>46002</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37292-2025</t>
        </is>
      </c>
      <c r="B748" s="1" t="n">
        <v>45876.53188657408</v>
      </c>
      <c r="C748" s="1" t="n">
        <v>46002</v>
      </c>
      <c r="D748" t="inlineStr">
        <is>
          <t>JÄMTLANDS LÄN</t>
        </is>
      </c>
      <c r="E748" t="inlineStr">
        <is>
          <t>RAGUNDA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7668-2025</t>
        </is>
      </c>
      <c r="B749" s="1" t="n">
        <v>45706.34450231482</v>
      </c>
      <c r="C749" s="1" t="n">
        <v>46002</v>
      </c>
      <c r="D749" t="inlineStr">
        <is>
          <t>JÄMTLANDS LÄN</t>
        </is>
      </c>
      <c r="E749" t="inlineStr">
        <is>
          <t>RAGUNDA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36046-2023</t>
        </is>
      </c>
      <c r="B750" s="1" t="n">
        <v>45148</v>
      </c>
      <c r="C750" s="1" t="n">
        <v>46002</v>
      </c>
      <c r="D750" t="inlineStr">
        <is>
          <t>JÄMTLANDS LÄN</t>
        </is>
      </c>
      <c r="E750" t="inlineStr">
        <is>
          <t>RAGUNDA</t>
        </is>
      </c>
      <c r="G750" t="n">
        <v>1.9</v>
      </c>
      <c r="H750" t="n">
        <v>0</v>
      </c>
      <c r="I750" t="n">
        <v>0</v>
      </c>
      <c r="J750" t="n">
        <v>0</v>
      </c>
      <c r="K750" t="n">
        <v>0</v>
      </c>
      <c r="L750" t="n">
        <v>0</v>
      </c>
      <c r="M750" t="n">
        <v>0</v>
      </c>
      <c r="N750" t="n">
        <v>0</v>
      </c>
      <c r="O750" t="n">
        <v>0</v>
      </c>
      <c r="P750" t="n">
        <v>0</v>
      </c>
      <c r="Q750" t="n">
        <v>0</v>
      </c>
      <c r="R750" s="2" t="inlineStr"/>
    </row>
    <row r="751" ht="15" customHeight="1">
      <c r="A751" t="inlineStr">
        <is>
          <t>A 48748-2025</t>
        </is>
      </c>
      <c r="B751" s="1" t="n">
        <v>45936.67912037037</v>
      </c>
      <c r="C751" s="1" t="n">
        <v>46002</v>
      </c>
      <c r="D751" t="inlineStr">
        <is>
          <t>JÄMTLANDS LÄN</t>
        </is>
      </c>
      <c r="E751" t="inlineStr">
        <is>
          <t>RAGUNDA</t>
        </is>
      </c>
      <c r="F751" t="inlineStr">
        <is>
          <t>SCA</t>
        </is>
      </c>
      <c r="G751" t="n">
        <v>11.1</v>
      </c>
      <c r="H751" t="n">
        <v>0</v>
      </c>
      <c r="I751" t="n">
        <v>0</v>
      </c>
      <c r="J751" t="n">
        <v>0</v>
      </c>
      <c r="K751" t="n">
        <v>0</v>
      </c>
      <c r="L751" t="n">
        <v>0</v>
      </c>
      <c r="M751" t="n">
        <v>0</v>
      </c>
      <c r="N751" t="n">
        <v>0</v>
      </c>
      <c r="O751" t="n">
        <v>0</v>
      </c>
      <c r="P751" t="n">
        <v>0</v>
      </c>
      <c r="Q751" t="n">
        <v>0</v>
      </c>
      <c r="R751" s="2" t="inlineStr"/>
    </row>
    <row r="752" ht="15" customHeight="1">
      <c r="A752" t="inlineStr">
        <is>
          <t>A 57117-2025</t>
        </is>
      </c>
      <c r="B752" s="1" t="n">
        <v>45978</v>
      </c>
      <c r="C752" s="1" t="n">
        <v>46002</v>
      </c>
      <c r="D752" t="inlineStr">
        <is>
          <t>JÄMTLANDS LÄN</t>
        </is>
      </c>
      <c r="E752" t="inlineStr">
        <is>
          <t>RAGUNDA</t>
        </is>
      </c>
      <c r="G752" t="n">
        <v>4.2</v>
      </c>
      <c r="H752" t="n">
        <v>0</v>
      </c>
      <c r="I752" t="n">
        <v>0</v>
      </c>
      <c r="J752" t="n">
        <v>0</v>
      </c>
      <c r="K752" t="n">
        <v>0</v>
      </c>
      <c r="L752" t="n">
        <v>0</v>
      </c>
      <c r="M752" t="n">
        <v>0</v>
      </c>
      <c r="N752" t="n">
        <v>0</v>
      </c>
      <c r="O752" t="n">
        <v>0</v>
      </c>
      <c r="P752" t="n">
        <v>0</v>
      </c>
      <c r="Q752" t="n">
        <v>0</v>
      </c>
      <c r="R752" s="2" t="inlineStr"/>
    </row>
    <row r="753" ht="15" customHeight="1">
      <c r="A753" t="inlineStr">
        <is>
          <t>A 48528-2025</t>
        </is>
      </c>
      <c r="B753" s="1" t="n">
        <v>45936.40758101852</v>
      </c>
      <c r="C753" s="1" t="n">
        <v>46002</v>
      </c>
      <c r="D753" t="inlineStr">
        <is>
          <t>JÄMTLANDS LÄN</t>
        </is>
      </c>
      <c r="E753" t="inlineStr">
        <is>
          <t>RAGUNDA</t>
        </is>
      </c>
      <c r="F753" t="inlineStr">
        <is>
          <t>SCA</t>
        </is>
      </c>
      <c r="G753" t="n">
        <v>6.8</v>
      </c>
      <c r="H753" t="n">
        <v>0</v>
      </c>
      <c r="I753" t="n">
        <v>0</v>
      </c>
      <c r="J753" t="n">
        <v>0</v>
      </c>
      <c r="K753" t="n">
        <v>0</v>
      </c>
      <c r="L753" t="n">
        <v>0</v>
      </c>
      <c r="M753" t="n">
        <v>0</v>
      </c>
      <c r="N753" t="n">
        <v>0</v>
      </c>
      <c r="O753" t="n">
        <v>0</v>
      </c>
      <c r="P753" t="n">
        <v>0</v>
      </c>
      <c r="Q753" t="n">
        <v>0</v>
      </c>
      <c r="R753" s="2" t="inlineStr"/>
    </row>
    <row r="754" ht="15" customHeight="1">
      <c r="A754" t="inlineStr">
        <is>
          <t>A 48742-2025</t>
        </is>
      </c>
      <c r="B754" s="1" t="n">
        <v>45936.67810185185</v>
      </c>
      <c r="C754" s="1" t="n">
        <v>46002</v>
      </c>
      <c r="D754" t="inlineStr">
        <is>
          <t>JÄMTLANDS LÄN</t>
        </is>
      </c>
      <c r="E754" t="inlineStr">
        <is>
          <t>RAGUNDA</t>
        </is>
      </c>
      <c r="F754" t="inlineStr">
        <is>
          <t>SCA</t>
        </is>
      </c>
      <c r="G754" t="n">
        <v>8.9</v>
      </c>
      <c r="H754" t="n">
        <v>0</v>
      </c>
      <c r="I754" t="n">
        <v>0</v>
      </c>
      <c r="J754" t="n">
        <v>0</v>
      </c>
      <c r="K754" t="n">
        <v>0</v>
      </c>
      <c r="L754" t="n">
        <v>0</v>
      </c>
      <c r="M754" t="n">
        <v>0</v>
      </c>
      <c r="N754" t="n">
        <v>0</v>
      </c>
      <c r="O754" t="n">
        <v>0</v>
      </c>
      <c r="P754" t="n">
        <v>0</v>
      </c>
      <c r="Q754" t="n">
        <v>0</v>
      </c>
      <c r="R754" s="2" t="inlineStr"/>
    </row>
    <row r="755" ht="15" customHeight="1">
      <c r="A755" t="inlineStr">
        <is>
          <t>A 56751-2025</t>
        </is>
      </c>
      <c r="B755" s="1" t="n">
        <v>45978.36538194444</v>
      </c>
      <c r="C755" s="1" t="n">
        <v>46002</v>
      </c>
      <c r="D755" t="inlineStr">
        <is>
          <t>JÄMTLANDS LÄN</t>
        </is>
      </c>
      <c r="E755" t="inlineStr">
        <is>
          <t>RAGUNDA</t>
        </is>
      </c>
      <c r="F755" t="inlineStr">
        <is>
          <t>SCA</t>
        </is>
      </c>
      <c r="G755" t="n">
        <v>34.5</v>
      </c>
      <c r="H755" t="n">
        <v>0</v>
      </c>
      <c r="I755" t="n">
        <v>0</v>
      </c>
      <c r="J755" t="n">
        <v>0</v>
      </c>
      <c r="K755" t="n">
        <v>0</v>
      </c>
      <c r="L755" t="n">
        <v>0</v>
      </c>
      <c r="M755" t="n">
        <v>0</v>
      </c>
      <c r="N755" t="n">
        <v>0</v>
      </c>
      <c r="O755" t="n">
        <v>0</v>
      </c>
      <c r="P755" t="n">
        <v>0</v>
      </c>
      <c r="Q755" t="n">
        <v>0</v>
      </c>
      <c r="R755" s="2" t="inlineStr"/>
    </row>
    <row r="756" ht="15" customHeight="1">
      <c r="A756" t="inlineStr">
        <is>
          <t>A 57184-2025</t>
        </is>
      </c>
      <c r="B756" s="1" t="n">
        <v>45979.57361111111</v>
      </c>
      <c r="C756" s="1" t="n">
        <v>46002</v>
      </c>
      <c r="D756" t="inlineStr">
        <is>
          <t>JÄMTLANDS LÄN</t>
        </is>
      </c>
      <c r="E756" t="inlineStr">
        <is>
          <t>RAGUNDA</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56806-2025</t>
        </is>
      </c>
      <c r="B757" s="1" t="n">
        <v>45978.44842592593</v>
      </c>
      <c r="C757" s="1" t="n">
        <v>46002</v>
      </c>
      <c r="D757" t="inlineStr">
        <is>
          <t>JÄMTLANDS LÄN</t>
        </is>
      </c>
      <c r="E757" t="inlineStr">
        <is>
          <t>RAGUNDA</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57111-2025</t>
        </is>
      </c>
      <c r="B758" s="1" t="n">
        <v>45978</v>
      </c>
      <c r="C758" s="1" t="n">
        <v>46002</v>
      </c>
      <c r="D758" t="inlineStr">
        <is>
          <t>JÄMTLANDS LÄN</t>
        </is>
      </c>
      <c r="E758" t="inlineStr">
        <is>
          <t>RAGUNDA</t>
        </is>
      </c>
      <c r="G758" t="n">
        <v>2.3</v>
      </c>
      <c r="H758" t="n">
        <v>0</v>
      </c>
      <c r="I758" t="n">
        <v>0</v>
      </c>
      <c r="J758" t="n">
        <v>0</v>
      </c>
      <c r="K758" t="n">
        <v>0</v>
      </c>
      <c r="L758" t="n">
        <v>0</v>
      </c>
      <c r="M758" t="n">
        <v>0</v>
      </c>
      <c r="N758" t="n">
        <v>0</v>
      </c>
      <c r="O758" t="n">
        <v>0</v>
      </c>
      <c r="P758" t="n">
        <v>0</v>
      </c>
      <c r="Q758" t="n">
        <v>0</v>
      </c>
      <c r="R758" s="2" t="inlineStr"/>
    </row>
    <row r="759" ht="15" customHeight="1">
      <c r="A759" t="inlineStr">
        <is>
          <t>A 48746-2025</t>
        </is>
      </c>
      <c r="B759" s="1" t="n">
        <v>45936.67878472222</v>
      </c>
      <c r="C759" s="1" t="n">
        <v>46002</v>
      </c>
      <c r="D759" t="inlineStr">
        <is>
          <t>JÄMTLANDS LÄN</t>
        </is>
      </c>
      <c r="E759" t="inlineStr">
        <is>
          <t>RAGUNDA</t>
        </is>
      </c>
      <c r="F759" t="inlineStr">
        <is>
          <t>SCA</t>
        </is>
      </c>
      <c r="G759" t="n">
        <v>6.5</v>
      </c>
      <c r="H759" t="n">
        <v>0</v>
      </c>
      <c r="I759" t="n">
        <v>0</v>
      </c>
      <c r="J759" t="n">
        <v>0</v>
      </c>
      <c r="K759" t="n">
        <v>0</v>
      </c>
      <c r="L759" t="n">
        <v>0</v>
      </c>
      <c r="M759" t="n">
        <v>0</v>
      </c>
      <c r="N759" t="n">
        <v>0</v>
      </c>
      <c r="O759" t="n">
        <v>0</v>
      </c>
      <c r="P759" t="n">
        <v>0</v>
      </c>
      <c r="Q759" t="n">
        <v>0</v>
      </c>
      <c r="R759" s="2" t="inlineStr"/>
    </row>
    <row r="760" ht="15" customHeight="1">
      <c r="A760" t="inlineStr">
        <is>
          <t>A 8654-2024</t>
        </is>
      </c>
      <c r="B760" s="1" t="n">
        <v>45356.03784722222</v>
      </c>
      <c r="C760" s="1" t="n">
        <v>46002</v>
      </c>
      <c r="D760" t="inlineStr">
        <is>
          <t>JÄMTLANDS LÄN</t>
        </is>
      </c>
      <c r="E760" t="inlineStr">
        <is>
          <t>RAGUNDA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25304-2023</t>
        </is>
      </c>
      <c r="B761" s="1" t="n">
        <v>45086</v>
      </c>
      <c r="C761" s="1" t="n">
        <v>46002</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6902-2024</t>
        </is>
      </c>
      <c r="B762" s="1" t="n">
        <v>45342</v>
      </c>
      <c r="C762" s="1" t="n">
        <v>46002</v>
      </c>
      <c r="D762" t="inlineStr">
        <is>
          <t>JÄMTLANDS LÄN</t>
        </is>
      </c>
      <c r="E762" t="inlineStr">
        <is>
          <t>RAGUNDA</t>
        </is>
      </c>
      <c r="F762" t="inlineStr">
        <is>
          <t>SCA</t>
        </is>
      </c>
      <c r="G762" t="n">
        <v>18.7</v>
      </c>
      <c r="H762" t="n">
        <v>0</v>
      </c>
      <c r="I762" t="n">
        <v>0</v>
      </c>
      <c r="J762" t="n">
        <v>0</v>
      </c>
      <c r="K762" t="n">
        <v>0</v>
      </c>
      <c r="L762" t="n">
        <v>0</v>
      </c>
      <c r="M762" t="n">
        <v>0</v>
      </c>
      <c r="N762" t="n">
        <v>0</v>
      </c>
      <c r="O762" t="n">
        <v>0</v>
      </c>
      <c r="P762" t="n">
        <v>0</v>
      </c>
      <c r="Q762" t="n">
        <v>0</v>
      </c>
      <c r="R762" s="2" t="inlineStr"/>
    </row>
    <row r="763" ht="15" customHeight="1">
      <c r="A763" t="inlineStr">
        <is>
          <t>A 6905-2024</t>
        </is>
      </c>
      <c r="B763" s="1" t="n">
        <v>45342.9462037037</v>
      </c>
      <c r="C763" s="1" t="n">
        <v>46002</v>
      </c>
      <c r="D763" t="inlineStr">
        <is>
          <t>JÄMTLANDS LÄN</t>
        </is>
      </c>
      <c r="E763" t="inlineStr">
        <is>
          <t>RAGUNDA</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22731-2023</t>
        </is>
      </c>
      <c r="B764" s="1" t="n">
        <v>45071</v>
      </c>
      <c r="C764" s="1" t="n">
        <v>46002</v>
      </c>
      <c r="D764" t="inlineStr">
        <is>
          <t>JÄMTLANDS LÄN</t>
        </is>
      </c>
      <c r="E764" t="inlineStr">
        <is>
          <t>RAGUNDA</t>
        </is>
      </c>
      <c r="G764" t="n">
        <v>1.5</v>
      </c>
      <c r="H764" t="n">
        <v>0</v>
      </c>
      <c r="I764" t="n">
        <v>0</v>
      </c>
      <c r="J764" t="n">
        <v>0</v>
      </c>
      <c r="K764" t="n">
        <v>0</v>
      </c>
      <c r="L764" t="n">
        <v>0</v>
      </c>
      <c r="M764" t="n">
        <v>0</v>
      </c>
      <c r="N764" t="n">
        <v>0</v>
      </c>
      <c r="O764" t="n">
        <v>0</v>
      </c>
      <c r="P764" t="n">
        <v>0</v>
      </c>
      <c r="Q764" t="n">
        <v>0</v>
      </c>
      <c r="R764" s="2" t="inlineStr"/>
    </row>
    <row r="765" ht="15" customHeight="1">
      <c r="A765" t="inlineStr">
        <is>
          <t>A 9504-2025</t>
        </is>
      </c>
      <c r="B765" s="1" t="n">
        <v>45714</v>
      </c>
      <c r="C765" s="1" t="n">
        <v>46002</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11245-2025</t>
        </is>
      </c>
      <c r="B766" s="1" t="n">
        <v>45726.38575231482</v>
      </c>
      <c r="C766" s="1" t="n">
        <v>46002</v>
      </c>
      <c r="D766" t="inlineStr">
        <is>
          <t>JÄMTLANDS LÄN</t>
        </is>
      </c>
      <c r="E766" t="inlineStr">
        <is>
          <t>RAGUNDA</t>
        </is>
      </c>
      <c r="G766" t="n">
        <v>2.3</v>
      </c>
      <c r="H766" t="n">
        <v>0</v>
      </c>
      <c r="I766" t="n">
        <v>0</v>
      </c>
      <c r="J766" t="n">
        <v>0</v>
      </c>
      <c r="K766" t="n">
        <v>0</v>
      </c>
      <c r="L766" t="n">
        <v>0</v>
      </c>
      <c r="M766" t="n">
        <v>0</v>
      </c>
      <c r="N766" t="n">
        <v>0</v>
      </c>
      <c r="O766" t="n">
        <v>0</v>
      </c>
      <c r="P766" t="n">
        <v>0</v>
      </c>
      <c r="Q766" t="n">
        <v>0</v>
      </c>
      <c r="R766" s="2" t="inlineStr"/>
    </row>
    <row r="767" ht="15" customHeight="1">
      <c r="A767" t="inlineStr">
        <is>
          <t>A 61923-2024</t>
        </is>
      </c>
      <c r="B767" s="1" t="n">
        <v>45653.44836805556</v>
      </c>
      <c r="C767" s="1" t="n">
        <v>46002</v>
      </c>
      <c r="D767" t="inlineStr">
        <is>
          <t>JÄMTLANDS LÄN</t>
        </is>
      </c>
      <c r="E767" t="inlineStr">
        <is>
          <t>RAGUNDA</t>
        </is>
      </c>
      <c r="F767" t="inlineStr">
        <is>
          <t>SCA</t>
        </is>
      </c>
      <c r="G767" t="n">
        <v>11.1</v>
      </c>
      <c r="H767" t="n">
        <v>0</v>
      </c>
      <c r="I767" t="n">
        <v>0</v>
      </c>
      <c r="J767" t="n">
        <v>0</v>
      </c>
      <c r="K767" t="n">
        <v>0</v>
      </c>
      <c r="L767" t="n">
        <v>0</v>
      </c>
      <c r="M767" t="n">
        <v>0</v>
      </c>
      <c r="N767" t="n">
        <v>0</v>
      </c>
      <c r="O767" t="n">
        <v>0</v>
      </c>
      <c r="P767" t="n">
        <v>0</v>
      </c>
      <c r="Q767" t="n">
        <v>0</v>
      </c>
      <c r="R767" s="2" t="inlineStr"/>
    </row>
    <row r="768" ht="15" customHeight="1">
      <c r="A768" t="inlineStr">
        <is>
          <t>A 23567-2024</t>
        </is>
      </c>
      <c r="B768" s="1" t="n">
        <v>45453.95538194444</v>
      </c>
      <c r="C768" s="1" t="n">
        <v>46002</v>
      </c>
      <c r="D768" t="inlineStr">
        <is>
          <t>JÄMTLANDS LÄN</t>
        </is>
      </c>
      <c r="E768" t="inlineStr">
        <is>
          <t>RAGUNDA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19246-2023</t>
        </is>
      </c>
      <c r="B769" s="1" t="n">
        <v>45048.94340277778</v>
      </c>
      <c r="C769" s="1" t="n">
        <v>46002</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61109-2024</t>
        </is>
      </c>
      <c r="B770" s="1" t="n">
        <v>45645.55672453704</v>
      </c>
      <c r="C770" s="1" t="n">
        <v>46002</v>
      </c>
      <c r="D770" t="inlineStr">
        <is>
          <t>JÄMTLANDS LÄN</t>
        </is>
      </c>
      <c r="E770" t="inlineStr">
        <is>
          <t>RAGUNDA</t>
        </is>
      </c>
      <c r="G770" t="n">
        <v>4</v>
      </c>
      <c r="H770" t="n">
        <v>0</v>
      </c>
      <c r="I770" t="n">
        <v>0</v>
      </c>
      <c r="J770" t="n">
        <v>0</v>
      </c>
      <c r="K770" t="n">
        <v>0</v>
      </c>
      <c r="L770" t="n">
        <v>0</v>
      </c>
      <c r="M770" t="n">
        <v>0</v>
      </c>
      <c r="N770" t="n">
        <v>0</v>
      </c>
      <c r="O770" t="n">
        <v>0</v>
      </c>
      <c r="P770" t="n">
        <v>0</v>
      </c>
      <c r="Q770" t="n">
        <v>0</v>
      </c>
      <c r="R770" s="2" t="inlineStr"/>
    </row>
    <row r="771" ht="15" customHeight="1">
      <c r="A771" t="inlineStr">
        <is>
          <t>A 58955-2024</t>
        </is>
      </c>
      <c r="B771" s="1" t="n">
        <v>45636.57329861111</v>
      </c>
      <c r="C771" s="1" t="n">
        <v>46002</v>
      </c>
      <c r="D771" t="inlineStr">
        <is>
          <t>JÄMTLANDS LÄN</t>
        </is>
      </c>
      <c r="E771" t="inlineStr">
        <is>
          <t>RAGUNDA</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57833-2025</t>
        </is>
      </c>
      <c r="B772" s="1" t="n">
        <v>45981.61541666667</v>
      </c>
      <c r="C772" s="1" t="n">
        <v>46002</v>
      </c>
      <c r="D772" t="inlineStr">
        <is>
          <t>JÄMTLANDS LÄN</t>
        </is>
      </c>
      <c r="E772" t="inlineStr">
        <is>
          <t>RAGUNDA</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33877-2023</t>
        </is>
      </c>
      <c r="B773" s="1" t="n">
        <v>45133</v>
      </c>
      <c r="C773" s="1" t="n">
        <v>46002</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49639-2025</t>
        </is>
      </c>
      <c r="B774" s="1" t="n">
        <v>45939.61253472222</v>
      </c>
      <c r="C774" s="1" t="n">
        <v>46002</v>
      </c>
      <c r="D774" t="inlineStr">
        <is>
          <t>JÄMTLANDS LÄN</t>
        </is>
      </c>
      <c r="E774" t="inlineStr">
        <is>
          <t>RAGUNDA</t>
        </is>
      </c>
      <c r="F774" t="inlineStr">
        <is>
          <t>Kommuner</t>
        </is>
      </c>
      <c r="G774" t="n">
        <v>13.6</v>
      </c>
      <c r="H774" t="n">
        <v>0</v>
      </c>
      <c r="I774" t="n">
        <v>0</v>
      </c>
      <c r="J774" t="n">
        <v>0</v>
      </c>
      <c r="K774" t="n">
        <v>0</v>
      </c>
      <c r="L774" t="n">
        <v>0</v>
      </c>
      <c r="M774" t="n">
        <v>0</v>
      </c>
      <c r="N774" t="n">
        <v>0</v>
      </c>
      <c r="O774" t="n">
        <v>0</v>
      </c>
      <c r="P774" t="n">
        <v>0</v>
      </c>
      <c r="Q774" t="n">
        <v>0</v>
      </c>
      <c r="R774" s="2" t="inlineStr"/>
    </row>
    <row r="775" ht="15" customHeight="1">
      <c r="A775" t="inlineStr">
        <is>
          <t>A 62541-2022</t>
        </is>
      </c>
      <c r="B775" s="1" t="n">
        <v>44917</v>
      </c>
      <c r="C775" s="1" t="n">
        <v>46002</v>
      </c>
      <c r="D775" t="inlineStr">
        <is>
          <t>JÄMTLANDS LÄN</t>
        </is>
      </c>
      <c r="E775" t="inlineStr">
        <is>
          <t>RAGUNDA</t>
        </is>
      </c>
      <c r="G775" t="n">
        <v>2.6</v>
      </c>
      <c r="H775" t="n">
        <v>0</v>
      </c>
      <c r="I775" t="n">
        <v>0</v>
      </c>
      <c r="J775" t="n">
        <v>0</v>
      </c>
      <c r="K775" t="n">
        <v>0</v>
      </c>
      <c r="L775" t="n">
        <v>0</v>
      </c>
      <c r="M775" t="n">
        <v>0</v>
      </c>
      <c r="N775" t="n">
        <v>0</v>
      </c>
      <c r="O775" t="n">
        <v>0</v>
      </c>
      <c r="P775" t="n">
        <v>0</v>
      </c>
      <c r="Q775" t="n">
        <v>0</v>
      </c>
      <c r="R775" s="2" t="inlineStr"/>
    </row>
    <row r="776" ht="15" customHeight="1">
      <c r="A776" t="inlineStr">
        <is>
          <t>A 9567-2025</t>
        </is>
      </c>
      <c r="B776" s="1" t="n">
        <v>45715.61523148148</v>
      </c>
      <c r="C776" s="1" t="n">
        <v>46002</v>
      </c>
      <c r="D776" t="inlineStr">
        <is>
          <t>JÄMTLANDS LÄN</t>
        </is>
      </c>
      <c r="E776" t="inlineStr">
        <is>
          <t>RAGUNDA</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21661-2023</t>
        </is>
      </c>
      <c r="B777" s="1" t="n">
        <v>45063</v>
      </c>
      <c r="C777" s="1" t="n">
        <v>46002</v>
      </c>
      <c r="D777" t="inlineStr">
        <is>
          <t>JÄMTLANDS LÄN</t>
        </is>
      </c>
      <c r="E777" t="inlineStr">
        <is>
          <t>RAGUNDA</t>
        </is>
      </c>
      <c r="G777" t="n">
        <v>1.5</v>
      </c>
      <c r="H777" t="n">
        <v>0</v>
      </c>
      <c r="I777" t="n">
        <v>0</v>
      </c>
      <c r="J777" t="n">
        <v>0</v>
      </c>
      <c r="K777" t="n">
        <v>0</v>
      </c>
      <c r="L777" t="n">
        <v>0</v>
      </c>
      <c r="M777" t="n">
        <v>0</v>
      </c>
      <c r="N777" t="n">
        <v>0</v>
      </c>
      <c r="O777" t="n">
        <v>0</v>
      </c>
      <c r="P777" t="n">
        <v>0</v>
      </c>
      <c r="Q777" t="n">
        <v>0</v>
      </c>
      <c r="R777" s="2" t="inlineStr"/>
    </row>
    <row r="778" ht="15" customHeight="1">
      <c r="A778" t="inlineStr">
        <is>
          <t>A 49059-2025</t>
        </is>
      </c>
      <c r="B778" s="1" t="n">
        <v>45937.64123842592</v>
      </c>
      <c r="C778" s="1" t="n">
        <v>46002</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57332-2025</t>
        </is>
      </c>
      <c r="B779" s="1" t="n">
        <v>45980.34467592592</v>
      </c>
      <c r="C779" s="1" t="n">
        <v>46002</v>
      </c>
      <c r="D779" t="inlineStr">
        <is>
          <t>JÄMTLANDS LÄN</t>
        </is>
      </c>
      <c r="E779" t="inlineStr">
        <is>
          <t>RAGUNDA</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49193-2025</t>
        </is>
      </c>
      <c r="B780" s="1" t="n">
        <v>45938.40831018519</v>
      </c>
      <c r="C780" s="1" t="n">
        <v>46002</v>
      </c>
      <c r="D780" t="inlineStr">
        <is>
          <t>JÄMTLANDS LÄN</t>
        </is>
      </c>
      <c r="E780" t="inlineStr">
        <is>
          <t>RAGUNDA</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57560-2025</t>
        </is>
      </c>
      <c r="B781" s="1" t="n">
        <v>45980.6987962963</v>
      </c>
      <c r="C781" s="1" t="n">
        <v>46002</v>
      </c>
      <c r="D781" t="inlineStr">
        <is>
          <t>JÄMTLANDS LÄN</t>
        </is>
      </c>
      <c r="E781" t="inlineStr">
        <is>
          <t>RAGUNDA</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57785-2025</t>
        </is>
      </c>
      <c r="B782" s="1" t="n">
        <v>45981.57393518519</v>
      </c>
      <c r="C782" s="1" t="n">
        <v>46002</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57561-2025</t>
        </is>
      </c>
      <c r="B783" s="1" t="n">
        <v>45980.69885416667</v>
      </c>
      <c r="C783" s="1" t="n">
        <v>46002</v>
      </c>
      <c r="D783" t="inlineStr">
        <is>
          <t>JÄMTLANDS LÄN</t>
        </is>
      </c>
      <c r="E783" t="inlineStr">
        <is>
          <t>RAGUNDA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49238-2025</t>
        </is>
      </c>
      <c r="B784" s="1" t="n">
        <v>45938.48231481481</v>
      </c>
      <c r="C784" s="1" t="n">
        <v>46002</v>
      </c>
      <c r="D784" t="inlineStr">
        <is>
          <t>JÄMTLANDS LÄN</t>
        </is>
      </c>
      <c r="E784" t="inlineStr">
        <is>
          <t>RAGUNDA</t>
        </is>
      </c>
      <c r="G784" t="n">
        <v>4.7</v>
      </c>
      <c r="H784" t="n">
        <v>0</v>
      </c>
      <c r="I784" t="n">
        <v>0</v>
      </c>
      <c r="J784" t="n">
        <v>0</v>
      </c>
      <c r="K784" t="n">
        <v>0</v>
      </c>
      <c r="L784" t="n">
        <v>0</v>
      </c>
      <c r="M784" t="n">
        <v>0</v>
      </c>
      <c r="N784" t="n">
        <v>0</v>
      </c>
      <c r="O784" t="n">
        <v>0</v>
      </c>
      <c r="P784" t="n">
        <v>0</v>
      </c>
      <c r="Q784" t="n">
        <v>0</v>
      </c>
      <c r="R784" s="2" t="inlineStr"/>
    </row>
    <row r="785" ht="15" customHeight="1">
      <c r="A785" t="inlineStr">
        <is>
          <t>A 49290-2025</t>
        </is>
      </c>
      <c r="B785" s="1" t="n">
        <v>45938.53168981482</v>
      </c>
      <c r="C785" s="1" t="n">
        <v>46002</v>
      </c>
      <c r="D785" t="inlineStr">
        <is>
          <t>JÄMTLANDS LÄN</t>
        </is>
      </c>
      <c r="E785" t="inlineStr">
        <is>
          <t>RAGUNDA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49092-2025</t>
        </is>
      </c>
      <c r="B786" s="1" t="n">
        <v>45937.67792824074</v>
      </c>
      <c r="C786" s="1" t="n">
        <v>46002</v>
      </c>
      <c r="D786" t="inlineStr">
        <is>
          <t>JÄMTLANDS LÄN</t>
        </is>
      </c>
      <c r="E786" t="inlineStr">
        <is>
          <t>RAGUNDA</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69153-2021</t>
        </is>
      </c>
      <c r="B787" s="1" t="n">
        <v>44530.94694444445</v>
      </c>
      <c r="C787" s="1" t="n">
        <v>46002</v>
      </c>
      <c r="D787" t="inlineStr">
        <is>
          <t>JÄMTLANDS LÄN</t>
        </is>
      </c>
      <c r="E787" t="inlineStr">
        <is>
          <t>RAGUNDA</t>
        </is>
      </c>
      <c r="F787" t="inlineStr">
        <is>
          <t>SCA</t>
        </is>
      </c>
      <c r="G787" t="n">
        <v>5</v>
      </c>
      <c r="H787" t="n">
        <v>0</v>
      </c>
      <c r="I787" t="n">
        <v>0</v>
      </c>
      <c r="J787" t="n">
        <v>0</v>
      </c>
      <c r="K787" t="n">
        <v>0</v>
      </c>
      <c r="L787" t="n">
        <v>0</v>
      </c>
      <c r="M787" t="n">
        <v>0</v>
      </c>
      <c r="N787" t="n">
        <v>0</v>
      </c>
      <c r="O787" t="n">
        <v>0</v>
      </c>
      <c r="P787" t="n">
        <v>0</v>
      </c>
      <c r="Q787" t="n">
        <v>0</v>
      </c>
      <c r="R787" s="2" t="inlineStr"/>
    </row>
    <row r="788" ht="15" customHeight="1">
      <c r="A788" t="inlineStr">
        <is>
          <t>A 34088-2025</t>
        </is>
      </c>
      <c r="B788" s="1" t="n">
        <v>45845</v>
      </c>
      <c r="C788" s="1" t="n">
        <v>46002</v>
      </c>
      <c r="D788" t="inlineStr">
        <is>
          <t>JÄMTLANDS LÄN</t>
        </is>
      </c>
      <c r="E788" t="inlineStr">
        <is>
          <t>RAGUNDA</t>
        </is>
      </c>
      <c r="G788" t="n">
        <v>1.4</v>
      </c>
      <c r="H788" t="n">
        <v>0</v>
      </c>
      <c r="I788" t="n">
        <v>0</v>
      </c>
      <c r="J788" t="n">
        <v>0</v>
      </c>
      <c r="K788" t="n">
        <v>0</v>
      </c>
      <c r="L788" t="n">
        <v>0</v>
      </c>
      <c r="M788" t="n">
        <v>0</v>
      </c>
      <c r="N788" t="n">
        <v>0</v>
      </c>
      <c r="O788" t="n">
        <v>0</v>
      </c>
      <c r="P788" t="n">
        <v>0</v>
      </c>
      <c r="Q788" t="n">
        <v>0</v>
      </c>
      <c r="R788" s="2" t="inlineStr"/>
    </row>
    <row r="789" ht="15" customHeight="1">
      <c r="A789" t="inlineStr">
        <is>
          <t>A 12585-2024</t>
        </is>
      </c>
      <c r="B789" s="1" t="n">
        <v>45379.93637731481</v>
      </c>
      <c r="C789" s="1" t="n">
        <v>46002</v>
      </c>
      <c r="D789" t="inlineStr">
        <is>
          <t>JÄMTLANDS LÄN</t>
        </is>
      </c>
      <c r="E789" t="inlineStr">
        <is>
          <t>RAGUNDA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55489-2024</t>
        </is>
      </c>
      <c r="B790" s="1" t="n">
        <v>45622.44774305556</v>
      </c>
      <c r="C790" s="1" t="n">
        <v>46002</v>
      </c>
      <c r="D790" t="inlineStr">
        <is>
          <t>JÄMTLANDS LÄN</t>
        </is>
      </c>
      <c r="E790" t="inlineStr">
        <is>
          <t>RAGUNDA</t>
        </is>
      </c>
      <c r="G790" t="n">
        <v>1.6</v>
      </c>
      <c r="H790" t="n">
        <v>0</v>
      </c>
      <c r="I790" t="n">
        <v>0</v>
      </c>
      <c r="J790" t="n">
        <v>0</v>
      </c>
      <c r="K790" t="n">
        <v>0</v>
      </c>
      <c r="L790" t="n">
        <v>0</v>
      </c>
      <c r="M790" t="n">
        <v>0</v>
      </c>
      <c r="N790" t="n">
        <v>0</v>
      </c>
      <c r="O790" t="n">
        <v>0</v>
      </c>
      <c r="P790" t="n">
        <v>0</v>
      </c>
      <c r="Q790" t="n">
        <v>0</v>
      </c>
      <c r="R790" s="2" t="inlineStr"/>
    </row>
    <row r="791" ht="15" customHeight="1">
      <c r="A791" t="inlineStr">
        <is>
          <t>A 18631-2024</t>
        </is>
      </c>
      <c r="B791" s="1" t="n">
        <v>45425.96494212963</v>
      </c>
      <c r="C791" s="1" t="n">
        <v>46002</v>
      </c>
      <c r="D791" t="inlineStr">
        <is>
          <t>JÄMTLANDS LÄN</t>
        </is>
      </c>
      <c r="E791" t="inlineStr">
        <is>
          <t>RAGUNDA</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50215-2025</t>
        </is>
      </c>
      <c r="B792" s="1" t="n">
        <v>45943.67842592593</v>
      </c>
      <c r="C792" s="1" t="n">
        <v>46002</v>
      </c>
      <c r="D792" t="inlineStr">
        <is>
          <t>JÄMTLANDS LÄN</t>
        </is>
      </c>
      <c r="E792" t="inlineStr">
        <is>
          <t>RAGUNDA</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26646-2023</t>
        </is>
      </c>
      <c r="B793" s="1" t="n">
        <v>45092</v>
      </c>
      <c r="C793" s="1" t="n">
        <v>46002</v>
      </c>
      <c r="D793" t="inlineStr">
        <is>
          <t>JÄMTLANDS LÄN</t>
        </is>
      </c>
      <c r="E793" t="inlineStr">
        <is>
          <t>RAGUNDA</t>
        </is>
      </c>
      <c r="G793" t="n">
        <v>1.4</v>
      </c>
      <c r="H793" t="n">
        <v>0</v>
      </c>
      <c r="I793" t="n">
        <v>0</v>
      </c>
      <c r="J793" t="n">
        <v>0</v>
      </c>
      <c r="K793" t="n">
        <v>0</v>
      </c>
      <c r="L793" t="n">
        <v>0</v>
      </c>
      <c r="M793" t="n">
        <v>0</v>
      </c>
      <c r="N793" t="n">
        <v>0</v>
      </c>
      <c r="O793" t="n">
        <v>0</v>
      </c>
      <c r="P793" t="n">
        <v>0</v>
      </c>
      <c r="Q793" t="n">
        <v>0</v>
      </c>
      <c r="R793" s="2" t="inlineStr"/>
    </row>
    <row r="794" ht="15" customHeight="1">
      <c r="A794" t="inlineStr">
        <is>
          <t>A 43405-2023</t>
        </is>
      </c>
      <c r="B794" s="1" t="n">
        <v>45183.95563657407</v>
      </c>
      <c r="C794" s="1" t="n">
        <v>46002</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59496-2024</t>
        </is>
      </c>
      <c r="B795" s="1" t="n">
        <v>45638</v>
      </c>
      <c r="C795" s="1" t="n">
        <v>46002</v>
      </c>
      <c r="D795" t="inlineStr">
        <is>
          <t>JÄMTLANDS LÄN</t>
        </is>
      </c>
      <c r="E795" t="inlineStr">
        <is>
          <t>RAGUNDA</t>
        </is>
      </c>
      <c r="G795" t="n">
        <v>13.1</v>
      </c>
      <c r="H795" t="n">
        <v>0</v>
      </c>
      <c r="I795" t="n">
        <v>0</v>
      </c>
      <c r="J795" t="n">
        <v>0</v>
      </c>
      <c r="K795" t="n">
        <v>0</v>
      </c>
      <c r="L795" t="n">
        <v>0</v>
      </c>
      <c r="M795" t="n">
        <v>0</v>
      </c>
      <c r="N795" t="n">
        <v>0</v>
      </c>
      <c r="O795" t="n">
        <v>0</v>
      </c>
      <c r="P795" t="n">
        <v>0</v>
      </c>
      <c r="Q795" t="n">
        <v>0</v>
      </c>
      <c r="R795" s="2" t="inlineStr"/>
    </row>
    <row r="796" ht="15" customHeight="1">
      <c r="A796" t="inlineStr">
        <is>
          <t>A 58093-2025</t>
        </is>
      </c>
      <c r="B796" s="1" t="n">
        <v>45982.5741087963</v>
      </c>
      <c r="C796" s="1" t="n">
        <v>46002</v>
      </c>
      <c r="D796" t="inlineStr">
        <is>
          <t>JÄMTLANDS LÄN</t>
        </is>
      </c>
      <c r="E796" t="inlineStr">
        <is>
          <t>RAGUNDA</t>
        </is>
      </c>
      <c r="G796" t="n">
        <v>22.2</v>
      </c>
      <c r="H796" t="n">
        <v>0</v>
      </c>
      <c r="I796" t="n">
        <v>0</v>
      </c>
      <c r="J796" t="n">
        <v>0</v>
      </c>
      <c r="K796" t="n">
        <v>0</v>
      </c>
      <c r="L796" t="n">
        <v>0</v>
      </c>
      <c r="M796" t="n">
        <v>0</v>
      </c>
      <c r="N796" t="n">
        <v>0</v>
      </c>
      <c r="O796" t="n">
        <v>0</v>
      </c>
      <c r="P796" t="n">
        <v>0</v>
      </c>
      <c r="Q796" t="n">
        <v>0</v>
      </c>
      <c r="R796" s="2" t="inlineStr"/>
    </row>
    <row r="797" ht="15" customHeight="1">
      <c r="A797" t="inlineStr">
        <is>
          <t>A 62106-2023</t>
        </is>
      </c>
      <c r="B797" s="1" t="n">
        <v>45266.95082175926</v>
      </c>
      <c r="C797" s="1" t="n">
        <v>46002</v>
      </c>
      <c r="D797" t="inlineStr">
        <is>
          <t>JÄMTLANDS LÄN</t>
        </is>
      </c>
      <c r="E797" t="inlineStr">
        <is>
          <t>RAGUNDA</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18781-2024</t>
        </is>
      </c>
      <c r="B798" s="1" t="n">
        <v>45426</v>
      </c>
      <c r="C798" s="1" t="n">
        <v>46002</v>
      </c>
      <c r="D798" t="inlineStr">
        <is>
          <t>JÄMTLANDS LÄN</t>
        </is>
      </c>
      <c r="E798" t="inlineStr">
        <is>
          <t>RAGUNDA</t>
        </is>
      </c>
      <c r="G798" t="n">
        <v>0.9</v>
      </c>
      <c r="H798" t="n">
        <v>0</v>
      </c>
      <c r="I798" t="n">
        <v>0</v>
      </c>
      <c r="J798" t="n">
        <v>0</v>
      </c>
      <c r="K798" t="n">
        <v>0</v>
      </c>
      <c r="L798" t="n">
        <v>0</v>
      </c>
      <c r="M798" t="n">
        <v>0</v>
      </c>
      <c r="N798" t="n">
        <v>0</v>
      </c>
      <c r="O798" t="n">
        <v>0</v>
      </c>
      <c r="P798" t="n">
        <v>0</v>
      </c>
      <c r="Q798" t="n">
        <v>0</v>
      </c>
      <c r="R798" s="2" t="inlineStr"/>
    </row>
    <row r="799" ht="15" customHeight="1">
      <c r="A799" t="inlineStr">
        <is>
          <t>A 58076-2025</t>
        </is>
      </c>
      <c r="B799" s="1" t="n">
        <v>45982.55273148148</v>
      </c>
      <c r="C799" s="1" t="n">
        <v>46002</v>
      </c>
      <c r="D799" t="inlineStr">
        <is>
          <t>JÄMTLANDS LÄN</t>
        </is>
      </c>
      <c r="E799" t="inlineStr">
        <is>
          <t>RAGUNDA</t>
        </is>
      </c>
      <c r="G799" t="n">
        <v>0.1</v>
      </c>
      <c r="H799" t="n">
        <v>0</v>
      </c>
      <c r="I799" t="n">
        <v>0</v>
      </c>
      <c r="J799" t="n">
        <v>0</v>
      </c>
      <c r="K799" t="n">
        <v>0</v>
      </c>
      <c r="L799" t="n">
        <v>0</v>
      </c>
      <c r="M799" t="n">
        <v>0</v>
      </c>
      <c r="N799" t="n">
        <v>0</v>
      </c>
      <c r="O799" t="n">
        <v>0</v>
      </c>
      <c r="P799" t="n">
        <v>0</v>
      </c>
      <c r="Q799" t="n">
        <v>0</v>
      </c>
      <c r="R799" s="2" t="inlineStr"/>
    </row>
    <row r="800" ht="15" customHeight="1">
      <c r="A800" t="inlineStr">
        <is>
          <t>A 49991-2025</t>
        </is>
      </c>
      <c r="B800" s="1" t="n">
        <v>45942.91568287037</v>
      </c>
      <c r="C800" s="1" t="n">
        <v>46002</v>
      </c>
      <c r="D800" t="inlineStr">
        <is>
          <t>JÄMTLANDS LÄN</t>
        </is>
      </c>
      <c r="E800" t="inlineStr">
        <is>
          <t>RAGUNDA</t>
        </is>
      </c>
      <c r="G800" t="n">
        <v>9</v>
      </c>
      <c r="H800" t="n">
        <v>0</v>
      </c>
      <c r="I800" t="n">
        <v>0</v>
      </c>
      <c r="J800" t="n">
        <v>0</v>
      </c>
      <c r="K800" t="n">
        <v>0</v>
      </c>
      <c r="L800" t="n">
        <v>0</v>
      </c>
      <c r="M800" t="n">
        <v>0</v>
      </c>
      <c r="N800" t="n">
        <v>0</v>
      </c>
      <c r="O800" t="n">
        <v>0</v>
      </c>
      <c r="P800" t="n">
        <v>0</v>
      </c>
      <c r="Q800" t="n">
        <v>0</v>
      </c>
      <c r="R800" s="2" t="inlineStr"/>
    </row>
    <row r="801" ht="15" customHeight="1">
      <c r="A801" t="inlineStr">
        <is>
          <t>A 49993-2025</t>
        </is>
      </c>
      <c r="B801" s="1" t="n">
        <v>45942.94371527778</v>
      </c>
      <c r="C801" s="1" t="n">
        <v>46002</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62081-2022</t>
        </is>
      </c>
      <c r="B802" s="1" t="n">
        <v>44918</v>
      </c>
      <c r="C802" s="1" t="n">
        <v>46002</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57970-2025</t>
        </is>
      </c>
      <c r="B803" s="1" t="n">
        <v>45982.38582175926</v>
      </c>
      <c r="C803" s="1" t="n">
        <v>46002</v>
      </c>
      <c r="D803" t="inlineStr">
        <is>
          <t>JÄMTLANDS LÄN</t>
        </is>
      </c>
      <c r="E803" t="inlineStr">
        <is>
          <t>RAGUNDA</t>
        </is>
      </c>
      <c r="G803" t="n">
        <v>4.9</v>
      </c>
      <c r="H803" t="n">
        <v>0</v>
      </c>
      <c r="I803" t="n">
        <v>0</v>
      </c>
      <c r="J803" t="n">
        <v>0</v>
      </c>
      <c r="K803" t="n">
        <v>0</v>
      </c>
      <c r="L803" t="n">
        <v>0</v>
      </c>
      <c r="M803" t="n">
        <v>0</v>
      </c>
      <c r="N803" t="n">
        <v>0</v>
      </c>
      <c r="O803" t="n">
        <v>0</v>
      </c>
      <c r="P803" t="n">
        <v>0</v>
      </c>
      <c r="Q803" t="n">
        <v>0</v>
      </c>
      <c r="R803" s="2" t="inlineStr"/>
    </row>
    <row r="804" ht="15" customHeight="1">
      <c r="A804" t="inlineStr">
        <is>
          <t>A 49994-2025</t>
        </is>
      </c>
      <c r="B804" s="1" t="n">
        <v>45942.96922453704</v>
      </c>
      <c r="C804" s="1" t="n">
        <v>46002</v>
      </c>
      <c r="D804" t="inlineStr">
        <is>
          <t>JÄMTLANDS LÄN</t>
        </is>
      </c>
      <c r="E804" t="inlineStr">
        <is>
          <t>RAGUNDA</t>
        </is>
      </c>
      <c r="G804" t="n">
        <v>4.5</v>
      </c>
      <c r="H804" t="n">
        <v>0</v>
      </c>
      <c r="I804" t="n">
        <v>0</v>
      </c>
      <c r="J804" t="n">
        <v>0</v>
      </c>
      <c r="K804" t="n">
        <v>0</v>
      </c>
      <c r="L804" t="n">
        <v>0</v>
      </c>
      <c r="M804" t="n">
        <v>0</v>
      </c>
      <c r="N804" t="n">
        <v>0</v>
      </c>
      <c r="O804" t="n">
        <v>0</v>
      </c>
      <c r="P804" t="n">
        <v>0</v>
      </c>
      <c r="Q804" t="n">
        <v>0</v>
      </c>
      <c r="R804" s="2" t="inlineStr"/>
    </row>
    <row r="805" ht="15" customHeight="1">
      <c r="A805" t="inlineStr">
        <is>
          <t>A 49995-2025</t>
        </is>
      </c>
      <c r="B805" s="1" t="n">
        <v>45943.00986111111</v>
      </c>
      <c r="C805" s="1" t="n">
        <v>46002</v>
      </c>
      <c r="D805" t="inlineStr">
        <is>
          <t>JÄMTLANDS LÄN</t>
        </is>
      </c>
      <c r="E805" t="inlineStr">
        <is>
          <t>RAGUNDA</t>
        </is>
      </c>
      <c r="G805" t="n">
        <v>2.5</v>
      </c>
      <c r="H805" t="n">
        <v>0</v>
      </c>
      <c r="I805" t="n">
        <v>0</v>
      </c>
      <c r="J805" t="n">
        <v>0</v>
      </c>
      <c r="K805" t="n">
        <v>0</v>
      </c>
      <c r="L805" t="n">
        <v>0</v>
      </c>
      <c r="M805" t="n">
        <v>0</v>
      </c>
      <c r="N805" t="n">
        <v>0</v>
      </c>
      <c r="O805" t="n">
        <v>0</v>
      </c>
      <c r="P805" t="n">
        <v>0</v>
      </c>
      <c r="Q805" t="n">
        <v>0</v>
      </c>
      <c r="R805" s="2" t="inlineStr"/>
    </row>
    <row r="806" ht="15" customHeight="1">
      <c r="A806" t="inlineStr">
        <is>
          <t>A 57963-2025</t>
        </is>
      </c>
      <c r="B806" s="1" t="n">
        <v>45982.37800925926</v>
      </c>
      <c r="C806" s="1" t="n">
        <v>46002</v>
      </c>
      <c r="D806" t="inlineStr">
        <is>
          <t>JÄMTLANDS LÄN</t>
        </is>
      </c>
      <c r="E806" t="inlineStr">
        <is>
          <t>RAGUNDA</t>
        </is>
      </c>
      <c r="G806" t="n">
        <v>1.7</v>
      </c>
      <c r="H806" t="n">
        <v>0</v>
      </c>
      <c r="I806" t="n">
        <v>0</v>
      </c>
      <c r="J806" t="n">
        <v>0</v>
      </c>
      <c r="K806" t="n">
        <v>0</v>
      </c>
      <c r="L806" t="n">
        <v>0</v>
      </c>
      <c r="M806" t="n">
        <v>0</v>
      </c>
      <c r="N806" t="n">
        <v>0</v>
      </c>
      <c r="O806" t="n">
        <v>0</v>
      </c>
      <c r="P806" t="n">
        <v>0</v>
      </c>
      <c r="Q806" t="n">
        <v>0</v>
      </c>
      <c r="R806" s="2" t="inlineStr"/>
    </row>
    <row r="807" ht="15" customHeight="1">
      <c r="A807" t="inlineStr">
        <is>
          <t>A 30826-2023</t>
        </is>
      </c>
      <c r="B807" s="1" t="n">
        <v>45112</v>
      </c>
      <c r="C807" s="1" t="n">
        <v>46002</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53263-2024</t>
        </is>
      </c>
      <c r="B808" s="1" t="n">
        <v>45614.34541666666</v>
      </c>
      <c r="C808" s="1" t="n">
        <v>46002</v>
      </c>
      <c r="D808" t="inlineStr">
        <is>
          <t>JÄMTLANDS LÄN</t>
        </is>
      </c>
      <c r="E808" t="inlineStr">
        <is>
          <t>RAGUNDA</t>
        </is>
      </c>
      <c r="G808" t="n">
        <v>1.9</v>
      </c>
      <c r="H808" t="n">
        <v>0</v>
      </c>
      <c r="I808" t="n">
        <v>0</v>
      </c>
      <c r="J808" t="n">
        <v>0</v>
      </c>
      <c r="K808" t="n">
        <v>0</v>
      </c>
      <c r="L808" t="n">
        <v>0</v>
      </c>
      <c r="M808" t="n">
        <v>0</v>
      </c>
      <c r="N808" t="n">
        <v>0</v>
      </c>
      <c r="O808" t="n">
        <v>0</v>
      </c>
      <c r="P808" t="n">
        <v>0</v>
      </c>
      <c r="Q808" t="n">
        <v>0</v>
      </c>
      <c r="R808" s="2" t="inlineStr"/>
    </row>
    <row r="809" ht="15" customHeight="1">
      <c r="A809" t="inlineStr">
        <is>
          <t>A 50126-2025</t>
        </is>
      </c>
      <c r="B809" s="1" t="n">
        <v>45943.55271990741</v>
      </c>
      <c r="C809" s="1" t="n">
        <v>46002</v>
      </c>
      <c r="D809" t="inlineStr">
        <is>
          <t>JÄMTLANDS LÄN</t>
        </is>
      </c>
      <c r="E809" t="inlineStr">
        <is>
          <t>RAGUNDA</t>
        </is>
      </c>
      <c r="G809" t="n">
        <v>1</v>
      </c>
      <c r="H809" t="n">
        <v>0</v>
      </c>
      <c r="I809" t="n">
        <v>0</v>
      </c>
      <c r="J809" t="n">
        <v>0</v>
      </c>
      <c r="K809" t="n">
        <v>0</v>
      </c>
      <c r="L809" t="n">
        <v>0</v>
      </c>
      <c r="M809" t="n">
        <v>0</v>
      </c>
      <c r="N809" t="n">
        <v>0</v>
      </c>
      <c r="O809" t="n">
        <v>0</v>
      </c>
      <c r="P809" t="n">
        <v>0</v>
      </c>
      <c r="Q809" t="n">
        <v>0</v>
      </c>
      <c r="R809" s="2" t="inlineStr"/>
    </row>
    <row r="810" ht="15" customHeight="1">
      <c r="A810" t="inlineStr">
        <is>
          <t>A 26645-2024</t>
        </is>
      </c>
      <c r="B810" s="1" t="n">
        <v>45469.94667824074</v>
      </c>
      <c r="C810" s="1" t="n">
        <v>46002</v>
      </c>
      <c r="D810" t="inlineStr">
        <is>
          <t>JÄMTLANDS LÄN</t>
        </is>
      </c>
      <c r="E810" t="inlineStr">
        <is>
          <t>RAGUNDA</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50098-2025</t>
        </is>
      </c>
      <c r="B811" s="1" t="n">
        <v>45943.51086805556</v>
      </c>
      <c r="C811" s="1" t="n">
        <v>46002</v>
      </c>
      <c r="D811" t="inlineStr">
        <is>
          <t>JÄMTLANDS LÄN</t>
        </is>
      </c>
      <c r="E811" t="inlineStr">
        <is>
          <t>RAGUNDA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893-2025</t>
        </is>
      </c>
      <c r="B812" s="1" t="n">
        <v>45665.65684027778</v>
      </c>
      <c r="C812" s="1" t="n">
        <v>46002</v>
      </c>
      <c r="D812" t="inlineStr">
        <is>
          <t>JÄMTLANDS LÄN</t>
        </is>
      </c>
      <c r="E812" t="inlineStr">
        <is>
          <t>RAGUNDA</t>
        </is>
      </c>
      <c r="F812" t="inlineStr">
        <is>
          <t>SCA</t>
        </is>
      </c>
      <c r="G812" t="n">
        <v>45.1</v>
      </c>
      <c r="H812" t="n">
        <v>0</v>
      </c>
      <c r="I812" t="n">
        <v>0</v>
      </c>
      <c r="J812" t="n">
        <v>0</v>
      </c>
      <c r="K812" t="n">
        <v>0</v>
      </c>
      <c r="L812" t="n">
        <v>0</v>
      </c>
      <c r="M812" t="n">
        <v>0</v>
      </c>
      <c r="N812" t="n">
        <v>0</v>
      </c>
      <c r="O812" t="n">
        <v>0</v>
      </c>
      <c r="P812" t="n">
        <v>0</v>
      </c>
      <c r="Q812" t="n">
        <v>0</v>
      </c>
      <c r="R812" s="2" t="inlineStr"/>
    </row>
    <row r="813" ht="15" customHeight="1">
      <c r="A813" t="inlineStr">
        <is>
          <t>A 50125-2025</t>
        </is>
      </c>
      <c r="B813" s="1" t="n">
        <v>45943.55262731481</v>
      </c>
      <c r="C813" s="1" t="n">
        <v>46002</v>
      </c>
      <c r="D813" t="inlineStr">
        <is>
          <t>JÄMTLANDS LÄN</t>
        </is>
      </c>
      <c r="E813" t="inlineStr">
        <is>
          <t>RAGUNDA</t>
        </is>
      </c>
      <c r="F813" t="inlineStr">
        <is>
          <t>Sveaskog</t>
        </is>
      </c>
      <c r="G813" t="n">
        <v>23.2</v>
      </c>
      <c r="H813" t="n">
        <v>0</v>
      </c>
      <c r="I813" t="n">
        <v>0</v>
      </c>
      <c r="J813" t="n">
        <v>0</v>
      </c>
      <c r="K813" t="n">
        <v>0</v>
      </c>
      <c r="L813" t="n">
        <v>0</v>
      </c>
      <c r="M813" t="n">
        <v>0</v>
      </c>
      <c r="N813" t="n">
        <v>0</v>
      </c>
      <c r="O813" t="n">
        <v>0</v>
      </c>
      <c r="P813" t="n">
        <v>0</v>
      </c>
      <c r="Q813" t="n">
        <v>0</v>
      </c>
      <c r="R813" s="2" t="inlineStr"/>
    </row>
    <row r="814" ht="15" customHeight="1">
      <c r="A814" t="inlineStr">
        <is>
          <t>A 31135-2023</t>
        </is>
      </c>
      <c r="B814" s="1" t="n">
        <v>45103</v>
      </c>
      <c r="C814" s="1" t="n">
        <v>46002</v>
      </c>
      <c r="D814" t="inlineStr">
        <is>
          <t>JÄMTLANDS LÄN</t>
        </is>
      </c>
      <c r="E814" t="inlineStr">
        <is>
          <t>RAGUNDA</t>
        </is>
      </c>
      <c r="G814" t="n">
        <v>0.9</v>
      </c>
      <c r="H814" t="n">
        <v>0</v>
      </c>
      <c r="I814" t="n">
        <v>0</v>
      </c>
      <c r="J814" t="n">
        <v>0</v>
      </c>
      <c r="K814" t="n">
        <v>0</v>
      </c>
      <c r="L814" t="n">
        <v>0</v>
      </c>
      <c r="M814" t="n">
        <v>0</v>
      </c>
      <c r="N814" t="n">
        <v>0</v>
      </c>
      <c r="O814" t="n">
        <v>0</v>
      </c>
      <c r="P814" t="n">
        <v>0</v>
      </c>
      <c r="Q814" t="n">
        <v>0</v>
      </c>
      <c r="R814" s="2" t="inlineStr"/>
    </row>
    <row r="815" ht="15" customHeight="1">
      <c r="A815" t="inlineStr">
        <is>
          <t>A 57916-2025</t>
        </is>
      </c>
      <c r="B815" s="1" t="n">
        <v>45981</v>
      </c>
      <c r="C815" s="1" t="n">
        <v>46002</v>
      </c>
      <c r="D815" t="inlineStr">
        <is>
          <t>JÄMTLANDS LÄN</t>
        </is>
      </c>
      <c r="E815" t="inlineStr">
        <is>
          <t>RAGUNDA</t>
        </is>
      </c>
      <c r="G815" t="n">
        <v>5.3</v>
      </c>
      <c r="H815" t="n">
        <v>0</v>
      </c>
      <c r="I815" t="n">
        <v>0</v>
      </c>
      <c r="J815" t="n">
        <v>0</v>
      </c>
      <c r="K815" t="n">
        <v>0</v>
      </c>
      <c r="L815" t="n">
        <v>0</v>
      </c>
      <c r="M815" t="n">
        <v>0</v>
      </c>
      <c r="N815" t="n">
        <v>0</v>
      </c>
      <c r="O815" t="n">
        <v>0</v>
      </c>
      <c r="P815" t="n">
        <v>0</v>
      </c>
      <c r="Q815" t="n">
        <v>0</v>
      </c>
      <c r="R815" s="2" t="inlineStr"/>
    </row>
    <row r="816" ht="15" customHeight="1">
      <c r="A816" t="inlineStr">
        <is>
          <t>A 50081-2025</t>
        </is>
      </c>
      <c r="B816" s="1" t="n">
        <v>45943.46954861111</v>
      </c>
      <c r="C816" s="1" t="n">
        <v>46002</v>
      </c>
      <c r="D816" t="inlineStr">
        <is>
          <t>JÄMTLANDS LÄN</t>
        </is>
      </c>
      <c r="E816" t="inlineStr">
        <is>
          <t>RAGUNDA</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50055-2025</t>
        </is>
      </c>
      <c r="B817" s="1" t="n">
        <v>45943.43287037037</v>
      </c>
      <c r="C817" s="1" t="n">
        <v>46002</v>
      </c>
      <c r="D817" t="inlineStr">
        <is>
          <t>JÄMTLANDS LÄN</t>
        </is>
      </c>
      <c r="E817" t="inlineStr">
        <is>
          <t>RAGUNDA</t>
        </is>
      </c>
      <c r="G817" t="n">
        <v>17.6</v>
      </c>
      <c r="H817" t="n">
        <v>0</v>
      </c>
      <c r="I817" t="n">
        <v>0</v>
      </c>
      <c r="J817" t="n">
        <v>0</v>
      </c>
      <c r="K817" t="n">
        <v>0</v>
      </c>
      <c r="L817" t="n">
        <v>0</v>
      </c>
      <c r="M817" t="n">
        <v>0</v>
      </c>
      <c r="N817" t="n">
        <v>0</v>
      </c>
      <c r="O817" t="n">
        <v>0</v>
      </c>
      <c r="P817" t="n">
        <v>0</v>
      </c>
      <c r="Q817" t="n">
        <v>0</v>
      </c>
      <c r="R817" s="2" t="inlineStr"/>
    </row>
    <row r="818" ht="15" customHeight="1">
      <c r="A818" t="inlineStr">
        <is>
          <t>A 50080-2025</t>
        </is>
      </c>
      <c r="B818" s="1" t="n">
        <v>45943.469375</v>
      </c>
      <c r="C818" s="1" t="n">
        <v>46002</v>
      </c>
      <c r="D818" t="inlineStr">
        <is>
          <t>JÄMTLANDS LÄN</t>
        </is>
      </c>
      <c r="E818" t="inlineStr">
        <is>
          <t>RAGUNDA</t>
        </is>
      </c>
      <c r="F818" t="inlineStr">
        <is>
          <t>Naturvårdsverket</t>
        </is>
      </c>
      <c r="G818" t="n">
        <v>6.1</v>
      </c>
      <c r="H818" t="n">
        <v>0</v>
      </c>
      <c r="I818" t="n">
        <v>0</v>
      </c>
      <c r="J818" t="n">
        <v>0</v>
      </c>
      <c r="K818" t="n">
        <v>0</v>
      </c>
      <c r="L818" t="n">
        <v>0</v>
      </c>
      <c r="M818" t="n">
        <v>0</v>
      </c>
      <c r="N818" t="n">
        <v>0</v>
      </c>
      <c r="O818" t="n">
        <v>0</v>
      </c>
      <c r="P818" t="n">
        <v>0</v>
      </c>
      <c r="Q818" t="n">
        <v>0</v>
      </c>
      <c r="R818" s="2" t="inlineStr"/>
    </row>
    <row r="819" ht="15" customHeight="1">
      <c r="A819" t="inlineStr">
        <is>
          <t>A 50260-2025</t>
        </is>
      </c>
      <c r="B819" s="1" t="n">
        <v>45944.34515046296</v>
      </c>
      <c r="C819" s="1" t="n">
        <v>46002</v>
      </c>
      <c r="D819" t="inlineStr">
        <is>
          <t>JÄMTLANDS LÄN</t>
        </is>
      </c>
      <c r="E819" t="inlineStr">
        <is>
          <t>RAGUNDA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58638-2025</t>
        </is>
      </c>
      <c r="B820" s="1" t="n">
        <v>45986.49016203704</v>
      </c>
      <c r="C820" s="1" t="n">
        <v>46002</v>
      </c>
      <c r="D820" t="inlineStr">
        <is>
          <t>JÄMTLANDS LÄN</t>
        </is>
      </c>
      <c r="E820" t="inlineStr">
        <is>
          <t>RAGUNDA</t>
        </is>
      </c>
      <c r="G820" t="n">
        <v>1.3</v>
      </c>
      <c r="H820" t="n">
        <v>0</v>
      </c>
      <c r="I820" t="n">
        <v>0</v>
      </c>
      <c r="J820" t="n">
        <v>0</v>
      </c>
      <c r="K820" t="n">
        <v>0</v>
      </c>
      <c r="L820" t="n">
        <v>0</v>
      </c>
      <c r="M820" t="n">
        <v>0</v>
      </c>
      <c r="N820" t="n">
        <v>0</v>
      </c>
      <c r="O820" t="n">
        <v>0</v>
      </c>
      <c r="P820" t="n">
        <v>0</v>
      </c>
      <c r="Q820" t="n">
        <v>0</v>
      </c>
      <c r="R820" s="2" t="inlineStr"/>
    </row>
    <row r="821" ht="15" customHeight="1">
      <c r="A821" t="inlineStr">
        <is>
          <t>A 43132-2023</t>
        </is>
      </c>
      <c r="B821" s="1" t="n">
        <v>45182</v>
      </c>
      <c r="C821" s="1" t="n">
        <v>46002</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50473-2025</t>
        </is>
      </c>
      <c r="B822" s="1" t="n">
        <v>45945.36520833334</v>
      </c>
      <c r="C822" s="1" t="n">
        <v>46002</v>
      </c>
      <c r="D822" t="inlineStr">
        <is>
          <t>JÄMTLANDS LÄN</t>
        </is>
      </c>
      <c r="E822" t="inlineStr">
        <is>
          <t>RAGUNDA</t>
        </is>
      </c>
      <c r="F822" t="inlineStr">
        <is>
          <t>SCA</t>
        </is>
      </c>
      <c r="G822" t="n">
        <v>11.2</v>
      </c>
      <c r="H822" t="n">
        <v>0</v>
      </c>
      <c r="I822" t="n">
        <v>0</v>
      </c>
      <c r="J822" t="n">
        <v>0</v>
      </c>
      <c r="K822" t="n">
        <v>0</v>
      </c>
      <c r="L822" t="n">
        <v>0</v>
      </c>
      <c r="M822" t="n">
        <v>0</v>
      </c>
      <c r="N822" t="n">
        <v>0</v>
      </c>
      <c r="O822" t="n">
        <v>0</v>
      </c>
      <c r="P822" t="n">
        <v>0</v>
      </c>
      <c r="Q822" t="n">
        <v>0</v>
      </c>
      <c r="R822" s="2" t="inlineStr"/>
    </row>
    <row r="823" ht="15" customHeight="1">
      <c r="A823" t="inlineStr">
        <is>
          <t>A 58918-2025</t>
        </is>
      </c>
      <c r="B823" s="1" t="n">
        <v>45987.52952546296</v>
      </c>
      <c r="C823" s="1" t="n">
        <v>46002</v>
      </c>
      <c r="D823" t="inlineStr">
        <is>
          <t>JÄMTLANDS LÄN</t>
        </is>
      </c>
      <c r="E823" t="inlineStr">
        <is>
          <t>RAGUNDA</t>
        </is>
      </c>
      <c r="G823" t="n">
        <v>2</v>
      </c>
      <c r="H823" t="n">
        <v>0</v>
      </c>
      <c r="I823" t="n">
        <v>0</v>
      </c>
      <c r="J823" t="n">
        <v>0</v>
      </c>
      <c r="K823" t="n">
        <v>0</v>
      </c>
      <c r="L823" t="n">
        <v>0</v>
      </c>
      <c r="M823" t="n">
        <v>0</v>
      </c>
      <c r="N823" t="n">
        <v>0</v>
      </c>
      <c r="O823" t="n">
        <v>0</v>
      </c>
      <c r="P823" t="n">
        <v>0</v>
      </c>
      <c r="Q823" t="n">
        <v>0</v>
      </c>
      <c r="R823" s="2" t="inlineStr"/>
    </row>
    <row r="824" ht="15" customHeight="1">
      <c r="A824" t="inlineStr">
        <is>
          <t>A 58559-2025</t>
        </is>
      </c>
      <c r="B824" s="1" t="n">
        <v>45986.34475694445</v>
      </c>
      <c r="C824" s="1" t="n">
        <v>46002</v>
      </c>
      <c r="D824" t="inlineStr">
        <is>
          <t>JÄMTLANDS LÄN</t>
        </is>
      </c>
      <c r="E824" t="inlineStr">
        <is>
          <t>RAGUNDA</t>
        </is>
      </c>
      <c r="F824" t="inlineStr">
        <is>
          <t>SCA</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56284-2023</t>
        </is>
      </c>
      <c r="B825" s="1" t="n">
        <v>45241.95724537037</v>
      </c>
      <c r="C825" s="1" t="n">
        <v>46002</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50504-2025</t>
        </is>
      </c>
      <c r="B826" s="1" t="n">
        <v>45945.4284837963</v>
      </c>
      <c r="C826" s="1" t="n">
        <v>46002</v>
      </c>
      <c r="D826" t="inlineStr">
        <is>
          <t>JÄMTLANDS LÄN</t>
        </is>
      </c>
      <c r="E826" t="inlineStr">
        <is>
          <t>RAGUNDA</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50503-2025</t>
        </is>
      </c>
      <c r="B827" s="1" t="n">
        <v>45945.42746527777</v>
      </c>
      <c r="C827" s="1" t="n">
        <v>46002</v>
      </c>
      <c r="D827" t="inlineStr">
        <is>
          <t>JÄMTLANDS LÄN</t>
        </is>
      </c>
      <c r="E827" t="inlineStr">
        <is>
          <t>RAGUNDA</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33650-2025</t>
        </is>
      </c>
      <c r="B828" s="1" t="n">
        <v>45841</v>
      </c>
      <c r="C828" s="1" t="n">
        <v>46002</v>
      </c>
      <c r="D828" t="inlineStr">
        <is>
          <t>JÄMTLANDS LÄN</t>
        </is>
      </c>
      <c r="E828" t="inlineStr">
        <is>
          <t>RAGUNDA</t>
        </is>
      </c>
      <c r="G828" t="n">
        <v>1.4</v>
      </c>
      <c r="H828" t="n">
        <v>0</v>
      </c>
      <c r="I828" t="n">
        <v>0</v>
      </c>
      <c r="J828" t="n">
        <v>0</v>
      </c>
      <c r="K828" t="n">
        <v>0</v>
      </c>
      <c r="L828" t="n">
        <v>0</v>
      </c>
      <c r="M828" t="n">
        <v>0</v>
      </c>
      <c r="N828" t="n">
        <v>0</v>
      </c>
      <c r="O828" t="n">
        <v>0</v>
      </c>
      <c r="P828" t="n">
        <v>0</v>
      </c>
      <c r="Q828" t="n">
        <v>0</v>
      </c>
      <c r="R828" s="2" t="inlineStr"/>
    </row>
    <row r="829" ht="15" customHeight="1">
      <c r="A829" t="inlineStr">
        <is>
          <t>A 61045-2022</t>
        </is>
      </c>
      <c r="B829" s="1" t="n">
        <v>44914</v>
      </c>
      <c r="C829" s="1" t="n">
        <v>46002</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61197-2023</t>
        </is>
      </c>
      <c r="B830" s="1" t="n">
        <v>45260</v>
      </c>
      <c r="C830" s="1" t="n">
        <v>46002</v>
      </c>
      <c r="D830" t="inlineStr">
        <is>
          <t>JÄMTLANDS LÄN</t>
        </is>
      </c>
      <c r="E830" t="inlineStr">
        <is>
          <t>RAGUNDA</t>
        </is>
      </c>
      <c r="G830" t="n">
        <v>2.5</v>
      </c>
      <c r="H830" t="n">
        <v>0</v>
      </c>
      <c r="I830" t="n">
        <v>0</v>
      </c>
      <c r="J830" t="n">
        <v>0</v>
      </c>
      <c r="K830" t="n">
        <v>0</v>
      </c>
      <c r="L830" t="n">
        <v>0</v>
      </c>
      <c r="M830" t="n">
        <v>0</v>
      </c>
      <c r="N830" t="n">
        <v>0</v>
      </c>
      <c r="O830" t="n">
        <v>0</v>
      </c>
      <c r="P830" t="n">
        <v>0</v>
      </c>
      <c r="Q830" t="n">
        <v>0</v>
      </c>
      <c r="R830" s="2" t="inlineStr"/>
    </row>
    <row r="831" ht="15" customHeight="1">
      <c r="A831" t="inlineStr">
        <is>
          <t>A 13263-2025</t>
        </is>
      </c>
      <c r="B831" s="1" t="n">
        <v>45735.53177083333</v>
      </c>
      <c r="C831" s="1" t="n">
        <v>46002</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46002</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64415-2023</t>
        </is>
      </c>
      <c r="B833" s="1" t="n">
        <v>45280</v>
      </c>
      <c r="C833" s="1" t="n">
        <v>46002</v>
      </c>
      <c r="D833" t="inlineStr">
        <is>
          <t>JÄMTLANDS LÄN</t>
        </is>
      </c>
      <c r="E833" t="inlineStr">
        <is>
          <t>RAGUNDA</t>
        </is>
      </c>
      <c r="G833" t="n">
        <v>5.1</v>
      </c>
      <c r="H833" t="n">
        <v>0</v>
      </c>
      <c r="I833" t="n">
        <v>0</v>
      </c>
      <c r="J833" t="n">
        <v>0</v>
      </c>
      <c r="K833" t="n">
        <v>0</v>
      </c>
      <c r="L833" t="n">
        <v>0</v>
      </c>
      <c r="M833" t="n">
        <v>0</v>
      </c>
      <c r="N833" t="n">
        <v>0</v>
      </c>
      <c r="O833" t="n">
        <v>0</v>
      </c>
      <c r="P833" t="n">
        <v>0</v>
      </c>
      <c r="Q833" t="n">
        <v>0</v>
      </c>
      <c r="R833" s="2" t="inlineStr"/>
    </row>
    <row r="834" ht="15" customHeight="1">
      <c r="A834" t="inlineStr">
        <is>
          <t>A 50711-2025</t>
        </is>
      </c>
      <c r="B834" s="1" t="n">
        <v>45946.34431712963</v>
      </c>
      <c r="C834" s="1" t="n">
        <v>46002</v>
      </c>
      <c r="D834" t="inlineStr">
        <is>
          <t>JÄMTLANDS LÄN</t>
        </is>
      </c>
      <c r="E834" t="inlineStr">
        <is>
          <t>RAGUNDA</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50716-2025</t>
        </is>
      </c>
      <c r="B835" s="1" t="n">
        <v>45946.34572916666</v>
      </c>
      <c r="C835" s="1" t="n">
        <v>46002</v>
      </c>
      <c r="D835" t="inlineStr">
        <is>
          <t>JÄMTLANDS LÄN</t>
        </is>
      </c>
      <c r="E835" t="inlineStr">
        <is>
          <t>RAGUNDA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60225-2022</t>
        </is>
      </c>
      <c r="B836" s="1" t="n">
        <v>44903</v>
      </c>
      <c r="C836" s="1" t="n">
        <v>46002</v>
      </c>
      <c r="D836" t="inlineStr">
        <is>
          <t>JÄMTLANDS LÄN</t>
        </is>
      </c>
      <c r="E836" t="inlineStr">
        <is>
          <t>RAGUNDA</t>
        </is>
      </c>
      <c r="G836" t="n">
        <v>1</v>
      </c>
      <c r="H836" t="n">
        <v>0</v>
      </c>
      <c r="I836" t="n">
        <v>0</v>
      </c>
      <c r="J836" t="n">
        <v>0</v>
      </c>
      <c r="K836" t="n">
        <v>0</v>
      </c>
      <c r="L836" t="n">
        <v>0</v>
      </c>
      <c r="M836" t="n">
        <v>0</v>
      </c>
      <c r="N836" t="n">
        <v>0</v>
      </c>
      <c r="O836" t="n">
        <v>0</v>
      </c>
      <c r="P836" t="n">
        <v>0</v>
      </c>
      <c r="Q836" t="n">
        <v>0</v>
      </c>
      <c r="R836" s="2" t="inlineStr"/>
    </row>
    <row r="837" ht="15" customHeight="1">
      <c r="A837" t="inlineStr">
        <is>
          <t>A 15864-2024</t>
        </is>
      </c>
      <c r="B837" s="1" t="n">
        <v>45404.99792824074</v>
      </c>
      <c r="C837" s="1" t="n">
        <v>46002</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c r="U837">
        <f>HYPERLINK("https://klasma.github.io/Logging_2303/knärot/A 15864-2024 karta knärot.png", "A 15864-2024")</f>
        <v/>
      </c>
      <c r="V837">
        <f>HYPERLINK("https://klasma.github.io/Logging_2303/klagomål/A 15864-2024 FSC-klagomål.docx", "A 15864-2024")</f>
        <v/>
      </c>
      <c r="W837">
        <f>HYPERLINK("https://klasma.github.io/Logging_2303/klagomålsmail/A 15864-2024 FSC-klagomål mail.docx", "A 15864-2024")</f>
        <v/>
      </c>
      <c r="X837">
        <f>HYPERLINK("https://klasma.github.io/Logging_2303/tillsyn/A 15864-2024 tillsynsbegäran.docx", "A 15864-2024")</f>
        <v/>
      </c>
      <c r="Y837">
        <f>HYPERLINK("https://klasma.github.io/Logging_2303/tillsynsmail/A 15864-2024 tillsynsbegäran mail.docx", "A 15864-2024")</f>
        <v/>
      </c>
    </row>
    <row r="838" ht="15" customHeight="1">
      <c r="A838" t="inlineStr">
        <is>
          <t>A 57749-2024</t>
        </is>
      </c>
      <c r="B838" s="1" t="n">
        <v>45630.7862037037</v>
      </c>
      <c r="C838" s="1" t="n">
        <v>46002</v>
      </c>
      <c r="D838" t="inlineStr">
        <is>
          <t>JÄMTLANDS LÄN</t>
        </is>
      </c>
      <c r="E838" t="inlineStr">
        <is>
          <t>RAGUNDA</t>
        </is>
      </c>
      <c r="G838" t="n">
        <v>1.3</v>
      </c>
      <c r="H838" t="n">
        <v>0</v>
      </c>
      <c r="I838" t="n">
        <v>0</v>
      </c>
      <c r="J838" t="n">
        <v>0</v>
      </c>
      <c r="K838" t="n">
        <v>0</v>
      </c>
      <c r="L838" t="n">
        <v>0</v>
      </c>
      <c r="M838" t="n">
        <v>0</v>
      </c>
      <c r="N838" t="n">
        <v>0</v>
      </c>
      <c r="O838" t="n">
        <v>0</v>
      </c>
      <c r="P838" t="n">
        <v>0</v>
      </c>
      <c r="Q838" t="n">
        <v>0</v>
      </c>
      <c r="R838" s="2" t="inlineStr"/>
    </row>
    <row r="839" ht="15" customHeight="1">
      <c r="A839" t="inlineStr">
        <is>
          <t>A 50719-2025</t>
        </is>
      </c>
      <c r="B839" s="1" t="n">
        <v>45946.34642361111</v>
      </c>
      <c r="C839" s="1" t="n">
        <v>46002</v>
      </c>
      <c r="D839" t="inlineStr">
        <is>
          <t>JÄMTLANDS LÄN</t>
        </is>
      </c>
      <c r="E839" t="inlineStr">
        <is>
          <t>RAGUNDA</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24280-2021</t>
        </is>
      </c>
      <c r="B840" s="1" t="n">
        <v>44336</v>
      </c>
      <c r="C840" s="1" t="n">
        <v>46002</v>
      </c>
      <c r="D840" t="inlineStr">
        <is>
          <t>JÄMTLANDS LÄN</t>
        </is>
      </c>
      <c r="E840" t="inlineStr">
        <is>
          <t>RAGUNDA</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59491-2025</t>
        </is>
      </c>
      <c r="B841" s="1" t="n">
        <v>45989.60376157407</v>
      </c>
      <c r="C841" s="1" t="n">
        <v>46002</v>
      </c>
      <c r="D841" t="inlineStr">
        <is>
          <t>JÄMTLANDS LÄN</t>
        </is>
      </c>
      <c r="E841" t="inlineStr">
        <is>
          <t>RAGUNDA</t>
        </is>
      </c>
      <c r="G841" t="n">
        <v>0.9</v>
      </c>
      <c r="H841" t="n">
        <v>0</v>
      </c>
      <c r="I841" t="n">
        <v>0</v>
      </c>
      <c r="J841" t="n">
        <v>0</v>
      </c>
      <c r="K841" t="n">
        <v>0</v>
      </c>
      <c r="L841" t="n">
        <v>0</v>
      </c>
      <c r="M841" t="n">
        <v>0</v>
      </c>
      <c r="N841" t="n">
        <v>0</v>
      </c>
      <c r="O841" t="n">
        <v>0</v>
      </c>
      <c r="P841" t="n">
        <v>0</v>
      </c>
      <c r="Q841" t="n">
        <v>0</v>
      </c>
      <c r="R841" s="2" t="inlineStr"/>
    </row>
    <row r="842" ht="15" customHeight="1">
      <c r="A842" t="inlineStr">
        <is>
          <t>A 8886-2024</t>
        </is>
      </c>
      <c r="B842" s="1" t="n">
        <v>45357.05300925926</v>
      </c>
      <c r="C842" s="1" t="n">
        <v>46002</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59214-2025</t>
        </is>
      </c>
      <c r="B843" s="1" t="n">
        <v>45988.61623842592</v>
      </c>
      <c r="C843" s="1" t="n">
        <v>46002</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28596-2021</t>
        </is>
      </c>
      <c r="B844" s="1" t="n">
        <v>44356</v>
      </c>
      <c r="C844" s="1" t="n">
        <v>46002</v>
      </c>
      <c r="D844" t="inlineStr">
        <is>
          <t>JÄMTLANDS LÄN</t>
        </is>
      </c>
      <c r="E844" t="inlineStr">
        <is>
          <t>RAGUNDA</t>
        </is>
      </c>
      <c r="G844" t="n">
        <v>5.4</v>
      </c>
      <c r="H844" t="n">
        <v>0</v>
      </c>
      <c r="I844" t="n">
        <v>0</v>
      </c>
      <c r="J844" t="n">
        <v>0</v>
      </c>
      <c r="K844" t="n">
        <v>0</v>
      </c>
      <c r="L844" t="n">
        <v>0</v>
      </c>
      <c r="M844" t="n">
        <v>0</v>
      </c>
      <c r="N844" t="n">
        <v>0</v>
      </c>
      <c r="O844" t="n">
        <v>0</v>
      </c>
      <c r="P844" t="n">
        <v>0</v>
      </c>
      <c r="Q844" t="n">
        <v>0</v>
      </c>
      <c r="R844" s="2" t="inlineStr"/>
    </row>
    <row r="845" ht="15" customHeight="1">
      <c r="A845" t="inlineStr">
        <is>
          <t>A 11058-2025</t>
        </is>
      </c>
      <c r="B845" s="1" t="n">
        <v>45723.51079861111</v>
      </c>
      <c r="C845" s="1" t="n">
        <v>46002</v>
      </c>
      <c r="D845" t="inlineStr">
        <is>
          <t>JÄMTLANDS LÄN</t>
        </is>
      </c>
      <c r="E845" t="inlineStr">
        <is>
          <t>RAGUNDA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51019-2025</t>
        </is>
      </c>
      <c r="B846" s="1" t="n">
        <v>45947.38623842593</v>
      </c>
      <c r="C846" s="1" t="n">
        <v>46002</v>
      </c>
      <c r="D846" t="inlineStr">
        <is>
          <t>JÄMTLANDS LÄN</t>
        </is>
      </c>
      <c r="E846" t="inlineStr">
        <is>
          <t>RAGUNDA</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38664-2022</t>
        </is>
      </c>
      <c r="B847" s="1" t="n">
        <v>44813</v>
      </c>
      <c r="C847" s="1" t="n">
        <v>46002</v>
      </c>
      <c r="D847" t="inlineStr">
        <is>
          <t>JÄMTLANDS LÄN</t>
        </is>
      </c>
      <c r="E847" t="inlineStr">
        <is>
          <t>RAGUNDA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59503-2025</t>
        </is>
      </c>
      <c r="B848" s="1" t="n">
        <v>45989.62703703704</v>
      </c>
      <c r="C848" s="1" t="n">
        <v>46002</v>
      </c>
      <c r="D848" t="inlineStr">
        <is>
          <t>JÄMTLANDS LÄN</t>
        </is>
      </c>
      <c r="E848" t="inlineStr">
        <is>
          <t>RAGUNDA</t>
        </is>
      </c>
      <c r="G848" t="n">
        <v>0.6</v>
      </c>
      <c r="H848" t="n">
        <v>0</v>
      </c>
      <c r="I848" t="n">
        <v>0</v>
      </c>
      <c r="J848" t="n">
        <v>0</v>
      </c>
      <c r="K848" t="n">
        <v>0</v>
      </c>
      <c r="L848" t="n">
        <v>0</v>
      </c>
      <c r="M848" t="n">
        <v>0</v>
      </c>
      <c r="N848" t="n">
        <v>0</v>
      </c>
      <c r="O848" t="n">
        <v>0</v>
      </c>
      <c r="P848" t="n">
        <v>0</v>
      </c>
      <c r="Q848" t="n">
        <v>0</v>
      </c>
      <c r="R848" s="2" t="inlineStr"/>
    </row>
    <row r="849" ht="15" customHeight="1">
      <c r="A849" t="inlineStr">
        <is>
          <t>A 24441-2024</t>
        </is>
      </c>
      <c r="B849" s="1" t="n">
        <v>45457.96372685185</v>
      </c>
      <c r="C849" s="1" t="n">
        <v>46002</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50985-2025</t>
        </is>
      </c>
      <c r="B850" s="1" t="n">
        <v>45947.34506944445</v>
      </c>
      <c r="C850" s="1" t="n">
        <v>46002</v>
      </c>
      <c r="D850" t="inlineStr">
        <is>
          <t>JÄMTLANDS LÄN</t>
        </is>
      </c>
      <c r="E850" t="inlineStr">
        <is>
          <t>RAGUNDA</t>
        </is>
      </c>
      <c r="F850" t="inlineStr">
        <is>
          <t>SCA</t>
        </is>
      </c>
      <c r="G850" t="n">
        <v>8</v>
      </c>
      <c r="H850" t="n">
        <v>0</v>
      </c>
      <c r="I850" t="n">
        <v>0</v>
      </c>
      <c r="J850" t="n">
        <v>0</v>
      </c>
      <c r="K850" t="n">
        <v>0</v>
      </c>
      <c r="L850" t="n">
        <v>0</v>
      </c>
      <c r="M850" t="n">
        <v>0</v>
      </c>
      <c r="N850" t="n">
        <v>0</v>
      </c>
      <c r="O850" t="n">
        <v>0</v>
      </c>
      <c r="P850" t="n">
        <v>0</v>
      </c>
      <c r="Q850" t="n">
        <v>0</v>
      </c>
      <c r="R850" s="2" t="inlineStr"/>
    </row>
    <row r="851" ht="15" customHeight="1">
      <c r="A851" t="inlineStr">
        <is>
          <t>A 51034-2025</t>
        </is>
      </c>
      <c r="B851" s="1" t="n">
        <v>45947.40670138889</v>
      </c>
      <c r="C851" s="1" t="n">
        <v>46002</v>
      </c>
      <c r="D851" t="inlineStr">
        <is>
          <t>JÄMTLANDS LÄN</t>
        </is>
      </c>
      <c r="E851" t="inlineStr">
        <is>
          <t>RAGUNDA</t>
        </is>
      </c>
      <c r="F851" t="inlineStr">
        <is>
          <t>SCA</t>
        </is>
      </c>
      <c r="G851" t="n">
        <v>44.1</v>
      </c>
      <c r="H851" t="n">
        <v>0</v>
      </c>
      <c r="I851" t="n">
        <v>0</v>
      </c>
      <c r="J851" t="n">
        <v>0</v>
      </c>
      <c r="K851" t="n">
        <v>0</v>
      </c>
      <c r="L851" t="n">
        <v>0</v>
      </c>
      <c r="M851" t="n">
        <v>0</v>
      </c>
      <c r="N851" t="n">
        <v>0</v>
      </c>
      <c r="O851" t="n">
        <v>0</v>
      </c>
      <c r="P851" t="n">
        <v>0</v>
      </c>
      <c r="Q851" t="n">
        <v>0</v>
      </c>
      <c r="R851" s="2" t="inlineStr"/>
    </row>
    <row r="852" ht="15" customHeight="1">
      <c r="A852" t="inlineStr">
        <is>
          <t>A 40801-2023</t>
        </is>
      </c>
      <c r="B852" s="1" t="n">
        <v>45170</v>
      </c>
      <c r="C852" s="1" t="n">
        <v>46002</v>
      </c>
      <c r="D852" t="inlineStr">
        <is>
          <t>JÄMTLANDS LÄN</t>
        </is>
      </c>
      <c r="E852" t="inlineStr">
        <is>
          <t>RAGUNDA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59499-2025</t>
        </is>
      </c>
      <c r="B853" s="1" t="n">
        <v>45989.61846064815</v>
      </c>
      <c r="C853" s="1" t="n">
        <v>46002</v>
      </c>
      <c r="D853" t="inlineStr">
        <is>
          <t>JÄMTLANDS LÄN</t>
        </is>
      </c>
      <c r="E853" t="inlineStr">
        <is>
          <t>RAGUNDA</t>
        </is>
      </c>
      <c r="G853" t="n">
        <v>2</v>
      </c>
      <c r="H853" t="n">
        <v>0</v>
      </c>
      <c r="I853" t="n">
        <v>0</v>
      </c>
      <c r="J853" t="n">
        <v>0</v>
      </c>
      <c r="K853" t="n">
        <v>0</v>
      </c>
      <c r="L853" t="n">
        <v>0</v>
      </c>
      <c r="M853" t="n">
        <v>0</v>
      </c>
      <c r="N853" t="n">
        <v>0</v>
      </c>
      <c r="O853" t="n">
        <v>0</v>
      </c>
      <c r="P853" t="n">
        <v>0</v>
      </c>
      <c r="Q853" t="n">
        <v>0</v>
      </c>
      <c r="R853" s="2" t="inlineStr"/>
    </row>
    <row r="854" ht="15" customHeight="1">
      <c r="A854" t="inlineStr">
        <is>
          <t>A 51592-2025</t>
        </is>
      </c>
      <c r="B854" s="1" t="n">
        <v>45951.36541666667</v>
      </c>
      <c r="C854" s="1" t="n">
        <v>46002</v>
      </c>
      <c r="D854" t="inlineStr">
        <is>
          <t>JÄMTLANDS LÄN</t>
        </is>
      </c>
      <c r="E854" t="inlineStr">
        <is>
          <t>RAGUNDA</t>
        </is>
      </c>
      <c r="G854" t="n">
        <v>1.3</v>
      </c>
      <c r="H854" t="n">
        <v>0</v>
      </c>
      <c r="I854" t="n">
        <v>0</v>
      </c>
      <c r="J854" t="n">
        <v>0</v>
      </c>
      <c r="K854" t="n">
        <v>0</v>
      </c>
      <c r="L854" t="n">
        <v>0</v>
      </c>
      <c r="M854" t="n">
        <v>0</v>
      </c>
      <c r="N854" t="n">
        <v>0</v>
      </c>
      <c r="O854" t="n">
        <v>0</v>
      </c>
      <c r="P854" t="n">
        <v>0</v>
      </c>
      <c r="Q854" t="n">
        <v>0</v>
      </c>
      <c r="R854" s="2" t="inlineStr"/>
    </row>
    <row r="855" ht="15" customHeight="1">
      <c r="A855" t="inlineStr">
        <is>
          <t>A 51395-2025</t>
        </is>
      </c>
      <c r="B855" s="1" t="n">
        <v>45950.46989583333</v>
      </c>
      <c r="C855" s="1" t="n">
        <v>46002</v>
      </c>
      <c r="D855" t="inlineStr">
        <is>
          <t>JÄMTLANDS LÄN</t>
        </is>
      </c>
      <c r="E855" t="inlineStr">
        <is>
          <t>RAGUNDA</t>
        </is>
      </c>
      <c r="F855" t="inlineStr">
        <is>
          <t>SCA</t>
        </is>
      </c>
      <c r="G855" t="n">
        <v>30.7</v>
      </c>
      <c r="H855" t="n">
        <v>0</v>
      </c>
      <c r="I855" t="n">
        <v>0</v>
      </c>
      <c r="J855" t="n">
        <v>0</v>
      </c>
      <c r="K855" t="n">
        <v>0</v>
      </c>
      <c r="L855" t="n">
        <v>0</v>
      </c>
      <c r="M855" t="n">
        <v>0</v>
      </c>
      <c r="N855" t="n">
        <v>0</v>
      </c>
      <c r="O855" t="n">
        <v>0</v>
      </c>
      <c r="P855" t="n">
        <v>0</v>
      </c>
      <c r="Q855" t="n">
        <v>0</v>
      </c>
      <c r="R855" s="2" t="inlineStr"/>
    </row>
    <row r="856" ht="15" customHeight="1">
      <c r="A856" t="inlineStr">
        <is>
          <t>A 48065-2023</t>
        </is>
      </c>
      <c r="B856" s="1" t="n">
        <v>45204.94399305555</v>
      </c>
      <c r="C856" s="1" t="n">
        <v>46002</v>
      </c>
      <c r="D856" t="inlineStr">
        <is>
          <t>JÄMTLANDS LÄN</t>
        </is>
      </c>
      <c r="E856" t="inlineStr">
        <is>
          <t>RAGUNDA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59692-2025</t>
        </is>
      </c>
      <c r="B857" s="1" t="n">
        <v>45992.49001157407</v>
      </c>
      <c r="C857" s="1" t="n">
        <v>46002</v>
      </c>
      <c r="D857" t="inlineStr">
        <is>
          <t>JÄMTLANDS LÄN</t>
        </is>
      </c>
      <c r="E857" t="inlineStr">
        <is>
          <t>RAGUNDA</t>
        </is>
      </c>
      <c r="G857" t="n">
        <v>2.7</v>
      </c>
      <c r="H857" t="n">
        <v>0</v>
      </c>
      <c r="I857" t="n">
        <v>0</v>
      </c>
      <c r="J857" t="n">
        <v>0</v>
      </c>
      <c r="K857" t="n">
        <v>0</v>
      </c>
      <c r="L857" t="n">
        <v>0</v>
      </c>
      <c r="M857" t="n">
        <v>0</v>
      </c>
      <c r="N857" t="n">
        <v>0</v>
      </c>
      <c r="O857" t="n">
        <v>0</v>
      </c>
      <c r="P857" t="n">
        <v>0</v>
      </c>
      <c r="Q857" t="n">
        <v>0</v>
      </c>
      <c r="R857" s="2" t="inlineStr"/>
    </row>
    <row r="858" ht="15" customHeight="1">
      <c r="A858" t="inlineStr">
        <is>
          <t>A 51678-2025</t>
        </is>
      </c>
      <c r="B858" s="1" t="n">
        <v>45951.51106481482</v>
      </c>
      <c r="C858" s="1" t="n">
        <v>46002</v>
      </c>
      <c r="D858" t="inlineStr">
        <is>
          <t>JÄMTLANDS LÄN</t>
        </is>
      </c>
      <c r="E858" t="inlineStr">
        <is>
          <t>RAGUNDA</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59693-2025</t>
        </is>
      </c>
      <c r="B859" s="1" t="n">
        <v>45992.49009259259</v>
      </c>
      <c r="C859" s="1" t="n">
        <v>46002</v>
      </c>
      <c r="D859" t="inlineStr">
        <is>
          <t>JÄMTLANDS LÄN</t>
        </is>
      </c>
      <c r="E859" t="inlineStr">
        <is>
          <t>RAGUNDA</t>
        </is>
      </c>
      <c r="G859" t="n">
        <v>0.7</v>
      </c>
      <c r="H859" t="n">
        <v>0</v>
      </c>
      <c r="I859" t="n">
        <v>0</v>
      </c>
      <c r="J859" t="n">
        <v>0</v>
      </c>
      <c r="K859" t="n">
        <v>0</v>
      </c>
      <c r="L859" t="n">
        <v>0</v>
      </c>
      <c r="M859" t="n">
        <v>0</v>
      </c>
      <c r="N859" t="n">
        <v>0</v>
      </c>
      <c r="O859" t="n">
        <v>0</v>
      </c>
      <c r="P859" t="n">
        <v>0</v>
      </c>
      <c r="Q859" t="n">
        <v>0</v>
      </c>
      <c r="R859" s="2" t="inlineStr"/>
    </row>
    <row r="860" ht="15" customHeight="1">
      <c r="A860" t="inlineStr">
        <is>
          <t>A 4592-2024</t>
        </is>
      </c>
      <c r="B860" s="1" t="n">
        <v>45327.94443287037</v>
      </c>
      <c r="C860" s="1" t="n">
        <v>46002</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60195-2023</t>
        </is>
      </c>
      <c r="B861" s="1" t="n">
        <v>45257</v>
      </c>
      <c r="C861" s="1" t="n">
        <v>46002</v>
      </c>
      <c r="D861" t="inlineStr">
        <is>
          <t>JÄMTLANDS LÄN</t>
        </is>
      </c>
      <c r="E861" t="inlineStr">
        <is>
          <t>RAGUNDA</t>
        </is>
      </c>
      <c r="G861" t="n">
        <v>1.7</v>
      </c>
      <c r="H861" t="n">
        <v>0</v>
      </c>
      <c r="I861" t="n">
        <v>0</v>
      </c>
      <c r="J861" t="n">
        <v>0</v>
      </c>
      <c r="K861" t="n">
        <v>0</v>
      </c>
      <c r="L861" t="n">
        <v>0</v>
      </c>
      <c r="M861" t="n">
        <v>0</v>
      </c>
      <c r="N861" t="n">
        <v>0</v>
      </c>
      <c r="O861" t="n">
        <v>0</v>
      </c>
      <c r="P861" t="n">
        <v>0</v>
      </c>
      <c r="Q861" t="n">
        <v>0</v>
      </c>
      <c r="R861" s="2" t="inlineStr"/>
    </row>
    <row r="862" ht="15" customHeight="1">
      <c r="A862" t="inlineStr">
        <is>
          <t>A 22981-2023</t>
        </is>
      </c>
      <c r="B862" s="1" t="n">
        <v>45072.92737268518</v>
      </c>
      <c r="C862" s="1" t="n">
        <v>46002</v>
      </c>
      <c r="D862" t="inlineStr">
        <is>
          <t>JÄMTLANDS LÄN</t>
        </is>
      </c>
      <c r="E862" t="inlineStr">
        <is>
          <t>RAGUNDA</t>
        </is>
      </c>
      <c r="G862" t="n">
        <v>3.8</v>
      </c>
      <c r="H862" t="n">
        <v>0</v>
      </c>
      <c r="I862" t="n">
        <v>0</v>
      </c>
      <c r="J862" t="n">
        <v>0</v>
      </c>
      <c r="K862" t="n">
        <v>0</v>
      </c>
      <c r="L862" t="n">
        <v>0</v>
      </c>
      <c r="M862" t="n">
        <v>0</v>
      </c>
      <c r="N862" t="n">
        <v>0</v>
      </c>
      <c r="O862" t="n">
        <v>0</v>
      </c>
      <c r="P862" t="n">
        <v>0</v>
      </c>
      <c r="Q862" t="n">
        <v>0</v>
      </c>
      <c r="R862" s="2" t="inlineStr"/>
    </row>
    <row r="863" ht="15" customHeight="1">
      <c r="A863" t="inlineStr">
        <is>
          <t>A 57914-2025</t>
        </is>
      </c>
      <c r="B863" s="1" t="n">
        <v>45981</v>
      </c>
      <c r="C863" s="1" t="n">
        <v>46002</v>
      </c>
      <c r="D863" t="inlineStr">
        <is>
          <t>JÄMTLANDS LÄN</t>
        </is>
      </c>
      <c r="E863" t="inlineStr">
        <is>
          <t>RAGUNDA</t>
        </is>
      </c>
      <c r="G863" t="n">
        <v>3.2</v>
      </c>
      <c r="H863" t="n">
        <v>0</v>
      </c>
      <c r="I863" t="n">
        <v>0</v>
      </c>
      <c r="J863" t="n">
        <v>0</v>
      </c>
      <c r="K863" t="n">
        <v>0</v>
      </c>
      <c r="L863" t="n">
        <v>0</v>
      </c>
      <c r="M863" t="n">
        <v>0</v>
      </c>
      <c r="N863" t="n">
        <v>0</v>
      </c>
      <c r="O863" t="n">
        <v>0</v>
      </c>
      <c r="P863" t="n">
        <v>0</v>
      </c>
      <c r="Q863" t="n">
        <v>0</v>
      </c>
      <c r="R863" s="2" t="inlineStr"/>
    </row>
    <row r="864" ht="15" customHeight="1">
      <c r="A864" t="inlineStr">
        <is>
          <t>A 59931-2025</t>
        </is>
      </c>
      <c r="B864" s="1" t="n">
        <v>45993.40177083333</v>
      </c>
      <c r="C864" s="1" t="n">
        <v>46002</v>
      </c>
      <c r="D864" t="inlineStr">
        <is>
          <t>JÄMTLANDS LÄN</t>
        </is>
      </c>
      <c r="E864" t="inlineStr">
        <is>
          <t>RAGUNDA</t>
        </is>
      </c>
      <c r="G864" t="n">
        <v>4</v>
      </c>
      <c r="H864" t="n">
        <v>0</v>
      </c>
      <c r="I864" t="n">
        <v>0</v>
      </c>
      <c r="J864" t="n">
        <v>0</v>
      </c>
      <c r="K864" t="n">
        <v>0</v>
      </c>
      <c r="L864" t="n">
        <v>0</v>
      </c>
      <c r="M864" t="n">
        <v>0</v>
      </c>
      <c r="N864" t="n">
        <v>0</v>
      </c>
      <c r="O864" t="n">
        <v>0</v>
      </c>
      <c r="P864" t="n">
        <v>0</v>
      </c>
      <c r="Q864" t="n">
        <v>0</v>
      </c>
      <c r="R864" s="2" t="inlineStr"/>
    </row>
    <row r="865" ht="15" customHeight="1">
      <c r="A865" t="inlineStr">
        <is>
          <t>A 51593-2025</t>
        </is>
      </c>
      <c r="B865" s="1" t="n">
        <v>45951.36548611111</v>
      </c>
      <c r="C865" s="1" t="n">
        <v>46002</v>
      </c>
      <c r="D865" t="inlineStr">
        <is>
          <t>JÄMTLANDS LÄN</t>
        </is>
      </c>
      <c r="E865" t="inlineStr">
        <is>
          <t>RAGUNDA</t>
        </is>
      </c>
      <c r="G865" t="n">
        <v>1.5</v>
      </c>
      <c r="H865" t="n">
        <v>0</v>
      </c>
      <c r="I865" t="n">
        <v>0</v>
      </c>
      <c r="J865" t="n">
        <v>0</v>
      </c>
      <c r="K865" t="n">
        <v>0</v>
      </c>
      <c r="L865" t="n">
        <v>0</v>
      </c>
      <c r="M865" t="n">
        <v>0</v>
      </c>
      <c r="N865" t="n">
        <v>0</v>
      </c>
      <c r="O865" t="n">
        <v>0</v>
      </c>
      <c r="P865" t="n">
        <v>0</v>
      </c>
      <c r="Q865" t="n">
        <v>0</v>
      </c>
      <c r="R865" s="2" t="inlineStr"/>
    </row>
    <row r="866" ht="15" customHeight="1">
      <c r="A866" t="inlineStr">
        <is>
          <t>A 60062-2025</t>
        </is>
      </c>
      <c r="B866" s="1" t="n">
        <v>45993.65694444445</v>
      </c>
      <c r="C866" s="1" t="n">
        <v>46002</v>
      </c>
      <c r="D866" t="inlineStr">
        <is>
          <t>JÄMTLANDS LÄN</t>
        </is>
      </c>
      <c r="E866" t="inlineStr">
        <is>
          <t>RAGUNDA</t>
        </is>
      </c>
      <c r="F866" t="inlineStr">
        <is>
          <t>SCA</t>
        </is>
      </c>
      <c r="G866" t="n">
        <v>5.8</v>
      </c>
      <c r="H866" t="n">
        <v>0</v>
      </c>
      <c r="I866" t="n">
        <v>0</v>
      </c>
      <c r="J866" t="n">
        <v>0</v>
      </c>
      <c r="K866" t="n">
        <v>0</v>
      </c>
      <c r="L866" t="n">
        <v>0</v>
      </c>
      <c r="M866" t="n">
        <v>0</v>
      </c>
      <c r="N866" t="n">
        <v>0</v>
      </c>
      <c r="O866" t="n">
        <v>0</v>
      </c>
      <c r="P866" t="n">
        <v>0</v>
      </c>
      <c r="Q866" t="n">
        <v>0</v>
      </c>
      <c r="R866" s="2" t="inlineStr"/>
    </row>
    <row r="867" ht="15" customHeight="1">
      <c r="A867" t="inlineStr">
        <is>
          <t>A 59738-2025</t>
        </is>
      </c>
      <c r="B867" s="1" t="n">
        <v>45992.57408564815</v>
      </c>
      <c r="C867" s="1" t="n">
        <v>46002</v>
      </c>
      <c r="D867" t="inlineStr">
        <is>
          <t>JÄMTLANDS LÄN</t>
        </is>
      </c>
      <c r="E867" t="inlineStr">
        <is>
          <t>RAGUNDA</t>
        </is>
      </c>
      <c r="F867" t="inlineStr">
        <is>
          <t>SCA</t>
        </is>
      </c>
      <c r="G867" t="n">
        <v>12.5</v>
      </c>
      <c r="H867" t="n">
        <v>0</v>
      </c>
      <c r="I867" t="n">
        <v>0</v>
      </c>
      <c r="J867" t="n">
        <v>0</v>
      </c>
      <c r="K867" t="n">
        <v>0</v>
      </c>
      <c r="L867" t="n">
        <v>0</v>
      </c>
      <c r="M867" t="n">
        <v>0</v>
      </c>
      <c r="N867" t="n">
        <v>0</v>
      </c>
      <c r="O867" t="n">
        <v>0</v>
      </c>
      <c r="P867" t="n">
        <v>0</v>
      </c>
      <c r="Q867" t="n">
        <v>0</v>
      </c>
      <c r="R867" s="2" t="inlineStr"/>
    </row>
    <row r="868" ht="15" customHeight="1">
      <c r="A868" t="inlineStr">
        <is>
          <t>A 51484-2025</t>
        </is>
      </c>
      <c r="B868" s="1" t="n">
        <v>45950.62196759259</v>
      </c>
      <c r="C868" s="1" t="n">
        <v>46002</v>
      </c>
      <c r="D868" t="inlineStr">
        <is>
          <t>JÄMTLANDS LÄN</t>
        </is>
      </c>
      <c r="E868" t="inlineStr">
        <is>
          <t>RAGUNDA</t>
        </is>
      </c>
      <c r="F868" t="inlineStr">
        <is>
          <t>SCA</t>
        </is>
      </c>
      <c r="G868" t="n">
        <v>23.1</v>
      </c>
      <c r="H868" t="n">
        <v>0</v>
      </c>
      <c r="I868" t="n">
        <v>0</v>
      </c>
      <c r="J868" t="n">
        <v>0</v>
      </c>
      <c r="K868" t="n">
        <v>0</v>
      </c>
      <c r="L868" t="n">
        <v>0</v>
      </c>
      <c r="M868" t="n">
        <v>0</v>
      </c>
      <c r="N868" t="n">
        <v>0</v>
      </c>
      <c r="O868" t="n">
        <v>0</v>
      </c>
      <c r="P868" t="n">
        <v>0</v>
      </c>
      <c r="Q868" t="n">
        <v>0</v>
      </c>
      <c r="R868" s="2" t="inlineStr"/>
    </row>
    <row r="869" ht="15" customHeight="1">
      <c r="A869" t="inlineStr">
        <is>
          <t>A 51491-2025</t>
        </is>
      </c>
      <c r="B869" s="1" t="n">
        <v>45950.63362268519</v>
      </c>
      <c r="C869" s="1" t="n">
        <v>46002</v>
      </c>
      <c r="D869" t="inlineStr">
        <is>
          <t>JÄMTLANDS LÄN</t>
        </is>
      </c>
      <c r="E869" t="inlineStr">
        <is>
          <t>RAGUNDA</t>
        </is>
      </c>
      <c r="G869" t="n">
        <v>1.1</v>
      </c>
      <c r="H869" t="n">
        <v>0</v>
      </c>
      <c r="I869" t="n">
        <v>0</v>
      </c>
      <c r="J869" t="n">
        <v>0</v>
      </c>
      <c r="K869" t="n">
        <v>0</v>
      </c>
      <c r="L869" t="n">
        <v>0</v>
      </c>
      <c r="M869" t="n">
        <v>0</v>
      </c>
      <c r="N869" t="n">
        <v>0</v>
      </c>
      <c r="O869" t="n">
        <v>0</v>
      </c>
      <c r="P869" t="n">
        <v>0</v>
      </c>
      <c r="Q869" t="n">
        <v>0</v>
      </c>
      <c r="R869" s="2" t="inlineStr"/>
    </row>
    <row r="870" ht="15" customHeight="1">
      <c r="A870" t="inlineStr">
        <is>
          <t>A 26942-2021</t>
        </is>
      </c>
      <c r="B870" s="1" t="n">
        <v>44349.91978009259</v>
      </c>
      <c r="C870" s="1" t="n">
        <v>46002</v>
      </c>
      <c r="D870" t="inlineStr">
        <is>
          <t>JÄMTLANDS LÄN</t>
        </is>
      </c>
      <c r="E870" t="inlineStr">
        <is>
          <t>RAGUNDA</t>
        </is>
      </c>
      <c r="G870" t="n">
        <v>6.2</v>
      </c>
      <c r="H870" t="n">
        <v>0</v>
      </c>
      <c r="I870" t="n">
        <v>0</v>
      </c>
      <c r="J870" t="n">
        <v>0</v>
      </c>
      <c r="K870" t="n">
        <v>0</v>
      </c>
      <c r="L870" t="n">
        <v>0</v>
      </c>
      <c r="M870" t="n">
        <v>0</v>
      </c>
      <c r="N870" t="n">
        <v>0</v>
      </c>
      <c r="O870" t="n">
        <v>0</v>
      </c>
      <c r="P870" t="n">
        <v>0</v>
      </c>
      <c r="Q870" t="n">
        <v>0</v>
      </c>
      <c r="R870" s="2" t="inlineStr"/>
    </row>
    <row r="871" ht="15" customHeight="1">
      <c r="A871" t="inlineStr">
        <is>
          <t>A 59740-2025</t>
        </is>
      </c>
      <c r="B871" s="1" t="n">
        <v>45992.5743287037</v>
      </c>
      <c r="C871" s="1" t="n">
        <v>46002</v>
      </c>
      <c r="D871" t="inlineStr">
        <is>
          <t>JÄMTLANDS LÄN</t>
        </is>
      </c>
      <c r="E871" t="inlineStr">
        <is>
          <t>RAGUNDA</t>
        </is>
      </c>
      <c r="F871" t="inlineStr">
        <is>
          <t>SCA</t>
        </is>
      </c>
      <c r="G871" t="n">
        <v>14.1</v>
      </c>
      <c r="H871" t="n">
        <v>0</v>
      </c>
      <c r="I871" t="n">
        <v>0</v>
      </c>
      <c r="J871" t="n">
        <v>0</v>
      </c>
      <c r="K871" t="n">
        <v>0</v>
      </c>
      <c r="L871" t="n">
        <v>0</v>
      </c>
      <c r="M871" t="n">
        <v>0</v>
      </c>
      <c r="N871" t="n">
        <v>0</v>
      </c>
      <c r="O871" t="n">
        <v>0</v>
      </c>
      <c r="P871" t="n">
        <v>0</v>
      </c>
      <c r="Q871" t="n">
        <v>0</v>
      </c>
      <c r="R871" s="2" t="inlineStr"/>
    </row>
    <row r="872" ht="15" customHeight="1">
      <c r="A872" t="inlineStr">
        <is>
          <t>A 46546-2023</t>
        </is>
      </c>
      <c r="B872" s="1" t="n">
        <v>45197.94152777778</v>
      </c>
      <c r="C872" s="1" t="n">
        <v>46002</v>
      </c>
      <c r="D872" t="inlineStr">
        <is>
          <t>JÄMTLANDS LÄN</t>
        </is>
      </c>
      <c r="E872" t="inlineStr">
        <is>
          <t>RAGUNDA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19865-2023</t>
        </is>
      </c>
      <c r="B873" s="1" t="n">
        <v>45053.94305555556</v>
      </c>
      <c r="C873" s="1" t="n">
        <v>46002</v>
      </c>
      <c r="D873" t="inlineStr">
        <is>
          <t>JÄMTLANDS LÄN</t>
        </is>
      </c>
      <c r="E873" t="inlineStr">
        <is>
          <t>RAGUNDA</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59739-2025</t>
        </is>
      </c>
      <c r="B874" s="1" t="n">
        <v>45992.57417824074</v>
      </c>
      <c r="C874" s="1" t="n">
        <v>46002</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51791-2025</t>
        </is>
      </c>
      <c r="B875" s="1" t="n">
        <v>45951.69833333333</v>
      </c>
      <c r="C875" s="1" t="n">
        <v>46002</v>
      </c>
      <c r="D875" t="inlineStr">
        <is>
          <t>JÄMTLANDS LÄN</t>
        </is>
      </c>
      <c r="E875" t="inlineStr">
        <is>
          <t>RAGUNDA</t>
        </is>
      </c>
      <c r="F875" t="inlineStr">
        <is>
          <t>SCA</t>
        </is>
      </c>
      <c r="G875" t="n">
        <v>43.3</v>
      </c>
      <c r="H875" t="n">
        <v>0</v>
      </c>
      <c r="I875" t="n">
        <v>0</v>
      </c>
      <c r="J875" t="n">
        <v>0</v>
      </c>
      <c r="K875" t="n">
        <v>0</v>
      </c>
      <c r="L875" t="n">
        <v>0</v>
      </c>
      <c r="M875" t="n">
        <v>0</v>
      </c>
      <c r="N875" t="n">
        <v>0</v>
      </c>
      <c r="O875" t="n">
        <v>0</v>
      </c>
      <c r="P875" t="n">
        <v>0</v>
      </c>
      <c r="Q875" t="n">
        <v>0</v>
      </c>
      <c r="R875" s="2" t="inlineStr"/>
    </row>
    <row r="876" ht="15" customHeight="1">
      <c r="A876" t="inlineStr">
        <is>
          <t>A 57915-2025</t>
        </is>
      </c>
      <c r="B876" s="1" t="n">
        <v>45981</v>
      </c>
      <c r="C876" s="1" t="n">
        <v>46002</v>
      </c>
      <c r="D876" t="inlineStr">
        <is>
          <t>JÄMTLANDS LÄN</t>
        </is>
      </c>
      <c r="E876" t="inlineStr">
        <is>
          <t>RAGUNDA</t>
        </is>
      </c>
      <c r="G876" t="n">
        <v>6.4</v>
      </c>
      <c r="H876" t="n">
        <v>0</v>
      </c>
      <c r="I876" t="n">
        <v>0</v>
      </c>
      <c r="J876" t="n">
        <v>0</v>
      </c>
      <c r="K876" t="n">
        <v>0</v>
      </c>
      <c r="L876" t="n">
        <v>0</v>
      </c>
      <c r="M876" t="n">
        <v>0</v>
      </c>
      <c r="N876" t="n">
        <v>0</v>
      </c>
      <c r="O876" t="n">
        <v>0</v>
      </c>
      <c r="P876" t="n">
        <v>0</v>
      </c>
      <c r="Q876" t="n">
        <v>0</v>
      </c>
      <c r="R876" s="2" t="inlineStr"/>
    </row>
    <row r="877" ht="15" customHeight="1">
      <c r="A877" t="inlineStr">
        <is>
          <t>A 51702-2025</t>
        </is>
      </c>
      <c r="B877" s="1" t="n">
        <v>45951.55305555555</v>
      </c>
      <c r="C877" s="1" t="n">
        <v>46002</v>
      </c>
      <c r="D877" t="inlineStr">
        <is>
          <t>JÄMTLANDS LÄN</t>
        </is>
      </c>
      <c r="E877" t="inlineStr">
        <is>
          <t>RAGUNDA</t>
        </is>
      </c>
      <c r="G877" t="n">
        <v>11.4</v>
      </c>
      <c r="H877" t="n">
        <v>0</v>
      </c>
      <c r="I877" t="n">
        <v>0</v>
      </c>
      <c r="J877" t="n">
        <v>0</v>
      </c>
      <c r="K877" t="n">
        <v>0</v>
      </c>
      <c r="L877" t="n">
        <v>0</v>
      </c>
      <c r="M877" t="n">
        <v>0</v>
      </c>
      <c r="N877" t="n">
        <v>0</v>
      </c>
      <c r="O877" t="n">
        <v>0</v>
      </c>
      <c r="P877" t="n">
        <v>0</v>
      </c>
      <c r="Q877" t="n">
        <v>0</v>
      </c>
      <c r="R877" s="2" t="inlineStr"/>
    </row>
    <row r="878" ht="15" customHeight="1">
      <c r="A878" t="inlineStr">
        <is>
          <t>A 51394-2025</t>
        </is>
      </c>
      <c r="B878" s="1" t="n">
        <v>45950.46972222222</v>
      </c>
      <c r="C878" s="1" t="n">
        <v>46002</v>
      </c>
      <c r="D878" t="inlineStr">
        <is>
          <t>JÄMTLANDS LÄN</t>
        </is>
      </c>
      <c r="E878" t="inlineStr">
        <is>
          <t>RAGUNDA</t>
        </is>
      </c>
      <c r="F878" t="inlineStr">
        <is>
          <t>SCA</t>
        </is>
      </c>
      <c r="G878" t="n">
        <v>36.5</v>
      </c>
      <c r="H878" t="n">
        <v>0</v>
      </c>
      <c r="I878" t="n">
        <v>0</v>
      </c>
      <c r="J878" t="n">
        <v>0</v>
      </c>
      <c r="K878" t="n">
        <v>0</v>
      </c>
      <c r="L878" t="n">
        <v>0</v>
      </c>
      <c r="M878" t="n">
        <v>0</v>
      </c>
      <c r="N878" t="n">
        <v>0</v>
      </c>
      <c r="O878" t="n">
        <v>0</v>
      </c>
      <c r="P878" t="n">
        <v>0</v>
      </c>
      <c r="Q878" t="n">
        <v>0</v>
      </c>
      <c r="R878" s="2" t="inlineStr"/>
    </row>
    <row r="879" ht="15" customHeight="1">
      <c r="A879" t="inlineStr">
        <is>
          <t>A 52317-2025</t>
        </is>
      </c>
      <c r="B879" s="1" t="n">
        <v>45953.65675925926</v>
      </c>
      <c r="C879" s="1" t="n">
        <v>46002</v>
      </c>
      <c r="D879" t="inlineStr">
        <is>
          <t>JÄMTLANDS LÄN</t>
        </is>
      </c>
      <c r="E879" t="inlineStr">
        <is>
          <t>RAGUNDA</t>
        </is>
      </c>
      <c r="F879" t="inlineStr">
        <is>
          <t>SCA</t>
        </is>
      </c>
      <c r="G879" t="n">
        <v>27.2</v>
      </c>
      <c r="H879" t="n">
        <v>0</v>
      </c>
      <c r="I879" t="n">
        <v>0</v>
      </c>
      <c r="J879" t="n">
        <v>0</v>
      </c>
      <c r="K879" t="n">
        <v>0</v>
      </c>
      <c r="L879" t="n">
        <v>0</v>
      </c>
      <c r="M879" t="n">
        <v>0</v>
      </c>
      <c r="N879" t="n">
        <v>0</v>
      </c>
      <c r="O879" t="n">
        <v>0</v>
      </c>
      <c r="P879" t="n">
        <v>0</v>
      </c>
      <c r="Q879" t="n">
        <v>0</v>
      </c>
      <c r="R879" s="2" t="inlineStr"/>
    </row>
    <row r="880" ht="15" customHeight="1">
      <c r="A880" t="inlineStr">
        <is>
          <t>A 60389-2025</t>
        </is>
      </c>
      <c r="B880" s="1" t="n">
        <v>45995.38628472222</v>
      </c>
      <c r="C880" s="1" t="n">
        <v>46002</v>
      </c>
      <c r="D880" t="inlineStr">
        <is>
          <t>JÄMTLANDS LÄN</t>
        </is>
      </c>
      <c r="E880" t="inlineStr">
        <is>
          <t>RAGUNDA</t>
        </is>
      </c>
      <c r="G880" t="n">
        <v>3.3</v>
      </c>
      <c r="H880" t="n">
        <v>0</v>
      </c>
      <c r="I880" t="n">
        <v>0</v>
      </c>
      <c r="J880" t="n">
        <v>0</v>
      </c>
      <c r="K880" t="n">
        <v>0</v>
      </c>
      <c r="L880" t="n">
        <v>0</v>
      </c>
      <c r="M880" t="n">
        <v>0</v>
      </c>
      <c r="N880" t="n">
        <v>0</v>
      </c>
      <c r="O880" t="n">
        <v>0</v>
      </c>
      <c r="P880" t="n">
        <v>0</v>
      </c>
      <c r="Q880" t="n">
        <v>0</v>
      </c>
      <c r="R880" s="2" t="inlineStr"/>
    </row>
    <row r="881" ht="15" customHeight="1">
      <c r="A881" t="inlineStr">
        <is>
          <t>A 60130-2025</t>
        </is>
      </c>
      <c r="B881" s="1" t="n">
        <v>45994.34467592592</v>
      </c>
      <c r="C881" s="1" t="n">
        <v>46002</v>
      </c>
      <c r="D881" t="inlineStr">
        <is>
          <t>JÄMTLANDS LÄN</t>
        </is>
      </c>
      <c r="E881" t="inlineStr">
        <is>
          <t>RAGUNDA</t>
        </is>
      </c>
      <c r="G881" t="n">
        <v>4.9</v>
      </c>
      <c r="H881" t="n">
        <v>0</v>
      </c>
      <c r="I881" t="n">
        <v>0</v>
      </c>
      <c r="J881" t="n">
        <v>0</v>
      </c>
      <c r="K881" t="n">
        <v>0</v>
      </c>
      <c r="L881" t="n">
        <v>0</v>
      </c>
      <c r="M881" t="n">
        <v>0</v>
      </c>
      <c r="N881" t="n">
        <v>0</v>
      </c>
      <c r="O881" t="n">
        <v>0</v>
      </c>
      <c r="P881" t="n">
        <v>0</v>
      </c>
      <c r="Q881" t="n">
        <v>0</v>
      </c>
      <c r="R881" s="2" t="inlineStr"/>
    </row>
    <row r="882" ht="15" customHeight="1">
      <c r="A882" t="inlineStr">
        <is>
          <t>A 52122-2025</t>
        </is>
      </c>
      <c r="B882" s="1" t="n">
        <v>45952.71946759259</v>
      </c>
      <c r="C882" s="1" t="n">
        <v>46002</v>
      </c>
      <c r="D882" t="inlineStr">
        <is>
          <t>JÄMTLANDS LÄN</t>
        </is>
      </c>
      <c r="E882" t="inlineStr">
        <is>
          <t>RAGUNDA</t>
        </is>
      </c>
      <c r="F882" t="inlineStr">
        <is>
          <t>SCA</t>
        </is>
      </c>
      <c r="G882" t="n">
        <v>8</v>
      </c>
      <c r="H882" t="n">
        <v>0</v>
      </c>
      <c r="I882" t="n">
        <v>0</v>
      </c>
      <c r="J882" t="n">
        <v>0</v>
      </c>
      <c r="K882" t="n">
        <v>0</v>
      </c>
      <c r="L882" t="n">
        <v>0</v>
      </c>
      <c r="M882" t="n">
        <v>0</v>
      </c>
      <c r="N882" t="n">
        <v>0</v>
      </c>
      <c r="O882" t="n">
        <v>0</v>
      </c>
      <c r="P882" t="n">
        <v>0</v>
      </c>
      <c r="Q882" t="n">
        <v>0</v>
      </c>
      <c r="R882" s="2" t="inlineStr"/>
    </row>
    <row r="883" ht="15" customHeight="1">
      <c r="A883" t="inlineStr">
        <is>
          <t>A 60128-2025</t>
        </is>
      </c>
      <c r="B883" s="1" t="n">
        <v>45994.34456018519</v>
      </c>
      <c r="C883" s="1" t="n">
        <v>46002</v>
      </c>
      <c r="D883" t="inlineStr">
        <is>
          <t>JÄMTLANDS LÄN</t>
        </is>
      </c>
      <c r="E883" t="inlineStr">
        <is>
          <t>RAGUNDA</t>
        </is>
      </c>
      <c r="G883" t="n">
        <v>7.1</v>
      </c>
      <c r="H883" t="n">
        <v>0</v>
      </c>
      <c r="I883" t="n">
        <v>0</v>
      </c>
      <c r="J883" t="n">
        <v>0</v>
      </c>
      <c r="K883" t="n">
        <v>0</v>
      </c>
      <c r="L883" t="n">
        <v>0</v>
      </c>
      <c r="M883" t="n">
        <v>0</v>
      </c>
      <c r="N883" t="n">
        <v>0</v>
      </c>
      <c r="O883" t="n">
        <v>0</v>
      </c>
      <c r="P883" t="n">
        <v>0</v>
      </c>
      <c r="Q883" t="n">
        <v>0</v>
      </c>
      <c r="R883" s="2" t="inlineStr"/>
    </row>
    <row r="884" ht="15" customHeight="1">
      <c r="A884" t="inlineStr">
        <is>
          <t>A 60387-2025</t>
        </is>
      </c>
      <c r="B884" s="1" t="n">
        <v>45995.38611111111</v>
      </c>
      <c r="C884" s="1" t="n">
        <v>46002</v>
      </c>
      <c r="D884" t="inlineStr">
        <is>
          <t>JÄMTLANDS LÄN</t>
        </is>
      </c>
      <c r="E884" t="inlineStr">
        <is>
          <t>RAGUNDA</t>
        </is>
      </c>
      <c r="G884" t="n">
        <v>8.5</v>
      </c>
      <c r="H884" t="n">
        <v>0</v>
      </c>
      <c r="I884" t="n">
        <v>0</v>
      </c>
      <c r="J884" t="n">
        <v>0</v>
      </c>
      <c r="K884" t="n">
        <v>0</v>
      </c>
      <c r="L884" t="n">
        <v>0</v>
      </c>
      <c r="M884" t="n">
        <v>0</v>
      </c>
      <c r="N884" t="n">
        <v>0</v>
      </c>
      <c r="O884" t="n">
        <v>0</v>
      </c>
      <c r="P884" t="n">
        <v>0</v>
      </c>
      <c r="Q884" t="n">
        <v>0</v>
      </c>
      <c r="R884" s="2" t="inlineStr"/>
    </row>
    <row r="885" ht="15" customHeight="1">
      <c r="A885" t="inlineStr">
        <is>
          <t>A 564-2025</t>
        </is>
      </c>
      <c r="B885" s="1" t="n">
        <v>45664.55241898148</v>
      </c>
      <c r="C885" s="1" t="n">
        <v>46002</v>
      </c>
      <c r="D885" t="inlineStr">
        <is>
          <t>JÄMTLANDS LÄN</t>
        </is>
      </c>
      <c r="E885" t="inlineStr">
        <is>
          <t>RAGUNDA</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50555-2024</t>
        </is>
      </c>
      <c r="B886" s="1" t="n">
        <v>45601.59518518519</v>
      </c>
      <c r="C886" s="1" t="n">
        <v>46002</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59658-2023</t>
        </is>
      </c>
      <c r="B887" s="1" t="n">
        <v>45254.96402777778</v>
      </c>
      <c r="C887" s="1" t="n">
        <v>46002</v>
      </c>
      <c r="D887" t="inlineStr">
        <is>
          <t>JÄMTLANDS LÄN</t>
        </is>
      </c>
      <c r="E887" t="inlineStr">
        <is>
          <t>RAGUNDA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49649-2024</t>
        </is>
      </c>
      <c r="B888" s="1" t="n">
        <v>45596.61553240741</v>
      </c>
      <c r="C888" s="1" t="n">
        <v>46002</v>
      </c>
      <c r="D888" t="inlineStr">
        <is>
          <t>JÄMTLANDS LÄN</t>
        </is>
      </c>
      <c r="E888" t="inlineStr">
        <is>
          <t>RAGUNDA</t>
        </is>
      </c>
      <c r="F888" t="inlineStr">
        <is>
          <t>SCA</t>
        </is>
      </c>
      <c r="G888" t="n">
        <v>4</v>
      </c>
      <c r="H888" t="n">
        <v>0</v>
      </c>
      <c r="I888" t="n">
        <v>0</v>
      </c>
      <c r="J888" t="n">
        <v>0</v>
      </c>
      <c r="K888" t="n">
        <v>0</v>
      </c>
      <c r="L888" t="n">
        <v>0</v>
      </c>
      <c r="M888" t="n">
        <v>0</v>
      </c>
      <c r="N888" t="n">
        <v>0</v>
      </c>
      <c r="O888" t="n">
        <v>0</v>
      </c>
      <c r="P888" t="n">
        <v>0</v>
      </c>
      <c r="Q888" t="n">
        <v>0</v>
      </c>
      <c r="R888" s="2" t="inlineStr"/>
    </row>
    <row r="889" ht="15" customHeight="1">
      <c r="A889" t="inlineStr">
        <is>
          <t>A 52330-2025</t>
        </is>
      </c>
      <c r="B889" s="1" t="n">
        <v>45953.67752314815</v>
      </c>
      <c r="C889" s="1" t="n">
        <v>46002</v>
      </c>
      <c r="D889" t="inlineStr">
        <is>
          <t>JÄMTLANDS LÄN</t>
        </is>
      </c>
      <c r="E889" t="inlineStr">
        <is>
          <t>RAGUNDA</t>
        </is>
      </c>
      <c r="F889" t="inlineStr">
        <is>
          <t>SCA</t>
        </is>
      </c>
      <c r="G889" t="n">
        <v>10.1</v>
      </c>
      <c r="H889" t="n">
        <v>0</v>
      </c>
      <c r="I889" t="n">
        <v>0</v>
      </c>
      <c r="J889" t="n">
        <v>0</v>
      </c>
      <c r="K889" t="n">
        <v>0</v>
      </c>
      <c r="L889" t="n">
        <v>0</v>
      </c>
      <c r="M889" t="n">
        <v>0</v>
      </c>
      <c r="N889" t="n">
        <v>0</v>
      </c>
      <c r="O889" t="n">
        <v>0</v>
      </c>
      <c r="P889" t="n">
        <v>0</v>
      </c>
      <c r="Q889" t="n">
        <v>0</v>
      </c>
      <c r="R889" s="2" t="inlineStr"/>
    </row>
    <row r="890" ht="15" customHeight="1">
      <c r="A890" t="inlineStr">
        <is>
          <t>A 52093-2025</t>
        </is>
      </c>
      <c r="B890" s="1" t="n">
        <v>45952.67865740741</v>
      </c>
      <c r="C890" s="1" t="n">
        <v>46002</v>
      </c>
      <c r="D890" t="inlineStr">
        <is>
          <t>JÄMTLANDS LÄN</t>
        </is>
      </c>
      <c r="E890" t="inlineStr">
        <is>
          <t>RAGUNDA</t>
        </is>
      </c>
      <c r="F890" t="inlineStr">
        <is>
          <t>SCA</t>
        </is>
      </c>
      <c r="G890" t="n">
        <v>22.7</v>
      </c>
      <c r="H890" t="n">
        <v>0</v>
      </c>
      <c r="I890" t="n">
        <v>0</v>
      </c>
      <c r="J890" t="n">
        <v>0</v>
      </c>
      <c r="K890" t="n">
        <v>0</v>
      </c>
      <c r="L890" t="n">
        <v>0</v>
      </c>
      <c r="M890" t="n">
        <v>0</v>
      </c>
      <c r="N890" t="n">
        <v>0</v>
      </c>
      <c r="O890" t="n">
        <v>0</v>
      </c>
      <c r="P890" t="n">
        <v>0</v>
      </c>
      <c r="Q890" t="n">
        <v>0</v>
      </c>
      <c r="R890" s="2" t="inlineStr"/>
    </row>
    <row r="891" ht="15" customHeight="1">
      <c r="A891" t="inlineStr">
        <is>
          <t>A 2831-2024</t>
        </is>
      </c>
      <c r="B891" s="1" t="n">
        <v>45314.92758101852</v>
      </c>
      <c r="C891" s="1" t="n">
        <v>46002</v>
      </c>
      <c r="D891" t="inlineStr">
        <is>
          <t>JÄMTLANDS LÄN</t>
        </is>
      </c>
      <c r="E891" t="inlineStr">
        <is>
          <t>RAGUNDA</t>
        </is>
      </c>
      <c r="G891" t="n">
        <v>0.6</v>
      </c>
      <c r="H891" t="n">
        <v>0</v>
      </c>
      <c r="I891" t="n">
        <v>0</v>
      </c>
      <c r="J891" t="n">
        <v>0</v>
      </c>
      <c r="K891" t="n">
        <v>0</v>
      </c>
      <c r="L891" t="n">
        <v>0</v>
      </c>
      <c r="M891" t="n">
        <v>0</v>
      </c>
      <c r="N891" t="n">
        <v>0</v>
      </c>
      <c r="O891" t="n">
        <v>0</v>
      </c>
      <c r="P891" t="n">
        <v>0</v>
      </c>
      <c r="Q891" t="n">
        <v>0</v>
      </c>
      <c r="R891" s="2" t="inlineStr"/>
    </row>
    <row r="892" ht="15" customHeight="1">
      <c r="A892" t="inlineStr">
        <is>
          <t>A 51882-2025</t>
        </is>
      </c>
      <c r="B892" s="1" t="n">
        <v>45952.40685185185</v>
      </c>
      <c r="C892" s="1" t="n">
        <v>46002</v>
      </c>
      <c r="D892" t="inlineStr">
        <is>
          <t>JÄMTLANDS LÄN</t>
        </is>
      </c>
      <c r="E892" t="inlineStr">
        <is>
          <t>RAGUNDA</t>
        </is>
      </c>
      <c r="F892" t="inlineStr">
        <is>
          <t>SCA</t>
        </is>
      </c>
      <c r="G892" t="n">
        <v>11.9</v>
      </c>
      <c r="H892" t="n">
        <v>0</v>
      </c>
      <c r="I892" t="n">
        <v>0</v>
      </c>
      <c r="J892" t="n">
        <v>0</v>
      </c>
      <c r="K892" t="n">
        <v>0</v>
      </c>
      <c r="L892" t="n">
        <v>0</v>
      </c>
      <c r="M892" t="n">
        <v>0</v>
      </c>
      <c r="N892" t="n">
        <v>0</v>
      </c>
      <c r="O892" t="n">
        <v>0</v>
      </c>
      <c r="P892" t="n">
        <v>0</v>
      </c>
      <c r="Q892" t="n">
        <v>0</v>
      </c>
      <c r="R892" s="2" t="inlineStr"/>
    </row>
    <row r="893" ht="15" customHeight="1">
      <c r="A893" t="inlineStr">
        <is>
          <t>A 51903-2025</t>
        </is>
      </c>
      <c r="B893" s="1" t="n">
        <v>45952.44857638889</v>
      </c>
      <c r="C893" s="1" t="n">
        <v>46002</v>
      </c>
      <c r="D893" t="inlineStr">
        <is>
          <t>JÄMTLANDS LÄN</t>
        </is>
      </c>
      <c r="E893" t="inlineStr">
        <is>
          <t>RAGUNDA</t>
        </is>
      </c>
      <c r="F893" t="inlineStr">
        <is>
          <t>SCA</t>
        </is>
      </c>
      <c r="G893" t="n">
        <v>20.8</v>
      </c>
      <c r="H893" t="n">
        <v>0</v>
      </c>
      <c r="I893" t="n">
        <v>0</v>
      </c>
      <c r="J893" t="n">
        <v>0</v>
      </c>
      <c r="K893" t="n">
        <v>0</v>
      </c>
      <c r="L893" t="n">
        <v>0</v>
      </c>
      <c r="M893" t="n">
        <v>0</v>
      </c>
      <c r="N893" t="n">
        <v>0</v>
      </c>
      <c r="O893" t="n">
        <v>0</v>
      </c>
      <c r="P893" t="n">
        <v>0</v>
      </c>
      <c r="Q893" t="n">
        <v>0</v>
      </c>
      <c r="R893" s="2" t="inlineStr"/>
    </row>
    <row r="894" ht="15" customHeight="1">
      <c r="A894" t="inlineStr">
        <is>
          <t>A 51932-2025</t>
        </is>
      </c>
      <c r="B894" s="1" t="n">
        <v>45952.51094907407</v>
      </c>
      <c r="C894" s="1" t="n">
        <v>46002</v>
      </c>
      <c r="D894" t="inlineStr">
        <is>
          <t>JÄMTLANDS LÄN</t>
        </is>
      </c>
      <c r="E894" t="inlineStr">
        <is>
          <t>RAGUNDA</t>
        </is>
      </c>
      <c r="F894" t="inlineStr">
        <is>
          <t>SCA</t>
        </is>
      </c>
      <c r="G894" t="n">
        <v>39.2</v>
      </c>
      <c r="H894" t="n">
        <v>0</v>
      </c>
      <c r="I894" t="n">
        <v>0</v>
      </c>
      <c r="J894" t="n">
        <v>0</v>
      </c>
      <c r="K894" t="n">
        <v>0</v>
      </c>
      <c r="L894" t="n">
        <v>0</v>
      </c>
      <c r="M894" t="n">
        <v>0</v>
      </c>
      <c r="N894" t="n">
        <v>0</v>
      </c>
      <c r="O894" t="n">
        <v>0</v>
      </c>
      <c r="P894" t="n">
        <v>0</v>
      </c>
      <c r="Q894" t="n">
        <v>0</v>
      </c>
      <c r="R894" s="2" t="inlineStr"/>
    </row>
    <row r="895" ht="15" customHeight="1">
      <c r="A895" t="inlineStr">
        <is>
          <t>A 53740-2024</t>
        </is>
      </c>
      <c r="B895" s="1" t="n">
        <v>45615.47091435185</v>
      </c>
      <c r="C895" s="1" t="n">
        <v>46002</v>
      </c>
      <c r="D895" t="inlineStr">
        <is>
          <t>JÄMTLANDS LÄN</t>
        </is>
      </c>
      <c r="E895" t="inlineStr">
        <is>
          <t>RAGUNDA</t>
        </is>
      </c>
      <c r="G895" t="n">
        <v>2.7</v>
      </c>
      <c r="H895" t="n">
        <v>0</v>
      </c>
      <c r="I895" t="n">
        <v>0</v>
      </c>
      <c r="J895" t="n">
        <v>0</v>
      </c>
      <c r="K895" t="n">
        <v>0</v>
      </c>
      <c r="L895" t="n">
        <v>0</v>
      </c>
      <c r="M895" t="n">
        <v>0</v>
      </c>
      <c r="N895" t="n">
        <v>0</v>
      </c>
      <c r="O895" t="n">
        <v>0</v>
      </c>
      <c r="P895" t="n">
        <v>0</v>
      </c>
      <c r="Q895" t="n">
        <v>0</v>
      </c>
      <c r="R895" s="2" t="inlineStr"/>
    </row>
    <row r="896" ht="15" customHeight="1">
      <c r="A896" t="inlineStr">
        <is>
          <t>A 59372-2024</t>
        </is>
      </c>
      <c r="B896" s="1" t="n">
        <v>45638.34431712963</v>
      </c>
      <c r="C896" s="1" t="n">
        <v>46002</v>
      </c>
      <c r="D896" t="inlineStr">
        <is>
          <t>JÄMTLANDS LÄN</t>
        </is>
      </c>
      <c r="E896" t="inlineStr">
        <is>
          <t>RAGUNDA</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51906-2025</t>
        </is>
      </c>
      <c r="B897" s="1" t="n">
        <v>45952.4615162037</v>
      </c>
      <c r="C897" s="1" t="n">
        <v>46002</v>
      </c>
      <c r="D897" t="inlineStr">
        <is>
          <t>JÄMTLANDS LÄN</t>
        </is>
      </c>
      <c r="E897" t="inlineStr">
        <is>
          <t>RAGUNDA</t>
        </is>
      </c>
      <c r="G897" t="n">
        <v>4.5</v>
      </c>
      <c r="H897" t="n">
        <v>0</v>
      </c>
      <c r="I897" t="n">
        <v>0</v>
      </c>
      <c r="J897" t="n">
        <v>0</v>
      </c>
      <c r="K897" t="n">
        <v>0</v>
      </c>
      <c r="L897" t="n">
        <v>0</v>
      </c>
      <c r="M897" t="n">
        <v>0</v>
      </c>
      <c r="N897" t="n">
        <v>0</v>
      </c>
      <c r="O897" t="n">
        <v>0</v>
      </c>
      <c r="P897" t="n">
        <v>0</v>
      </c>
      <c r="Q897" t="n">
        <v>0</v>
      </c>
      <c r="R897" s="2" t="inlineStr"/>
    </row>
    <row r="898" ht="15" customHeight="1">
      <c r="A898" t="inlineStr">
        <is>
          <t>A 60307-2025</t>
        </is>
      </c>
      <c r="B898" s="1" t="n">
        <v>45994.6842824074</v>
      </c>
      <c r="C898" s="1" t="n">
        <v>46002</v>
      </c>
      <c r="D898" t="inlineStr">
        <is>
          <t>JÄMTLANDS LÄN</t>
        </is>
      </c>
      <c r="E898" t="inlineStr">
        <is>
          <t>RAGUNDA</t>
        </is>
      </c>
      <c r="G898" t="n">
        <v>4</v>
      </c>
      <c r="H898" t="n">
        <v>0</v>
      </c>
      <c r="I898" t="n">
        <v>0</v>
      </c>
      <c r="J898" t="n">
        <v>0</v>
      </c>
      <c r="K898" t="n">
        <v>0</v>
      </c>
      <c r="L898" t="n">
        <v>0</v>
      </c>
      <c r="M898" t="n">
        <v>0</v>
      </c>
      <c r="N898" t="n">
        <v>0</v>
      </c>
      <c r="O898" t="n">
        <v>0</v>
      </c>
      <c r="P898" t="n">
        <v>0</v>
      </c>
      <c r="Q898" t="n">
        <v>0</v>
      </c>
      <c r="R898" s="2" t="inlineStr"/>
    </row>
    <row r="899" ht="15" customHeight="1">
      <c r="A899" t="inlineStr">
        <is>
          <t>A 52972-2025</t>
        </is>
      </c>
      <c r="B899" s="1" t="n">
        <v>45957.67783564814</v>
      </c>
      <c r="C899" s="1" t="n">
        <v>46002</v>
      </c>
      <c r="D899" t="inlineStr">
        <is>
          <t>JÄMTLANDS LÄN</t>
        </is>
      </c>
      <c r="E899" t="inlineStr">
        <is>
          <t>RAGUNDA</t>
        </is>
      </c>
      <c r="F899" t="inlineStr">
        <is>
          <t>SCA</t>
        </is>
      </c>
      <c r="G899" t="n">
        <v>53.4</v>
      </c>
      <c r="H899" t="n">
        <v>0</v>
      </c>
      <c r="I899" t="n">
        <v>0</v>
      </c>
      <c r="J899" t="n">
        <v>0</v>
      </c>
      <c r="K899" t="n">
        <v>0</v>
      </c>
      <c r="L899" t="n">
        <v>0</v>
      </c>
      <c r="M899" t="n">
        <v>0</v>
      </c>
      <c r="N899" t="n">
        <v>0</v>
      </c>
      <c r="O899" t="n">
        <v>0</v>
      </c>
      <c r="P899" t="n">
        <v>0</v>
      </c>
      <c r="Q899" t="n">
        <v>0</v>
      </c>
      <c r="R899" s="2" t="inlineStr"/>
    </row>
    <row r="900" ht="15" customHeight="1">
      <c r="A900" t="inlineStr">
        <is>
          <t>A 12522-2023</t>
        </is>
      </c>
      <c r="B900" s="1" t="n">
        <v>45000</v>
      </c>
      <c r="C900" s="1" t="n">
        <v>46002</v>
      </c>
      <c r="D900" t="inlineStr">
        <is>
          <t>JÄMTLANDS LÄN</t>
        </is>
      </c>
      <c r="E900" t="inlineStr">
        <is>
          <t>RAGUNDA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12523-2023</t>
        </is>
      </c>
      <c r="B901" s="1" t="n">
        <v>45000</v>
      </c>
      <c r="C901" s="1" t="n">
        <v>46002</v>
      </c>
      <c r="D901" t="inlineStr">
        <is>
          <t>JÄMTLANDS LÄN</t>
        </is>
      </c>
      <c r="E901" t="inlineStr">
        <is>
          <t>RAGUNDA</t>
        </is>
      </c>
      <c r="F901" t="inlineStr">
        <is>
          <t>SCA</t>
        </is>
      </c>
      <c r="G901" t="n">
        <v>14.3</v>
      </c>
      <c r="H901" t="n">
        <v>0</v>
      </c>
      <c r="I901" t="n">
        <v>0</v>
      </c>
      <c r="J901" t="n">
        <v>0</v>
      </c>
      <c r="K901" t="n">
        <v>0</v>
      </c>
      <c r="L901" t="n">
        <v>0</v>
      </c>
      <c r="M901" t="n">
        <v>0</v>
      </c>
      <c r="N901" t="n">
        <v>0</v>
      </c>
      <c r="O901" t="n">
        <v>0</v>
      </c>
      <c r="P901" t="n">
        <v>0</v>
      </c>
      <c r="Q901" t="n">
        <v>0</v>
      </c>
      <c r="R901" s="2" t="inlineStr"/>
    </row>
    <row r="902" ht="15" customHeight="1">
      <c r="A902" t="inlineStr">
        <is>
          <t>A 24861-2023</t>
        </is>
      </c>
      <c r="B902" s="1" t="n">
        <v>45078</v>
      </c>
      <c r="C902" s="1" t="n">
        <v>46002</v>
      </c>
      <c r="D902" t="inlineStr">
        <is>
          <t>JÄMTLANDS LÄN</t>
        </is>
      </c>
      <c r="E902" t="inlineStr">
        <is>
          <t>RAGUNDA</t>
        </is>
      </c>
      <c r="G902" t="n">
        <v>1.3</v>
      </c>
      <c r="H902" t="n">
        <v>0</v>
      </c>
      <c r="I902" t="n">
        <v>0</v>
      </c>
      <c r="J902" t="n">
        <v>0</v>
      </c>
      <c r="K902" t="n">
        <v>0</v>
      </c>
      <c r="L902" t="n">
        <v>0</v>
      </c>
      <c r="M902" t="n">
        <v>0</v>
      </c>
      <c r="N902" t="n">
        <v>0</v>
      </c>
      <c r="O902" t="n">
        <v>0</v>
      </c>
      <c r="P902" t="n">
        <v>0</v>
      </c>
      <c r="Q902" t="n">
        <v>0</v>
      </c>
      <c r="R902" s="2" t="inlineStr"/>
    </row>
    <row r="903" ht="15" customHeight="1">
      <c r="A903" t="inlineStr">
        <is>
          <t>A 13905-2025</t>
        </is>
      </c>
      <c r="B903" s="1" t="n">
        <v>45737.63574074074</v>
      </c>
      <c r="C903" s="1" t="n">
        <v>46002</v>
      </c>
      <c r="D903" t="inlineStr">
        <is>
          <t>JÄMTLANDS LÄN</t>
        </is>
      </c>
      <c r="E903" t="inlineStr">
        <is>
          <t>RAGUNDA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13941-2025</t>
        </is>
      </c>
      <c r="B904" s="1" t="n">
        <v>45737.69822916666</v>
      </c>
      <c r="C904" s="1" t="n">
        <v>46002</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52430-2025</t>
        </is>
      </c>
      <c r="B905" s="1" t="n">
        <v>45954.38592592593</v>
      </c>
      <c r="C905" s="1" t="n">
        <v>46002</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60760-2025</t>
        </is>
      </c>
      <c r="B906" s="1" t="n">
        <v>45999.38597222222</v>
      </c>
      <c r="C906" s="1" t="n">
        <v>46002</v>
      </c>
      <c r="D906" t="inlineStr">
        <is>
          <t>JÄMTLANDS LÄN</t>
        </is>
      </c>
      <c r="E906" t="inlineStr">
        <is>
          <t>RAGUNDA</t>
        </is>
      </c>
      <c r="F906" t="inlineStr">
        <is>
          <t>SCA</t>
        </is>
      </c>
      <c r="G906" t="n">
        <v>5.6</v>
      </c>
      <c r="H906" t="n">
        <v>0</v>
      </c>
      <c r="I906" t="n">
        <v>0</v>
      </c>
      <c r="J906" t="n">
        <v>0</v>
      </c>
      <c r="K906" t="n">
        <v>0</v>
      </c>
      <c r="L906" t="n">
        <v>0</v>
      </c>
      <c r="M906" t="n">
        <v>0</v>
      </c>
      <c r="N906" t="n">
        <v>0</v>
      </c>
      <c r="O906" t="n">
        <v>0</v>
      </c>
      <c r="P906" t="n">
        <v>0</v>
      </c>
      <c r="Q906" t="n">
        <v>0</v>
      </c>
      <c r="R906" s="2" t="inlineStr"/>
    </row>
    <row r="907" ht="15" customHeight="1">
      <c r="A907" t="inlineStr">
        <is>
          <t>A 50160-2023</t>
        </is>
      </c>
      <c r="B907" s="1" t="n">
        <v>45208</v>
      </c>
      <c r="C907" s="1" t="n">
        <v>46002</v>
      </c>
      <c r="D907" t="inlineStr">
        <is>
          <t>JÄMTLANDS LÄN</t>
        </is>
      </c>
      <c r="E907" t="inlineStr">
        <is>
          <t>RAGUNDA</t>
        </is>
      </c>
      <c r="G907" t="n">
        <v>4.6</v>
      </c>
      <c r="H907" t="n">
        <v>0</v>
      </c>
      <c r="I907" t="n">
        <v>0</v>
      </c>
      <c r="J907" t="n">
        <v>0</v>
      </c>
      <c r="K907" t="n">
        <v>0</v>
      </c>
      <c r="L907" t="n">
        <v>0</v>
      </c>
      <c r="M907" t="n">
        <v>0</v>
      </c>
      <c r="N907" t="n">
        <v>0</v>
      </c>
      <c r="O907" t="n">
        <v>0</v>
      </c>
      <c r="P907" t="n">
        <v>0</v>
      </c>
      <c r="Q907" t="n">
        <v>0</v>
      </c>
      <c r="R907" s="2" t="inlineStr"/>
    </row>
    <row r="908" ht="15" customHeight="1">
      <c r="A908" t="inlineStr">
        <is>
          <t>A 60775-2025</t>
        </is>
      </c>
      <c r="B908" s="1" t="n">
        <v>45999.3905787037</v>
      </c>
      <c r="C908" s="1" t="n">
        <v>46002</v>
      </c>
      <c r="D908" t="inlineStr">
        <is>
          <t>JÄMTLANDS LÄN</t>
        </is>
      </c>
      <c r="E908" t="inlineStr">
        <is>
          <t>RAGUNDA</t>
        </is>
      </c>
      <c r="G908" t="n">
        <v>15.7</v>
      </c>
      <c r="H908" t="n">
        <v>0</v>
      </c>
      <c r="I908" t="n">
        <v>0</v>
      </c>
      <c r="J908" t="n">
        <v>0</v>
      </c>
      <c r="K908" t="n">
        <v>0</v>
      </c>
      <c r="L908" t="n">
        <v>0</v>
      </c>
      <c r="M908" t="n">
        <v>0</v>
      </c>
      <c r="N908" t="n">
        <v>0</v>
      </c>
      <c r="O908" t="n">
        <v>0</v>
      </c>
      <c r="P908" t="n">
        <v>0</v>
      </c>
      <c r="Q908" t="n">
        <v>0</v>
      </c>
      <c r="R908" s="2" t="inlineStr"/>
    </row>
    <row r="909" ht="15" customHeight="1">
      <c r="A909" t="inlineStr">
        <is>
          <t>A 52875-2025</t>
        </is>
      </c>
      <c r="B909" s="1" t="n">
        <v>45957.53211805555</v>
      </c>
      <c r="C909" s="1" t="n">
        <v>46002</v>
      </c>
      <c r="D909" t="inlineStr">
        <is>
          <t>JÄMTLANDS LÄN</t>
        </is>
      </c>
      <c r="E909" t="inlineStr">
        <is>
          <t>RAGUNDA</t>
        </is>
      </c>
      <c r="F909" t="inlineStr">
        <is>
          <t>SCA</t>
        </is>
      </c>
      <c r="G909" t="n">
        <v>34.3</v>
      </c>
      <c r="H909" t="n">
        <v>0</v>
      </c>
      <c r="I909" t="n">
        <v>0</v>
      </c>
      <c r="J909" t="n">
        <v>0</v>
      </c>
      <c r="K909" t="n">
        <v>0</v>
      </c>
      <c r="L909" t="n">
        <v>0</v>
      </c>
      <c r="M909" t="n">
        <v>0</v>
      </c>
      <c r="N909" t="n">
        <v>0</v>
      </c>
      <c r="O909" t="n">
        <v>0</v>
      </c>
      <c r="P909" t="n">
        <v>0</v>
      </c>
      <c r="Q909" t="n">
        <v>0</v>
      </c>
      <c r="R909" s="2" t="inlineStr"/>
    </row>
    <row r="910" ht="15" customHeight="1">
      <c r="A910" t="inlineStr">
        <is>
          <t>A 51245-2024</t>
        </is>
      </c>
      <c r="B910" s="1" t="n">
        <v>45603.67850694444</v>
      </c>
      <c r="C910" s="1" t="n">
        <v>46002</v>
      </c>
      <c r="D910" t="inlineStr">
        <is>
          <t>JÄMTLANDS LÄN</t>
        </is>
      </c>
      <c r="E910" t="inlineStr">
        <is>
          <t>RAGUNDA</t>
        </is>
      </c>
      <c r="G910" t="n">
        <v>0.9</v>
      </c>
      <c r="H910" t="n">
        <v>0</v>
      </c>
      <c r="I910" t="n">
        <v>0</v>
      </c>
      <c r="J910" t="n">
        <v>0</v>
      </c>
      <c r="K910" t="n">
        <v>0</v>
      </c>
      <c r="L910" t="n">
        <v>0</v>
      </c>
      <c r="M910" t="n">
        <v>0</v>
      </c>
      <c r="N910" t="n">
        <v>0</v>
      </c>
      <c r="O910" t="n">
        <v>0</v>
      </c>
      <c r="P910" t="n">
        <v>0</v>
      </c>
      <c r="Q910" t="n">
        <v>0</v>
      </c>
      <c r="R910" s="2" t="inlineStr"/>
    </row>
    <row r="911" ht="15" customHeight="1">
      <c r="A911" t="inlineStr">
        <is>
          <t>A 52394-2025</t>
        </is>
      </c>
      <c r="B911" s="1" t="n">
        <v>45954.34466435185</v>
      </c>
      <c r="C911" s="1" t="n">
        <v>46002</v>
      </c>
      <c r="D911" t="inlineStr">
        <is>
          <t>JÄMTLANDS LÄN</t>
        </is>
      </c>
      <c r="E911" t="inlineStr">
        <is>
          <t>RAGUNDA</t>
        </is>
      </c>
      <c r="F911" t="inlineStr">
        <is>
          <t>SCA</t>
        </is>
      </c>
      <c r="G911" t="n">
        <v>53.8</v>
      </c>
      <c r="H911" t="n">
        <v>0</v>
      </c>
      <c r="I911" t="n">
        <v>0</v>
      </c>
      <c r="J911" t="n">
        <v>0</v>
      </c>
      <c r="K911" t="n">
        <v>0</v>
      </c>
      <c r="L911" t="n">
        <v>0</v>
      </c>
      <c r="M911" t="n">
        <v>0</v>
      </c>
      <c r="N911" t="n">
        <v>0</v>
      </c>
      <c r="O911" t="n">
        <v>0</v>
      </c>
      <c r="P911" t="n">
        <v>0</v>
      </c>
      <c r="Q911" t="n">
        <v>0</v>
      </c>
      <c r="R911" s="2" t="inlineStr"/>
    </row>
    <row r="912" ht="15" customHeight="1">
      <c r="A912" t="inlineStr">
        <is>
          <t>A 52395-2025</t>
        </is>
      </c>
      <c r="B912" s="1" t="n">
        <v>45954.34487268519</v>
      </c>
      <c r="C912" s="1" t="n">
        <v>46002</v>
      </c>
      <c r="D912" t="inlineStr">
        <is>
          <t>JÄMTLANDS LÄN</t>
        </is>
      </c>
      <c r="E912" t="inlineStr">
        <is>
          <t>RAGUNDA</t>
        </is>
      </c>
      <c r="F912" t="inlineStr">
        <is>
          <t>SCA</t>
        </is>
      </c>
      <c r="G912" t="n">
        <v>14.2</v>
      </c>
      <c r="H912" t="n">
        <v>0</v>
      </c>
      <c r="I912" t="n">
        <v>0</v>
      </c>
      <c r="J912" t="n">
        <v>0</v>
      </c>
      <c r="K912" t="n">
        <v>0</v>
      </c>
      <c r="L912" t="n">
        <v>0</v>
      </c>
      <c r="M912" t="n">
        <v>0</v>
      </c>
      <c r="N912" t="n">
        <v>0</v>
      </c>
      <c r="O912" t="n">
        <v>0</v>
      </c>
      <c r="P912" t="n">
        <v>0</v>
      </c>
      <c r="Q912" t="n">
        <v>0</v>
      </c>
      <c r="R912" s="2" t="inlineStr"/>
    </row>
    <row r="913" ht="15" customHeight="1">
      <c r="A913" t="inlineStr">
        <is>
          <t>A 60630-2025</t>
        </is>
      </c>
      <c r="B913" s="1" t="n">
        <v>45996.42120370371</v>
      </c>
      <c r="C913" s="1" t="n">
        <v>46002</v>
      </c>
      <c r="D913" t="inlineStr">
        <is>
          <t>JÄMTLANDS LÄN</t>
        </is>
      </c>
      <c r="E913" t="inlineStr">
        <is>
          <t>RAGUNDA</t>
        </is>
      </c>
      <c r="G913" t="n">
        <v>13.2</v>
      </c>
      <c r="H913" t="n">
        <v>0</v>
      </c>
      <c r="I913" t="n">
        <v>0</v>
      </c>
      <c r="J913" t="n">
        <v>0</v>
      </c>
      <c r="K913" t="n">
        <v>0</v>
      </c>
      <c r="L913" t="n">
        <v>0</v>
      </c>
      <c r="M913" t="n">
        <v>0</v>
      </c>
      <c r="N913" t="n">
        <v>0</v>
      </c>
      <c r="O913" t="n">
        <v>0</v>
      </c>
      <c r="P913" t="n">
        <v>0</v>
      </c>
      <c r="Q913" t="n">
        <v>0</v>
      </c>
      <c r="R913" s="2" t="inlineStr"/>
    </row>
    <row r="914" ht="15" customHeight="1">
      <c r="A914" t="inlineStr">
        <is>
          <t>A 53955-2022</t>
        </is>
      </c>
      <c r="B914" s="1" t="n">
        <v>44880.95741898148</v>
      </c>
      <c r="C914" s="1" t="n">
        <v>46002</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58909-2025</t>
        </is>
      </c>
      <c r="B915" s="1" t="n">
        <v>45987</v>
      </c>
      <c r="C915" s="1" t="n">
        <v>46002</v>
      </c>
      <c r="D915" t="inlineStr">
        <is>
          <t>JÄMTLANDS LÄN</t>
        </is>
      </c>
      <c r="E915" t="inlineStr">
        <is>
          <t>RAGUNDA</t>
        </is>
      </c>
      <c r="G915" t="n">
        <v>9.5</v>
      </c>
      <c r="H915" t="n">
        <v>0</v>
      </c>
      <c r="I915" t="n">
        <v>0</v>
      </c>
      <c r="J915" t="n">
        <v>0</v>
      </c>
      <c r="K915" t="n">
        <v>0</v>
      </c>
      <c r="L915" t="n">
        <v>0</v>
      </c>
      <c r="M915" t="n">
        <v>0</v>
      </c>
      <c r="N915" t="n">
        <v>0</v>
      </c>
      <c r="O915" t="n">
        <v>0</v>
      </c>
      <c r="P915" t="n">
        <v>0</v>
      </c>
      <c r="Q915" t="n">
        <v>0</v>
      </c>
      <c r="R915" s="2" t="inlineStr"/>
    </row>
    <row r="916" ht="15" customHeight="1">
      <c r="A916" t="inlineStr">
        <is>
          <t>A 53211-2025</t>
        </is>
      </c>
      <c r="B916" s="1" t="n">
        <v>45958.59490740741</v>
      </c>
      <c r="C916" s="1" t="n">
        <v>46002</v>
      </c>
      <c r="D916" t="inlineStr">
        <is>
          <t>JÄMTLANDS LÄN</t>
        </is>
      </c>
      <c r="E916" t="inlineStr">
        <is>
          <t>RAGUNDA</t>
        </is>
      </c>
      <c r="F916" t="inlineStr">
        <is>
          <t>SCA</t>
        </is>
      </c>
      <c r="G916" t="n">
        <v>7.4</v>
      </c>
      <c r="H916" t="n">
        <v>0</v>
      </c>
      <c r="I916" t="n">
        <v>0</v>
      </c>
      <c r="J916" t="n">
        <v>0</v>
      </c>
      <c r="K916" t="n">
        <v>0</v>
      </c>
      <c r="L916" t="n">
        <v>0</v>
      </c>
      <c r="M916" t="n">
        <v>0</v>
      </c>
      <c r="N916" t="n">
        <v>0</v>
      </c>
      <c r="O916" t="n">
        <v>0</v>
      </c>
      <c r="P916" t="n">
        <v>0</v>
      </c>
      <c r="Q916" t="n">
        <v>0</v>
      </c>
      <c r="R916" s="2" t="inlineStr"/>
    </row>
    <row r="917" ht="15" customHeight="1">
      <c r="A917" t="inlineStr">
        <is>
          <t>A 55547-2025</t>
        </is>
      </c>
      <c r="B917" s="1" t="n">
        <v>45971</v>
      </c>
      <c r="C917" s="1" t="n">
        <v>46002</v>
      </c>
      <c r="D917" t="inlineStr">
        <is>
          <t>JÄMTLANDS LÄN</t>
        </is>
      </c>
      <c r="E917" t="inlineStr">
        <is>
          <t>RAGUNDA</t>
        </is>
      </c>
      <c r="F917" t="inlineStr">
        <is>
          <t>SCA</t>
        </is>
      </c>
      <c r="G917" t="n">
        <v>4.1</v>
      </c>
      <c r="H917" t="n">
        <v>0</v>
      </c>
      <c r="I917" t="n">
        <v>0</v>
      </c>
      <c r="J917" t="n">
        <v>0</v>
      </c>
      <c r="K917" t="n">
        <v>0</v>
      </c>
      <c r="L917" t="n">
        <v>0</v>
      </c>
      <c r="M917" t="n">
        <v>0</v>
      </c>
      <c r="N917" t="n">
        <v>0</v>
      </c>
      <c r="O917" t="n">
        <v>0</v>
      </c>
      <c r="P917" t="n">
        <v>0</v>
      </c>
      <c r="Q917" t="n">
        <v>0</v>
      </c>
      <c r="R917" s="2" t="inlineStr"/>
    </row>
    <row r="918" ht="15" customHeight="1">
      <c r="A918" t="inlineStr">
        <is>
          <t>A 53032-2025</t>
        </is>
      </c>
      <c r="B918" s="1" t="n">
        <v>45958.34462962963</v>
      </c>
      <c r="C918" s="1" t="n">
        <v>46002</v>
      </c>
      <c r="D918" t="inlineStr">
        <is>
          <t>JÄMTLANDS LÄN</t>
        </is>
      </c>
      <c r="E918" t="inlineStr">
        <is>
          <t>RAGUNDA</t>
        </is>
      </c>
      <c r="G918" t="n">
        <v>2.6</v>
      </c>
      <c r="H918" t="n">
        <v>0</v>
      </c>
      <c r="I918" t="n">
        <v>0</v>
      </c>
      <c r="J918" t="n">
        <v>0</v>
      </c>
      <c r="K918" t="n">
        <v>0</v>
      </c>
      <c r="L918" t="n">
        <v>0</v>
      </c>
      <c r="M918" t="n">
        <v>0</v>
      </c>
      <c r="N918" t="n">
        <v>0</v>
      </c>
      <c r="O918" t="n">
        <v>0</v>
      </c>
      <c r="P918" t="n">
        <v>0</v>
      </c>
      <c r="Q918" t="n">
        <v>0</v>
      </c>
      <c r="R918" s="2" t="inlineStr"/>
    </row>
    <row r="919" ht="15" customHeight="1">
      <c r="A919" t="inlineStr">
        <is>
          <t>A 53109-2025</t>
        </is>
      </c>
      <c r="B919" s="1" t="n">
        <v>45958</v>
      </c>
      <c r="C919" s="1" t="n">
        <v>46002</v>
      </c>
      <c r="D919" t="inlineStr">
        <is>
          <t>JÄMTLANDS LÄN</t>
        </is>
      </c>
      <c r="E919" t="inlineStr">
        <is>
          <t>RAGUNDA</t>
        </is>
      </c>
      <c r="G919" t="n">
        <v>2.1</v>
      </c>
      <c r="H919" t="n">
        <v>0</v>
      </c>
      <c r="I919" t="n">
        <v>0</v>
      </c>
      <c r="J919" t="n">
        <v>0</v>
      </c>
      <c r="K919" t="n">
        <v>0</v>
      </c>
      <c r="L919" t="n">
        <v>0</v>
      </c>
      <c r="M919" t="n">
        <v>0</v>
      </c>
      <c r="N919" t="n">
        <v>0</v>
      </c>
      <c r="O919" t="n">
        <v>0</v>
      </c>
      <c r="P919" t="n">
        <v>0</v>
      </c>
      <c r="Q919" t="n">
        <v>0</v>
      </c>
      <c r="R919" s="2" t="inlineStr"/>
    </row>
    <row r="920" ht="15" customHeight="1">
      <c r="A920" t="inlineStr">
        <is>
          <t>A 61509-2025</t>
        </is>
      </c>
      <c r="B920" s="1" t="n">
        <v>46001.68189814815</v>
      </c>
      <c r="C920" s="1" t="n">
        <v>46002</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41772-2024</t>
        </is>
      </c>
      <c r="B921" s="1" t="n">
        <v>45561.34663194444</v>
      </c>
      <c r="C921" s="1" t="n">
        <v>46002</v>
      </c>
      <c r="D921" t="inlineStr">
        <is>
          <t>JÄMTLANDS LÄN</t>
        </is>
      </c>
      <c r="E921" t="inlineStr">
        <is>
          <t>RAGUNDA</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53075-2025</t>
        </is>
      </c>
      <c r="B922" s="1" t="n">
        <v>45958.38584490741</v>
      </c>
      <c r="C922" s="1" t="n">
        <v>46002</v>
      </c>
      <c r="D922" t="inlineStr">
        <is>
          <t>JÄMTLANDS LÄN</t>
        </is>
      </c>
      <c r="E922" t="inlineStr">
        <is>
          <t>RAGUNDA</t>
        </is>
      </c>
      <c r="F922" t="inlineStr">
        <is>
          <t>SCA</t>
        </is>
      </c>
      <c r="G922" t="n">
        <v>28.9</v>
      </c>
      <c r="H922" t="n">
        <v>0</v>
      </c>
      <c r="I922" t="n">
        <v>0</v>
      </c>
      <c r="J922" t="n">
        <v>0</v>
      </c>
      <c r="K922" t="n">
        <v>0</v>
      </c>
      <c r="L922" t="n">
        <v>0</v>
      </c>
      <c r="M922" t="n">
        <v>0</v>
      </c>
      <c r="N922" t="n">
        <v>0</v>
      </c>
      <c r="O922" t="n">
        <v>0</v>
      </c>
      <c r="P922" t="n">
        <v>0</v>
      </c>
      <c r="Q922" t="n">
        <v>0</v>
      </c>
      <c r="R922" s="2" t="inlineStr"/>
    </row>
    <row r="923" ht="15" customHeight="1">
      <c r="A923" t="inlineStr">
        <is>
          <t>A 10972-2022</t>
        </is>
      </c>
      <c r="B923" s="1" t="n">
        <v>44628</v>
      </c>
      <c r="C923" s="1" t="n">
        <v>46002</v>
      </c>
      <c r="D923" t="inlineStr">
        <is>
          <t>JÄMTLANDS LÄN</t>
        </is>
      </c>
      <c r="E923" t="inlineStr">
        <is>
          <t>RAGUNDA</t>
        </is>
      </c>
      <c r="G923" t="n">
        <v>9.5</v>
      </c>
      <c r="H923" t="n">
        <v>0</v>
      </c>
      <c r="I923" t="n">
        <v>0</v>
      </c>
      <c r="J923" t="n">
        <v>0</v>
      </c>
      <c r="K923" t="n">
        <v>0</v>
      </c>
      <c r="L923" t="n">
        <v>0</v>
      </c>
      <c r="M923" t="n">
        <v>0</v>
      </c>
      <c r="N923" t="n">
        <v>0</v>
      </c>
      <c r="O923" t="n">
        <v>0</v>
      </c>
      <c r="P923" t="n">
        <v>0</v>
      </c>
      <c r="Q923" t="n">
        <v>0</v>
      </c>
      <c r="R923" s="2" t="inlineStr"/>
    </row>
    <row r="924" ht="15" customHeight="1">
      <c r="A924" t="inlineStr">
        <is>
          <t>A 11834-2023</t>
        </is>
      </c>
      <c r="B924" s="1" t="n">
        <v>44994.94296296296</v>
      </c>
      <c r="C924" s="1" t="n">
        <v>46002</v>
      </c>
      <c r="D924" t="inlineStr">
        <is>
          <t>JÄMTLANDS LÄN</t>
        </is>
      </c>
      <c r="E924" t="inlineStr">
        <is>
          <t>RAGUNDA</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17559-2023</t>
        </is>
      </c>
      <c r="B925" s="1" t="n">
        <v>45034</v>
      </c>
      <c r="C925" s="1" t="n">
        <v>46002</v>
      </c>
      <c r="D925" t="inlineStr">
        <is>
          <t>JÄMTLANDS LÄN</t>
        </is>
      </c>
      <c r="E925" t="inlineStr">
        <is>
          <t>RAGUNDA</t>
        </is>
      </c>
      <c r="G925" t="n">
        <v>7.5</v>
      </c>
      <c r="H925" t="n">
        <v>0</v>
      </c>
      <c r="I925" t="n">
        <v>0</v>
      </c>
      <c r="J925" t="n">
        <v>0</v>
      </c>
      <c r="K925" t="n">
        <v>0</v>
      </c>
      <c r="L925" t="n">
        <v>0</v>
      </c>
      <c r="M925" t="n">
        <v>0</v>
      </c>
      <c r="N925" t="n">
        <v>0</v>
      </c>
      <c r="O925" t="n">
        <v>0</v>
      </c>
      <c r="P925" t="n">
        <v>0</v>
      </c>
      <c r="Q925" t="n">
        <v>0</v>
      </c>
      <c r="R925" s="2" t="inlineStr"/>
    </row>
    <row r="926" ht="15" customHeight="1">
      <c r="A926" t="inlineStr">
        <is>
          <t>A 38312-2024</t>
        </is>
      </c>
      <c r="B926" s="1" t="n">
        <v>45545.64957175926</v>
      </c>
      <c r="C926" s="1" t="n">
        <v>46002</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52578-2025</t>
        </is>
      </c>
      <c r="B927" s="1" t="n">
        <v>45954.61508101852</v>
      </c>
      <c r="C927" s="1" t="n">
        <v>46002</v>
      </c>
      <c r="D927" t="inlineStr">
        <is>
          <t>JÄMTLANDS LÄN</t>
        </is>
      </c>
      <c r="E927" t="inlineStr">
        <is>
          <t>RAGUNDA</t>
        </is>
      </c>
      <c r="F927" t="inlineStr">
        <is>
          <t>SCA</t>
        </is>
      </c>
      <c r="G927" t="n">
        <v>25.2</v>
      </c>
      <c r="H927" t="n">
        <v>0</v>
      </c>
      <c r="I927" t="n">
        <v>0</v>
      </c>
      <c r="J927" t="n">
        <v>0</v>
      </c>
      <c r="K927" t="n">
        <v>0</v>
      </c>
      <c r="L927" t="n">
        <v>0</v>
      </c>
      <c r="M927" t="n">
        <v>0</v>
      </c>
      <c r="N927" t="n">
        <v>0</v>
      </c>
      <c r="O927" t="n">
        <v>0</v>
      </c>
      <c r="P927" t="n">
        <v>0</v>
      </c>
      <c r="Q927" t="n">
        <v>0</v>
      </c>
      <c r="R927" s="2" t="inlineStr"/>
    </row>
    <row r="928" ht="15" customHeight="1">
      <c r="A928" t="inlineStr">
        <is>
          <t>A 32832-2021</t>
        </is>
      </c>
      <c r="B928" s="1" t="n">
        <v>44375</v>
      </c>
      <c r="C928" s="1" t="n">
        <v>46002</v>
      </c>
      <c r="D928" t="inlineStr">
        <is>
          <t>JÄMTLANDS LÄN</t>
        </is>
      </c>
      <c r="E928" t="inlineStr">
        <is>
          <t>RAGUNDA</t>
        </is>
      </c>
      <c r="G928" t="n">
        <v>3</v>
      </c>
      <c r="H928" t="n">
        <v>0</v>
      </c>
      <c r="I928" t="n">
        <v>0</v>
      </c>
      <c r="J928" t="n">
        <v>0</v>
      </c>
      <c r="K928" t="n">
        <v>0</v>
      </c>
      <c r="L928" t="n">
        <v>0</v>
      </c>
      <c r="M928" t="n">
        <v>0</v>
      </c>
      <c r="N928" t="n">
        <v>0</v>
      </c>
      <c r="O928" t="n">
        <v>0</v>
      </c>
      <c r="P928" t="n">
        <v>0</v>
      </c>
      <c r="Q928" t="n">
        <v>0</v>
      </c>
      <c r="R928" s="2" t="inlineStr"/>
    </row>
    <row r="929" ht="15" customHeight="1">
      <c r="A929" t="inlineStr">
        <is>
          <t>A 61266-2025</t>
        </is>
      </c>
      <c r="B929" s="1" t="n">
        <v>46000.67784722222</v>
      </c>
      <c r="C929" s="1" t="n">
        <v>46002</v>
      </c>
      <c r="D929" t="inlineStr">
        <is>
          <t>JÄMTLANDS LÄN</t>
        </is>
      </c>
      <c r="E929" t="inlineStr">
        <is>
          <t>RAGUNDA</t>
        </is>
      </c>
      <c r="G929" t="n">
        <v>7.9</v>
      </c>
      <c r="H929" t="n">
        <v>0</v>
      </c>
      <c r="I929" t="n">
        <v>0</v>
      </c>
      <c r="J929" t="n">
        <v>0</v>
      </c>
      <c r="K929" t="n">
        <v>0</v>
      </c>
      <c r="L929" t="n">
        <v>0</v>
      </c>
      <c r="M929" t="n">
        <v>0</v>
      </c>
      <c r="N929" t="n">
        <v>0</v>
      </c>
      <c r="O929" t="n">
        <v>0</v>
      </c>
      <c r="P929" t="n">
        <v>0</v>
      </c>
      <c r="Q929" t="n">
        <v>0</v>
      </c>
      <c r="R929" s="2" t="inlineStr"/>
    </row>
    <row r="930" ht="15" customHeight="1">
      <c r="A930" t="inlineStr">
        <is>
          <t>A 22011-2023</t>
        </is>
      </c>
      <c r="B930" s="1" t="n">
        <v>45068</v>
      </c>
      <c r="C930" s="1" t="n">
        <v>46002</v>
      </c>
      <c r="D930" t="inlineStr">
        <is>
          <t>JÄMTLANDS LÄN</t>
        </is>
      </c>
      <c r="E930" t="inlineStr">
        <is>
          <t>RAGUNDA</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55671-2025</t>
        </is>
      </c>
      <c r="B931" s="1" t="n">
        <v>45972</v>
      </c>
      <c r="C931" s="1" t="n">
        <v>46002</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61233-2025</t>
        </is>
      </c>
      <c r="B932" s="1" t="n">
        <v>46000.6359837963</v>
      </c>
      <c r="C932" s="1" t="n">
        <v>46002</v>
      </c>
      <c r="D932" t="inlineStr">
        <is>
          <t>JÄMTLANDS LÄN</t>
        </is>
      </c>
      <c r="E932" t="inlineStr">
        <is>
          <t>RAGUNDA</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55633-2025</t>
        </is>
      </c>
      <c r="B933" s="1" t="n">
        <v>45972</v>
      </c>
      <c r="C933" s="1" t="n">
        <v>46002</v>
      </c>
      <c r="D933" t="inlineStr">
        <is>
          <t>JÄMTLANDS LÄN</t>
        </is>
      </c>
      <c r="E933" t="inlineStr">
        <is>
          <t>RAGUNDA</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14158-2024</t>
        </is>
      </c>
      <c r="B934" s="1" t="n">
        <v>45392</v>
      </c>
      <c r="C934" s="1" t="n">
        <v>46002</v>
      </c>
      <c r="D934" t="inlineStr">
        <is>
          <t>JÄMTLANDS LÄN</t>
        </is>
      </c>
      <c r="E934" t="inlineStr">
        <is>
          <t>RAGUNDA</t>
        </is>
      </c>
      <c r="G934" t="n">
        <v>0.7</v>
      </c>
      <c r="H934" t="n">
        <v>0</v>
      </c>
      <c r="I934" t="n">
        <v>0</v>
      </c>
      <c r="J934" t="n">
        <v>0</v>
      </c>
      <c r="K934" t="n">
        <v>0</v>
      </c>
      <c r="L934" t="n">
        <v>0</v>
      </c>
      <c r="M934" t="n">
        <v>0</v>
      </c>
      <c r="N934" t="n">
        <v>0</v>
      </c>
      <c r="O934" t="n">
        <v>0</v>
      </c>
      <c r="P934" t="n">
        <v>0</v>
      </c>
      <c r="Q934" t="n">
        <v>0</v>
      </c>
      <c r="R934" s="2" t="inlineStr"/>
    </row>
    <row r="935" ht="15" customHeight="1">
      <c r="A935" t="inlineStr">
        <is>
          <t>A 53076-2025</t>
        </is>
      </c>
      <c r="B935" s="1" t="n">
        <v>45958.38604166666</v>
      </c>
      <c r="C935" s="1" t="n">
        <v>46002</v>
      </c>
      <c r="D935" t="inlineStr">
        <is>
          <t>JÄMTLANDS LÄN</t>
        </is>
      </c>
      <c r="E935" t="inlineStr">
        <is>
          <t>RAGUNDA</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42508-2023</t>
        </is>
      </c>
      <c r="B936" s="1" t="n">
        <v>45180.95907407408</v>
      </c>
      <c r="C936" s="1" t="n">
        <v>46002</v>
      </c>
      <c r="D936" t="inlineStr">
        <is>
          <t>JÄMTLANDS LÄN</t>
        </is>
      </c>
      <c r="E936" t="inlineStr">
        <is>
          <t>RAGUNDA</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35274-2023</t>
        </is>
      </c>
      <c r="B937" s="1" t="n">
        <v>45145</v>
      </c>
      <c r="C937" s="1" t="n">
        <v>46002</v>
      </c>
      <c r="D937" t="inlineStr">
        <is>
          <t>JÄMTLANDS LÄN</t>
        </is>
      </c>
      <c r="E937" t="inlineStr">
        <is>
          <t>RAGUNDA</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12983-2025</t>
        </is>
      </c>
      <c r="B938" s="1" t="n">
        <v>45734.4633912037</v>
      </c>
      <c r="C938" s="1" t="n">
        <v>46002</v>
      </c>
      <c r="D938" t="inlineStr">
        <is>
          <t>JÄMTLANDS LÄN</t>
        </is>
      </c>
      <c r="E938" t="inlineStr">
        <is>
          <t>RAGUNDA</t>
        </is>
      </c>
      <c r="G938" t="n">
        <v>5.2</v>
      </c>
      <c r="H938" t="n">
        <v>0</v>
      </c>
      <c r="I938" t="n">
        <v>0</v>
      </c>
      <c r="J938" t="n">
        <v>0</v>
      </c>
      <c r="K938" t="n">
        <v>0</v>
      </c>
      <c r="L938" t="n">
        <v>0</v>
      </c>
      <c r="M938" t="n">
        <v>0</v>
      </c>
      <c r="N938" t="n">
        <v>0</v>
      </c>
      <c r="O938" t="n">
        <v>0</v>
      </c>
      <c r="P938" t="n">
        <v>0</v>
      </c>
      <c r="Q938" t="n">
        <v>0</v>
      </c>
      <c r="R938" s="2" t="inlineStr"/>
    </row>
    <row r="939" ht="15" customHeight="1">
      <c r="A939" t="inlineStr">
        <is>
          <t>A 17598-2021</t>
        </is>
      </c>
      <c r="B939" s="1" t="n">
        <v>44299</v>
      </c>
      <c r="C939" s="1" t="n">
        <v>46002</v>
      </c>
      <c r="D939" t="inlineStr">
        <is>
          <t>JÄMTLANDS LÄN</t>
        </is>
      </c>
      <c r="E939" t="inlineStr">
        <is>
          <t>RAGUNDA</t>
        </is>
      </c>
      <c r="G939" t="n">
        <v>4.6</v>
      </c>
      <c r="H939" t="n">
        <v>0</v>
      </c>
      <c r="I939" t="n">
        <v>0</v>
      </c>
      <c r="J939" t="n">
        <v>0</v>
      </c>
      <c r="K939" t="n">
        <v>0</v>
      </c>
      <c r="L939" t="n">
        <v>0</v>
      </c>
      <c r="M939" t="n">
        <v>0</v>
      </c>
      <c r="N939" t="n">
        <v>0</v>
      </c>
      <c r="O939" t="n">
        <v>0</v>
      </c>
      <c r="P939" t="n">
        <v>0</v>
      </c>
      <c r="Q939" t="n">
        <v>0</v>
      </c>
      <c r="R939" s="2" t="inlineStr"/>
    </row>
    <row r="940" ht="15" customHeight="1">
      <c r="A940" t="inlineStr">
        <is>
          <t>A 3938-2024</t>
        </is>
      </c>
      <c r="B940" s="1" t="n">
        <v>45322</v>
      </c>
      <c r="C940" s="1" t="n">
        <v>46002</v>
      </c>
      <c r="D940" t="inlineStr">
        <is>
          <t>JÄMTLANDS LÄN</t>
        </is>
      </c>
      <c r="E940" t="inlineStr">
        <is>
          <t>RAGUNDA</t>
        </is>
      </c>
      <c r="G940" t="n">
        <v>3.2</v>
      </c>
      <c r="H940" t="n">
        <v>0</v>
      </c>
      <c r="I940" t="n">
        <v>0</v>
      </c>
      <c r="J940" t="n">
        <v>0</v>
      </c>
      <c r="K940" t="n">
        <v>0</v>
      </c>
      <c r="L940" t="n">
        <v>0</v>
      </c>
      <c r="M940" t="n">
        <v>0</v>
      </c>
      <c r="N940" t="n">
        <v>0</v>
      </c>
      <c r="O940" t="n">
        <v>0</v>
      </c>
      <c r="P940" t="n">
        <v>0</v>
      </c>
      <c r="Q940" t="n">
        <v>0</v>
      </c>
      <c r="R940" s="2" t="inlineStr"/>
    </row>
    <row r="941" ht="15" customHeight="1">
      <c r="A941" t="inlineStr">
        <is>
          <t>A 53144-2024</t>
        </is>
      </c>
      <c r="B941" s="1" t="n">
        <v>45611</v>
      </c>
      <c r="C941" s="1" t="n">
        <v>46002</v>
      </c>
      <c r="D941" t="inlineStr">
        <is>
          <t>JÄMTLANDS LÄN</t>
        </is>
      </c>
      <c r="E941" t="inlineStr">
        <is>
          <t>RAGUNDA</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22311-2024</t>
        </is>
      </c>
      <c r="B942" s="1" t="n">
        <v>45446.57052083333</v>
      </c>
      <c r="C942" s="1" t="n">
        <v>46002</v>
      </c>
      <c r="D942" t="inlineStr">
        <is>
          <t>JÄMTLANDS LÄN</t>
        </is>
      </c>
      <c r="E942" t="inlineStr">
        <is>
          <t>RAGUNDA</t>
        </is>
      </c>
      <c r="G942" t="n">
        <v>1.3</v>
      </c>
      <c r="H942" t="n">
        <v>0</v>
      </c>
      <c r="I942" t="n">
        <v>0</v>
      </c>
      <c r="J942" t="n">
        <v>0</v>
      </c>
      <c r="K942" t="n">
        <v>0</v>
      </c>
      <c r="L942" t="n">
        <v>0</v>
      </c>
      <c r="M942" t="n">
        <v>0</v>
      </c>
      <c r="N942" t="n">
        <v>0</v>
      </c>
      <c r="O942" t="n">
        <v>0</v>
      </c>
      <c r="P942" t="n">
        <v>0</v>
      </c>
      <c r="Q942" t="n">
        <v>0</v>
      </c>
      <c r="R942" s="2" t="inlineStr"/>
    </row>
    <row r="943" ht="15" customHeight="1">
      <c r="A943" t="inlineStr">
        <is>
          <t>A 19403-2025</t>
        </is>
      </c>
      <c r="B943" s="1" t="n">
        <v>45769.67790509259</v>
      </c>
      <c r="C943" s="1" t="n">
        <v>46002</v>
      </c>
      <c r="D943" t="inlineStr">
        <is>
          <t>JÄMTLANDS LÄN</t>
        </is>
      </c>
      <c r="E943" t="inlineStr">
        <is>
          <t>RAGUNDA</t>
        </is>
      </c>
      <c r="F943" t="inlineStr">
        <is>
          <t>SCA</t>
        </is>
      </c>
      <c r="G943" t="n">
        <v>0.5</v>
      </c>
      <c r="H943" t="n">
        <v>0</v>
      </c>
      <c r="I943" t="n">
        <v>0</v>
      </c>
      <c r="J943" t="n">
        <v>0</v>
      </c>
      <c r="K943" t="n">
        <v>0</v>
      </c>
      <c r="L943" t="n">
        <v>0</v>
      </c>
      <c r="M943" t="n">
        <v>0</v>
      </c>
      <c r="N943" t="n">
        <v>0</v>
      </c>
      <c r="O943" t="n">
        <v>0</v>
      </c>
      <c r="P943" t="n">
        <v>0</v>
      </c>
      <c r="Q943" t="n">
        <v>0</v>
      </c>
      <c r="R943" s="2" t="inlineStr"/>
    </row>
    <row r="944" ht="15" customHeight="1">
      <c r="A944" t="inlineStr">
        <is>
          <t>A 11147-2025</t>
        </is>
      </c>
      <c r="B944" s="1" t="n">
        <v>45723.67777777778</v>
      </c>
      <c r="C944" s="1" t="n">
        <v>46002</v>
      </c>
      <c r="D944" t="inlineStr">
        <is>
          <t>JÄMTLANDS LÄN</t>
        </is>
      </c>
      <c r="E944" t="inlineStr">
        <is>
          <t>RAGUNDA</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9847-2025</t>
        </is>
      </c>
      <c r="B945" s="1" t="n">
        <v>45716.61487268518</v>
      </c>
      <c r="C945" s="1" t="n">
        <v>46002</v>
      </c>
      <c r="D945" t="inlineStr">
        <is>
          <t>JÄMTLANDS LÄN</t>
        </is>
      </c>
      <c r="E945" t="inlineStr">
        <is>
          <t>RAGUNDA</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28173-2024</t>
        </is>
      </c>
      <c r="B946" s="1" t="n">
        <v>45476.94533564815</v>
      </c>
      <c r="C946" s="1" t="n">
        <v>46002</v>
      </c>
      <c r="D946" t="inlineStr">
        <is>
          <t>JÄMTLANDS LÄN</t>
        </is>
      </c>
      <c r="E946" t="inlineStr">
        <is>
          <t>RAGUNDA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23734-2024</t>
        </is>
      </c>
      <c r="B947" s="1" t="n">
        <v>45454.95960648148</v>
      </c>
      <c r="C947" s="1" t="n">
        <v>46002</v>
      </c>
      <c r="D947" t="inlineStr">
        <is>
          <t>JÄMTLANDS LÄN</t>
        </is>
      </c>
      <c r="E947" t="inlineStr">
        <is>
          <t>RAGUNDA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38425-2022</t>
        </is>
      </c>
      <c r="B948" s="1" t="n">
        <v>44812.94709490741</v>
      </c>
      <c r="C948" s="1" t="n">
        <v>46002</v>
      </c>
      <c r="D948" t="inlineStr">
        <is>
          <t>JÄMTLANDS LÄN</t>
        </is>
      </c>
      <c r="E948" t="inlineStr">
        <is>
          <t>RAGUNDA</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12995-2023</t>
        </is>
      </c>
      <c r="B949" s="1" t="n">
        <v>45002.0328125</v>
      </c>
      <c r="C949" s="1" t="n">
        <v>46002</v>
      </c>
      <c r="D949" t="inlineStr">
        <is>
          <t>JÄMTLANDS LÄN</t>
        </is>
      </c>
      <c r="E949" t="inlineStr">
        <is>
          <t>RAGUNDA</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44755-2024</t>
        </is>
      </c>
      <c r="B950" s="1" t="n">
        <v>45574.61184027778</v>
      </c>
      <c r="C950" s="1" t="n">
        <v>46002</v>
      </c>
      <c r="D950" t="inlineStr">
        <is>
          <t>JÄMTLANDS LÄN</t>
        </is>
      </c>
      <c r="E950" t="inlineStr">
        <is>
          <t>RAGUNDA</t>
        </is>
      </c>
      <c r="G950" t="n">
        <v>4.4</v>
      </c>
      <c r="H950" t="n">
        <v>0</v>
      </c>
      <c r="I950" t="n">
        <v>0</v>
      </c>
      <c r="J950" t="n">
        <v>0</v>
      </c>
      <c r="K950" t="n">
        <v>0</v>
      </c>
      <c r="L950" t="n">
        <v>0</v>
      </c>
      <c r="M950" t="n">
        <v>0</v>
      </c>
      <c r="N950" t="n">
        <v>0</v>
      </c>
      <c r="O950" t="n">
        <v>0</v>
      </c>
      <c r="P950" t="n">
        <v>0</v>
      </c>
      <c r="Q950" t="n">
        <v>0</v>
      </c>
      <c r="R950" s="2" t="inlineStr"/>
    </row>
    <row r="951" ht="15" customHeight="1">
      <c r="A951" t="inlineStr">
        <is>
          <t>A 44766-2024</t>
        </is>
      </c>
      <c r="B951" s="1" t="n">
        <v>45574.62297453704</v>
      </c>
      <c r="C951" s="1" t="n">
        <v>46002</v>
      </c>
      <c r="D951" t="inlineStr">
        <is>
          <t>JÄMTLANDS LÄN</t>
        </is>
      </c>
      <c r="E951" t="inlineStr">
        <is>
          <t>RAGUNDA</t>
        </is>
      </c>
      <c r="G951" t="n">
        <v>3.2</v>
      </c>
      <c r="H951" t="n">
        <v>0</v>
      </c>
      <c r="I951" t="n">
        <v>0</v>
      </c>
      <c r="J951" t="n">
        <v>0</v>
      </c>
      <c r="K951" t="n">
        <v>0</v>
      </c>
      <c r="L951" t="n">
        <v>0</v>
      </c>
      <c r="M951" t="n">
        <v>0</v>
      </c>
      <c r="N951" t="n">
        <v>0</v>
      </c>
      <c r="O951" t="n">
        <v>0</v>
      </c>
      <c r="P951" t="n">
        <v>0</v>
      </c>
      <c r="Q951" t="n">
        <v>0</v>
      </c>
      <c r="R951" s="2" t="inlineStr"/>
    </row>
    <row r="952" ht="15" customHeight="1">
      <c r="A952" t="inlineStr">
        <is>
          <t>A 16676-2022</t>
        </is>
      </c>
      <c r="B952" s="1" t="n">
        <v>44672.94018518519</v>
      </c>
      <c r="C952" s="1" t="n">
        <v>46002</v>
      </c>
      <c r="D952" t="inlineStr">
        <is>
          <t>JÄMTLANDS LÄN</t>
        </is>
      </c>
      <c r="E952" t="inlineStr">
        <is>
          <t>RAGUNDA</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55536-2024</t>
        </is>
      </c>
      <c r="B953" s="1" t="n">
        <v>45622</v>
      </c>
      <c r="C953" s="1" t="n">
        <v>46002</v>
      </c>
      <c r="D953" t="inlineStr">
        <is>
          <t>JÄMTLANDS LÄN</t>
        </is>
      </c>
      <c r="E953" t="inlineStr">
        <is>
          <t>RAGUNDA</t>
        </is>
      </c>
      <c r="G953" t="n">
        <v>0.8</v>
      </c>
      <c r="H953" t="n">
        <v>0</v>
      </c>
      <c r="I953" t="n">
        <v>0</v>
      </c>
      <c r="J953" t="n">
        <v>0</v>
      </c>
      <c r="K953" t="n">
        <v>0</v>
      </c>
      <c r="L953" t="n">
        <v>0</v>
      </c>
      <c r="M953" t="n">
        <v>0</v>
      </c>
      <c r="N953" t="n">
        <v>0</v>
      </c>
      <c r="O953" t="n">
        <v>0</v>
      </c>
      <c r="P953" t="n">
        <v>0</v>
      </c>
      <c r="Q953" t="n">
        <v>0</v>
      </c>
      <c r="R953" s="2" t="inlineStr"/>
    </row>
    <row r="954" ht="15" customHeight="1">
      <c r="A954" t="inlineStr">
        <is>
          <t>A 44597-2024</t>
        </is>
      </c>
      <c r="B954" s="1" t="n">
        <v>45574.51087962963</v>
      </c>
      <c r="C954" s="1" t="n">
        <v>46002</v>
      </c>
      <c r="D954" t="inlineStr">
        <is>
          <t>JÄMTLANDS LÄN</t>
        </is>
      </c>
      <c r="E954" t="inlineStr">
        <is>
          <t>RAGUNDA</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44598-2024</t>
        </is>
      </c>
      <c r="B955" s="1" t="n">
        <v>45574.51090277778</v>
      </c>
      <c r="C955" s="1" t="n">
        <v>46002</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18610-2024</t>
        </is>
      </c>
      <c r="B956" s="1" t="n">
        <v>45425.96230324074</v>
      </c>
      <c r="C956" s="1" t="n">
        <v>46002</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57116-2024</t>
        </is>
      </c>
      <c r="B957" s="1" t="n">
        <v>45629.36513888889</v>
      </c>
      <c r="C957" s="1" t="n">
        <v>46002</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3104-2025</t>
        </is>
      </c>
      <c r="B958" s="1" t="n">
        <v>45678.67761574074</v>
      </c>
      <c r="C958" s="1" t="n">
        <v>46002</v>
      </c>
      <c r="D958" t="inlineStr">
        <is>
          <t>JÄMTLANDS LÄN</t>
        </is>
      </c>
      <c r="E958" t="inlineStr">
        <is>
          <t>RAGUNDA</t>
        </is>
      </c>
      <c r="F958" t="inlineStr">
        <is>
          <t>SCA</t>
        </is>
      </c>
      <c r="G958" t="n">
        <v>46.2</v>
      </c>
      <c r="H958" t="n">
        <v>0</v>
      </c>
      <c r="I958" t="n">
        <v>0</v>
      </c>
      <c r="J958" t="n">
        <v>0</v>
      </c>
      <c r="K958" t="n">
        <v>0</v>
      </c>
      <c r="L958" t="n">
        <v>0</v>
      </c>
      <c r="M958" t="n">
        <v>0</v>
      </c>
      <c r="N958" t="n">
        <v>0</v>
      </c>
      <c r="O958" t="n">
        <v>0</v>
      </c>
      <c r="P958" t="n">
        <v>0</v>
      </c>
      <c r="Q958" t="n">
        <v>0</v>
      </c>
      <c r="R958" s="2" t="inlineStr"/>
    </row>
    <row r="959" ht="15" customHeight="1">
      <c r="A959" t="inlineStr">
        <is>
          <t>A 40246-2024</t>
        </is>
      </c>
      <c r="B959" s="1" t="n">
        <v>45554.61583333334</v>
      </c>
      <c r="C959" s="1" t="n">
        <v>46002</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4878-2022</t>
        </is>
      </c>
      <c r="B960" s="1" t="n">
        <v>44593</v>
      </c>
      <c r="C960" s="1" t="n">
        <v>46002</v>
      </c>
      <c r="D960" t="inlineStr">
        <is>
          <t>JÄMTLANDS LÄN</t>
        </is>
      </c>
      <c r="E960" t="inlineStr">
        <is>
          <t>RAGUNDA</t>
        </is>
      </c>
      <c r="G960" t="n">
        <v>21.7</v>
      </c>
      <c r="H960" t="n">
        <v>0</v>
      </c>
      <c r="I960" t="n">
        <v>0</v>
      </c>
      <c r="J960" t="n">
        <v>0</v>
      </c>
      <c r="K960" t="n">
        <v>0</v>
      </c>
      <c r="L960" t="n">
        <v>0</v>
      </c>
      <c r="M960" t="n">
        <v>0</v>
      </c>
      <c r="N960" t="n">
        <v>0</v>
      </c>
      <c r="O960" t="n">
        <v>0</v>
      </c>
      <c r="P960" t="n">
        <v>0</v>
      </c>
      <c r="Q960" t="n">
        <v>0</v>
      </c>
      <c r="R960" s="2" t="inlineStr"/>
    </row>
    <row r="961" ht="15" customHeight="1">
      <c r="A961" t="inlineStr">
        <is>
          <t>A 57237-2022</t>
        </is>
      </c>
      <c r="B961" s="1" t="n">
        <v>44889</v>
      </c>
      <c r="C961" s="1" t="n">
        <v>46002</v>
      </c>
      <c r="D961" t="inlineStr">
        <is>
          <t>JÄMTLANDS LÄN</t>
        </is>
      </c>
      <c r="E961" t="inlineStr">
        <is>
          <t>RAGUNDA</t>
        </is>
      </c>
      <c r="G961" t="n">
        <v>2.2</v>
      </c>
      <c r="H961" t="n">
        <v>0</v>
      </c>
      <c r="I961" t="n">
        <v>0</v>
      </c>
      <c r="J961" t="n">
        <v>0</v>
      </c>
      <c r="K961" t="n">
        <v>0</v>
      </c>
      <c r="L961" t="n">
        <v>0</v>
      </c>
      <c r="M961" t="n">
        <v>0</v>
      </c>
      <c r="N961" t="n">
        <v>0</v>
      </c>
      <c r="O961" t="n">
        <v>0</v>
      </c>
      <c r="P961" t="n">
        <v>0</v>
      </c>
      <c r="Q961" t="n">
        <v>0</v>
      </c>
      <c r="R961" s="2" t="inlineStr"/>
    </row>
    <row r="962" ht="15" customHeight="1">
      <c r="A962" t="inlineStr">
        <is>
          <t>A 2133-2023</t>
        </is>
      </c>
      <c r="B962" s="1" t="n">
        <v>44939</v>
      </c>
      <c r="C962" s="1" t="n">
        <v>46002</v>
      </c>
      <c r="D962" t="inlineStr">
        <is>
          <t>JÄMTLANDS LÄN</t>
        </is>
      </c>
      <c r="E962" t="inlineStr">
        <is>
          <t>RAGUNDA</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19419-2024</t>
        </is>
      </c>
      <c r="B963" s="1" t="n">
        <v>45429</v>
      </c>
      <c r="C963" s="1" t="n">
        <v>46002</v>
      </c>
      <c r="D963" t="inlineStr">
        <is>
          <t>JÄMTLANDS LÄN</t>
        </is>
      </c>
      <c r="E963" t="inlineStr">
        <is>
          <t>RAGUNDA</t>
        </is>
      </c>
      <c r="G963" t="n">
        <v>3.5</v>
      </c>
      <c r="H963" t="n">
        <v>0</v>
      </c>
      <c r="I963" t="n">
        <v>0</v>
      </c>
      <c r="J963" t="n">
        <v>0</v>
      </c>
      <c r="K963" t="n">
        <v>0</v>
      </c>
      <c r="L963" t="n">
        <v>0</v>
      </c>
      <c r="M963" t="n">
        <v>0</v>
      </c>
      <c r="N963" t="n">
        <v>0</v>
      </c>
      <c r="O963" t="n">
        <v>0</v>
      </c>
      <c r="P963" t="n">
        <v>0</v>
      </c>
      <c r="Q963" t="n">
        <v>0</v>
      </c>
      <c r="R963" s="2" t="inlineStr"/>
    </row>
    <row r="964" ht="15" customHeight="1">
      <c r="A964" t="inlineStr">
        <is>
          <t>A 19383-2025</t>
        </is>
      </c>
      <c r="B964" s="1" t="n">
        <v>45769.65688657408</v>
      </c>
      <c r="C964" s="1" t="n">
        <v>46002</v>
      </c>
      <c r="D964" t="inlineStr">
        <is>
          <t>JÄMTLANDS LÄN</t>
        </is>
      </c>
      <c r="E964" t="inlineStr">
        <is>
          <t>RAGUNDA</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49229-2024</t>
        </is>
      </c>
      <c r="B965" s="1" t="n">
        <v>45595.42738425926</v>
      </c>
      <c r="C965" s="1" t="n">
        <v>46002</v>
      </c>
      <c r="D965" t="inlineStr">
        <is>
          <t>JÄMTLANDS LÄN</t>
        </is>
      </c>
      <c r="E965" t="inlineStr">
        <is>
          <t>RAGUNDA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13700-2023</t>
        </is>
      </c>
      <c r="B966" s="1" t="n">
        <v>45006</v>
      </c>
      <c r="C966" s="1" t="n">
        <v>46002</v>
      </c>
      <c r="D966" t="inlineStr">
        <is>
          <t>JÄMTLANDS LÄN</t>
        </is>
      </c>
      <c r="E966" t="inlineStr">
        <is>
          <t>RAGUNDA</t>
        </is>
      </c>
      <c r="F966" t="inlineStr">
        <is>
          <t>SCA</t>
        </is>
      </c>
      <c r="G966" t="n">
        <v>50.3</v>
      </c>
      <c r="H966" t="n">
        <v>0</v>
      </c>
      <c r="I966" t="n">
        <v>0</v>
      </c>
      <c r="J966" t="n">
        <v>0</v>
      </c>
      <c r="K966" t="n">
        <v>0</v>
      </c>
      <c r="L966" t="n">
        <v>0</v>
      </c>
      <c r="M966" t="n">
        <v>0</v>
      </c>
      <c r="N966" t="n">
        <v>0</v>
      </c>
      <c r="O966" t="n">
        <v>0</v>
      </c>
      <c r="P966" t="n">
        <v>0</v>
      </c>
      <c r="Q966" t="n">
        <v>0</v>
      </c>
      <c r="R966" s="2" t="inlineStr"/>
    </row>
    <row r="967" ht="15" customHeight="1">
      <c r="A967" t="inlineStr">
        <is>
          <t>A 51389-2024</t>
        </is>
      </c>
      <c r="B967" s="1" t="n">
        <v>45604.40540509259</v>
      </c>
      <c r="C967" s="1" t="n">
        <v>46002</v>
      </c>
      <c r="D967" t="inlineStr">
        <is>
          <t>JÄMTLANDS LÄN</t>
        </is>
      </c>
      <c r="E967" t="inlineStr">
        <is>
          <t>RAGUNDA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51393-2024</t>
        </is>
      </c>
      <c r="B968" s="1" t="n">
        <v>45604.41625</v>
      </c>
      <c r="C968" s="1" t="n">
        <v>46002</v>
      </c>
      <c r="D968" t="inlineStr">
        <is>
          <t>JÄMTLANDS LÄN</t>
        </is>
      </c>
      <c r="E968" t="inlineStr">
        <is>
          <t>RAGUNDA</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20987-2023</t>
        </is>
      </c>
      <c r="B969" s="1" t="n">
        <v>45056</v>
      </c>
      <c r="C969" s="1" t="n">
        <v>46002</v>
      </c>
      <c r="D969" t="inlineStr">
        <is>
          <t>JÄMTLANDS LÄN</t>
        </is>
      </c>
      <c r="E969" t="inlineStr">
        <is>
          <t>RAGUNDA</t>
        </is>
      </c>
      <c r="G969" t="n">
        <v>1.1</v>
      </c>
      <c r="H969" t="n">
        <v>0</v>
      </c>
      <c r="I969" t="n">
        <v>0</v>
      </c>
      <c r="J969" t="n">
        <v>0</v>
      </c>
      <c r="K969" t="n">
        <v>0</v>
      </c>
      <c r="L969" t="n">
        <v>0</v>
      </c>
      <c r="M969" t="n">
        <v>0</v>
      </c>
      <c r="N969" t="n">
        <v>0</v>
      </c>
      <c r="O969" t="n">
        <v>0</v>
      </c>
      <c r="P969" t="n">
        <v>0</v>
      </c>
      <c r="Q969" t="n">
        <v>0</v>
      </c>
      <c r="R969" s="2" t="inlineStr"/>
    </row>
    <row r="970" ht="15" customHeight="1">
      <c r="A970" t="inlineStr">
        <is>
          <t>A 20994-2023</t>
        </is>
      </c>
      <c r="B970" s="1" t="n">
        <v>45056</v>
      </c>
      <c r="C970" s="1" t="n">
        <v>46002</v>
      </c>
      <c r="D970" t="inlineStr">
        <is>
          <t>JÄMTLANDS LÄN</t>
        </is>
      </c>
      <c r="E970" t="inlineStr">
        <is>
          <t>RAGUNDA</t>
        </is>
      </c>
      <c r="G970" t="n">
        <v>1.3</v>
      </c>
      <c r="H970" t="n">
        <v>0</v>
      </c>
      <c r="I970" t="n">
        <v>0</v>
      </c>
      <c r="J970" t="n">
        <v>0</v>
      </c>
      <c r="K970" t="n">
        <v>0</v>
      </c>
      <c r="L970" t="n">
        <v>0</v>
      </c>
      <c r="M970" t="n">
        <v>0</v>
      </c>
      <c r="N970" t="n">
        <v>0</v>
      </c>
      <c r="O970" t="n">
        <v>0</v>
      </c>
      <c r="P970" t="n">
        <v>0</v>
      </c>
      <c r="Q970" t="n">
        <v>0</v>
      </c>
      <c r="R970" s="2" t="inlineStr"/>
    </row>
    <row r="971" ht="15" customHeight="1">
      <c r="A971" t="inlineStr">
        <is>
          <t>A 55669-2023</t>
        </is>
      </c>
      <c r="B971" s="1" t="n">
        <v>45238.96797453704</v>
      </c>
      <c r="C971" s="1" t="n">
        <v>46002</v>
      </c>
      <c r="D971" t="inlineStr">
        <is>
          <t>JÄMTLANDS LÄN</t>
        </is>
      </c>
      <c r="E971" t="inlineStr">
        <is>
          <t>RAGUNDA</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32063-2024</t>
        </is>
      </c>
      <c r="B972" s="1" t="n">
        <v>45510</v>
      </c>
      <c r="C972" s="1" t="n">
        <v>46002</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10641-2024</t>
        </is>
      </c>
      <c r="B973" s="1" t="n">
        <v>45367.69850694444</v>
      </c>
      <c r="C973" s="1" t="n">
        <v>46002</v>
      </c>
      <c r="D973" t="inlineStr">
        <is>
          <t>JÄMTLANDS LÄN</t>
        </is>
      </c>
      <c r="E973" t="inlineStr">
        <is>
          <t>RAGUNDA</t>
        </is>
      </c>
      <c r="G973" t="n">
        <v>0.9</v>
      </c>
      <c r="H973" t="n">
        <v>0</v>
      </c>
      <c r="I973" t="n">
        <v>0</v>
      </c>
      <c r="J973" t="n">
        <v>0</v>
      </c>
      <c r="K973" t="n">
        <v>0</v>
      </c>
      <c r="L973" t="n">
        <v>0</v>
      </c>
      <c r="M973" t="n">
        <v>0</v>
      </c>
      <c r="N973" t="n">
        <v>0</v>
      </c>
      <c r="O973" t="n">
        <v>0</v>
      </c>
      <c r="P973" t="n">
        <v>0</v>
      </c>
      <c r="Q973" t="n">
        <v>0</v>
      </c>
      <c r="R973" s="2" t="inlineStr"/>
    </row>
    <row r="974" ht="15" customHeight="1">
      <c r="A974" t="inlineStr">
        <is>
          <t>A 10644-2024</t>
        </is>
      </c>
      <c r="B974" s="1" t="n">
        <v>45367.71348379629</v>
      </c>
      <c r="C974" s="1" t="n">
        <v>46002</v>
      </c>
      <c r="D974" t="inlineStr">
        <is>
          <t>JÄMTLANDS LÄN</t>
        </is>
      </c>
      <c r="E974" t="inlineStr">
        <is>
          <t>RAGUNDA</t>
        </is>
      </c>
      <c r="G974" t="n">
        <v>2</v>
      </c>
      <c r="H974" t="n">
        <v>0</v>
      </c>
      <c r="I974" t="n">
        <v>0</v>
      </c>
      <c r="J974" t="n">
        <v>0</v>
      </c>
      <c r="K974" t="n">
        <v>0</v>
      </c>
      <c r="L974" t="n">
        <v>0</v>
      </c>
      <c r="M974" t="n">
        <v>0</v>
      </c>
      <c r="N974" t="n">
        <v>0</v>
      </c>
      <c r="O974" t="n">
        <v>0</v>
      </c>
      <c r="P974" t="n">
        <v>0</v>
      </c>
      <c r="Q974" t="n">
        <v>0</v>
      </c>
      <c r="R974" s="2" t="inlineStr"/>
    </row>
    <row r="975" ht="15" customHeight="1">
      <c r="A975" t="inlineStr">
        <is>
          <t>A 20426-2024</t>
        </is>
      </c>
      <c r="B975" s="1" t="n">
        <v>45435</v>
      </c>
      <c r="C975" s="1" t="n">
        <v>46002</v>
      </c>
      <c r="D975" t="inlineStr">
        <is>
          <t>JÄMTLANDS LÄN</t>
        </is>
      </c>
      <c r="E975" t="inlineStr">
        <is>
          <t>RAGUNDA</t>
        </is>
      </c>
      <c r="G975" t="n">
        <v>2.1</v>
      </c>
      <c r="H975" t="n">
        <v>0</v>
      </c>
      <c r="I975" t="n">
        <v>0</v>
      </c>
      <c r="J975" t="n">
        <v>0</v>
      </c>
      <c r="K975" t="n">
        <v>0</v>
      </c>
      <c r="L975" t="n">
        <v>0</v>
      </c>
      <c r="M975" t="n">
        <v>0</v>
      </c>
      <c r="N975" t="n">
        <v>0</v>
      </c>
      <c r="O975" t="n">
        <v>0</v>
      </c>
      <c r="P975" t="n">
        <v>0</v>
      </c>
      <c r="Q975" t="n">
        <v>0</v>
      </c>
      <c r="R975" s="2" t="inlineStr"/>
    </row>
    <row r="976" ht="15" customHeight="1">
      <c r="A976" t="inlineStr">
        <is>
          <t>A 17742-2022</t>
        </is>
      </c>
      <c r="B976" s="1" t="n">
        <v>44680.95246527778</v>
      </c>
      <c r="C976" s="1" t="n">
        <v>46002</v>
      </c>
      <c r="D976" t="inlineStr">
        <is>
          <t>JÄMTLANDS LÄN</t>
        </is>
      </c>
      <c r="E976" t="inlineStr">
        <is>
          <t>RAGUNDA</t>
        </is>
      </c>
      <c r="F976" t="inlineStr">
        <is>
          <t>SCA</t>
        </is>
      </c>
      <c r="G976" t="n">
        <v>7.2</v>
      </c>
      <c r="H976" t="n">
        <v>0</v>
      </c>
      <c r="I976" t="n">
        <v>0</v>
      </c>
      <c r="J976" t="n">
        <v>0</v>
      </c>
      <c r="K976" t="n">
        <v>0</v>
      </c>
      <c r="L976" t="n">
        <v>0</v>
      </c>
      <c r="M976" t="n">
        <v>0</v>
      </c>
      <c r="N976" t="n">
        <v>0</v>
      </c>
      <c r="O976" t="n">
        <v>0</v>
      </c>
      <c r="P976" t="n">
        <v>0</v>
      </c>
      <c r="Q976" t="n">
        <v>0</v>
      </c>
      <c r="R976" s="2" t="inlineStr"/>
    </row>
    <row r="977" ht="15" customHeight="1">
      <c r="A977" t="inlineStr">
        <is>
          <t>A 30825-2023</t>
        </is>
      </c>
      <c r="B977" s="1" t="n">
        <v>45112.94310185185</v>
      </c>
      <c r="C977" s="1" t="n">
        <v>46002</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9084-2023</t>
        </is>
      </c>
      <c r="B978" s="1" t="n">
        <v>44979</v>
      </c>
      <c r="C978" s="1" t="n">
        <v>46002</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9326-2024</t>
        </is>
      </c>
      <c r="B979" s="1" t="n">
        <v>45358.95818287037</v>
      </c>
      <c r="C979" s="1" t="n">
        <v>46002</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7520-2023</t>
        </is>
      </c>
      <c r="B980" s="1" t="n">
        <v>44971</v>
      </c>
      <c r="C980" s="1" t="n">
        <v>46002</v>
      </c>
      <c r="D980" t="inlineStr">
        <is>
          <t>JÄMTLANDS LÄN</t>
        </is>
      </c>
      <c r="E980" t="inlineStr">
        <is>
          <t>RAGUNDA</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21662-2023</t>
        </is>
      </c>
      <c r="B981" s="1" t="n">
        <v>45063</v>
      </c>
      <c r="C981" s="1" t="n">
        <v>46002</v>
      </c>
      <c r="D981" t="inlineStr">
        <is>
          <t>JÄMTLANDS LÄN</t>
        </is>
      </c>
      <c r="E981" t="inlineStr">
        <is>
          <t>RAGUNDA</t>
        </is>
      </c>
      <c r="G981" t="n">
        <v>1.8</v>
      </c>
      <c r="H981" t="n">
        <v>0</v>
      </c>
      <c r="I981" t="n">
        <v>0</v>
      </c>
      <c r="J981" t="n">
        <v>0</v>
      </c>
      <c r="K981" t="n">
        <v>0</v>
      </c>
      <c r="L981" t="n">
        <v>0</v>
      </c>
      <c r="M981" t="n">
        <v>0</v>
      </c>
      <c r="N981" t="n">
        <v>0</v>
      </c>
      <c r="O981" t="n">
        <v>0</v>
      </c>
      <c r="P981" t="n">
        <v>0</v>
      </c>
      <c r="Q981" t="n">
        <v>0</v>
      </c>
      <c r="R981" s="2" t="inlineStr"/>
    </row>
    <row r="982" ht="15" customHeight="1">
      <c r="A982" t="inlineStr">
        <is>
          <t>A 44727-2024</t>
        </is>
      </c>
      <c r="B982" s="1" t="n">
        <v>45574.57967592592</v>
      </c>
      <c r="C982" s="1" t="n">
        <v>46002</v>
      </c>
      <c r="D982" t="inlineStr">
        <is>
          <t>JÄMTLANDS LÄN</t>
        </is>
      </c>
      <c r="E982" t="inlineStr">
        <is>
          <t>RAGUNDA</t>
        </is>
      </c>
      <c r="G982" t="n">
        <v>4.7</v>
      </c>
      <c r="H982" t="n">
        <v>0</v>
      </c>
      <c r="I982" t="n">
        <v>0</v>
      </c>
      <c r="J982" t="n">
        <v>0</v>
      </c>
      <c r="K982" t="n">
        <v>0</v>
      </c>
      <c r="L982" t="n">
        <v>0</v>
      </c>
      <c r="M982" t="n">
        <v>0</v>
      </c>
      <c r="N982" t="n">
        <v>0</v>
      </c>
      <c r="O982" t="n">
        <v>0</v>
      </c>
      <c r="P982" t="n">
        <v>0</v>
      </c>
      <c r="Q982" t="n">
        <v>0</v>
      </c>
      <c r="R982" s="2" t="inlineStr"/>
    </row>
    <row r="983" ht="15" customHeight="1">
      <c r="A983" t="inlineStr">
        <is>
          <t>A 21083-2024</t>
        </is>
      </c>
      <c r="B983" s="1" t="n">
        <v>45439.92752314815</v>
      </c>
      <c r="C983" s="1" t="n">
        <v>46002</v>
      </c>
      <c r="D983" t="inlineStr">
        <is>
          <t>JÄMTLANDS LÄN</t>
        </is>
      </c>
      <c r="E983" t="inlineStr">
        <is>
          <t>RAGUNDA</t>
        </is>
      </c>
      <c r="G983" t="n">
        <v>1.5</v>
      </c>
      <c r="H983" t="n">
        <v>0</v>
      </c>
      <c r="I983" t="n">
        <v>0</v>
      </c>
      <c r="J983" t="n">
        <v>0</v>
      </c>
      <c r="K983" t="n">
        <v>0</v>
      </c>
      <c r="L983" t="n">
        <v>0</v>
      </c>
      <c r="M983" t="n">
        <v>0</v>
      </c>
      <c r="N983" t="n">
        <v>0</v>
      </c>
      <c r="O983" t="n">
        <v>0</v>
      </c>
      <c r="P983" t="n">
        <v>0</v>
      </c>
      <c r="Q983" t="n">
        <v>0</v>
      </c>
      <c r="R983" s="2" t="inlineStr"/>
    </row>
    <row r="984" ht="15" customHeight="1">
      <c r="A984" t="inlineStr">
        <is>
          <t>A 462-2023</t>
        </is>
      </c>
      <c r="B984" s="1" t="n">
        <v>44929</v>
      </c>
      <c r="C984" s="1" t="n">
        <v>46002</v>
      </c>
      <c r="D984" t="inlineStr">
        <is>
          <t>JÄMTLANDS LÄN</t>
        </is>
      </c>
      <c r="E984" t="inlineStr">
        <is>
          <t>RAGUNDA</t>
        </is>
      </c>
      <c r="G984" t="n">
        <v>4.5</v>
      </c>
      <c r="H984" t="n">
        <v>0</v>
      </c>
      <c r="I984" t="n">
        <v>0</v>
      </c>
      <c r="J984" t="n">
        <v>0</v>
      </c>
      <c r="K984" t="n">
        <v>0</v>
      </c>
      <c r="L984" t="n">
        <v>0</v>
      </c>
      <c r="M984" t="n">
        <v>0</v>
      </c>
      <c r="N984" t="n">
        <v>0</v>
      </c>
      <c r="O984" t="n">
        <v>0</v>
      </c>
      <c r="P984" t="n">
        <v>0</v>
      </c>
      <c r="Q984" t="n">
        <v>0</v>
      </c>
      <c r="R984" s="2" t="inlineStr"/>
    </row>
    <row r="985" ht="15" customHeight="1">
      <c r="A985" t="inlineStr">
        <is>
          <t>A 12050-2023</t>
        </is>
      </c>
      <c r="B985" s="1" t="n">
        <v>44995.98644675926</v>
      </c>
      <c r="C985" s="1" t="n">
        <v>46002</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62358-2023</t>
        </is>
      </c>
      <c r="B986" s="1" t="n">
        <v>45267</v>
      </c>
      <c r="C986" s="1" t="n">
        <v>46002</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18820-2023</t>
        </is>
      </c>
      <c r="B987" s="1" t="n">
        <v>45042</v>
      </c>
      <c r="C987" s="1" t="n">
        <v>46002</v>
      </c>
      <c r="D987" t="inlineStr">
        <is>
          <t>JÄMTLANDS LÄN</t>
        </is>
      </c>
      <c r="E987" t="inlineStr">
        <is>
          <t>RAGUNDA</t>
        </is>
      </c>
      <c r="G987" t="n">
        <v>18.8</v>
      </c>
      <c r="H987" t="n">
        <v>0</v>
      </c>
      <c r="I987" t="n">
        <v>0</v>
      </c>
      <c r="J987" t="n">
        <v>0</v>
      </c>
      <c r="K987" t="n">
        <v>0</v>
      </c>
      <c r="L987" t="n">
        <v>0</v>
      </c>
      <c r="M987" t="n">
        <v>0</v>
      </c>
      <c r="N987" t="n">
        <v>0</v>
      </c>
      <c r="O987" t="n">
        <v>0</v>
      </c>
      <c r="P987" t="n">
        <v>0</v>
      </c>
      <c r="Q987" t="n">
        <v>0</v>
      </c>
      <c r="R987" s="2" t="inlineStr"/>
    </row>
    <row r="988" ht="15" customHeight="1">
      <c r="A988" t="inlineStr">
        <is>
          <t>A 49648-2023</t>
        </is>
      </c>
      <c r="B988" s="1" t="n">
        <v>45211.95061342593</v>
      </c>
      <c r="C988" s="1" t="n">
        <v>46002</v>
      </c>
      <c r="D988" t="inlineStr">
        <is>
          <t>JÄMTLANDS LÄN</t>
        </is>
      </c>
      <c r="E988" t="inlineStr">
        <is>
          <t>RAGUNDA</t>
        </is>
      </c>
      <c r="F988" t="inlineStr">
        <is>
          <t>SCA</t>
        </is>
      </c>
      <c r="G988" t="n">
        <v>4.3</v>
      </c>
      <c r="H988" t="n">
        <v>0</v>
      </c>
      <c r="I988" t="n">
        <v>0</v>
      </c>
      <c r="J988" t="n">
        <v>0</v>
      </c>
      <c r="K988" t="n">
        <v>0</v>
      </c>
      <c r="L988" t="n">
        <v>0</v>
      </c>
      <c r="M988" t="n">
        <v>0</v>
      </c>
      <c r="N988" t="n">
        <v>0</v>
      </c>
      <c r="O988" t="n">
        <v>0</v>
      </c>
      <c r="P988" t="n">
        <v>0</v>
      </c>
      <c r="Q988" t="n">
        <v>0</v>
      </c>
      <c r="R988" s="2" t="inlineStr"/>
    </row>
    <row r="989" ht="15" customHeight="1">
      <c r="A989" t="inlineStr">
        <is>
          <t>A 51537-2022</t>
        </is>
      </c>
      <c r="B989" s="1" t="n">
        <v>44869</v>
      </c>
      <c r="C989" s="1" t="n">
        <v>46002</v>
      </c>
      <c r="D989" t="inlineStr">
        <is>
          <t>JÄMTLANDS LÄN</t>
        </is>
      </c>
      <c r="E989" t="inlineStr">
        <is>
          <t>RAGUNDA</t>
        </is>
      </c>
      <c r="G989" t="n">
        <v>1.8</v>
      </c>
      <c r="H989" t="n">
        <v>0</v>
      </c>
      <c r="I989" t="n">
        <v>0</v>
      </c>
      <c r="J989" t="n">
        <v>0</v>
      </c>
      <c r="K989" t="n">
        <v>0</v>
      </c>
      <c r="L989" t="n">
        <v>0</v>
      </c>
      <c r="M989" t="n">
        <v>0</v>
      </c>
      <c r="N989" t="n">
        <v>0</v>
      </c>
      <c r="O989" t="n">
        <v>0</v>
      </c>
      <c r="P989" t="n">
        <v>0</v>
      </c>
      <c r="Q989" t="n">
        <v>0</v>
      </c>
      <c r="R989" s="2" t="inlineStr"/>
    </row>
    <row r="990" ht="15" customHeight="1">
      <c r="A990" t="inlineStr">
        <is>
          <t>A 59044-2022</t>
        </is>
      </c>
      <c r="B990" s="1" t="n">
        <v>44903</v>
      </c>
      <c r="C990" s="1" t="n">
        <v>46002</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5958-2023</t>
        </is>
      </c>
      <c r="B991" s="1" t="n">
        <v>44963</v>
      </c>
      <c r="C991" s="1" t="n">
        <v>46002</v>
      </c>
      <c r="D991" t="inlineStr">
        <is>
          <t>JÄMTLANDS LÄN</t>
        </is>
      </c>
      <c r="E991" t="inlineStr">
        <is>
          <t>RAGUNDA</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8779-2025</t>
        </is>
      </c>
      <c r="B992" s="1" t="n">
        <v>45712.61552083334</v>
      </c>
      <c r="C992" s="1" t="n">
        <v>46002</v>
      </c>
      <c r="D992" t="inlineStr">
        <is>
          <t>JÄMTLANDS LÄN</t>
        </is>
      </c>
      <c r="E992" t="inlineStr">
        <is>
          <t>RAGUNDA</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61400-2022</t>
        </is>
      </c>
      <c r="B993" s="1" t="n">
        <v>44915</v>
      </c>
      <c r="C993" s="1" t="n">
        <v>46002</v>
      </c>
      <c r="D993" t="inlineStr">
        <is>
          <t>JÄMTLANDS LÄN</t>
        </is>
      </c>
      <c r="E993" t="inlineStr">
        <is>
          <t>RAGUNDA</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4348-2023</t>
        </is>
      </c>
      <c r="B994" s="1" t="n">
        <v>44953</v>
      </c>
      <c r="C994" s="1" t="n">
        <v>46002</v>
      </c>
      <c r="D994" t="inlineStr">
        <is>
          <t>JÄMTLANDS LÄN</t>
        </is>
      </c>
      <c r="E994" t="inlineStr">
        <is>
          <t>RAGUNDA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56286-2023</t>
        </is>
      </c>
      <c r="B995" s="1" t="n">
        <v>45241.95741898148</v>
      </c>
      <c r="C995" s="1" t="n">
        <v>46002</v>
      </c>
      <c r="D995" t="inlineStr">
        <is>
          <t>JÄMTLANDS LÄN</t>
        </is>
      </c>
      <c r="E995" t="inlineStr">
        <is>
          <t>RAGUNDA</t>
        </is>
      </c>
      <c r="F995" t="inlineStr">
        <is>
          <t>SCA</t>
        </is>
      </c>
      <c r="G995" t="n">
        <v>4.5</v>
      </c>
      <c r="H995" t="n">
        <v>0</v>
      </c>
      <c r="I995" t="n">
        <v>0</v>
      </c>
      <c r="J995" t="n">
        <v>0</v>
      </c>
      <c r="K995" t="n">
        <v>0</v>
      </c>
      <c r="L995" t="n">
        <v>0</v>
      </c>
      <c r="M995" t="n">
        <v>0</v>
      </c>
      <c r="N995" t="n">
        <v>0</v>
      </c>
      <c r="O995" t="n">
        <v>0</v>
      </c>
      <c r="P995" t="n">
        <v>0</v>
      </c>
      <c r="Q995" t="n">
        <v>0</v>
      </c>
      <c r="R995" s="2" t="inlineStr"/>
    </row>
    <row r="996" ht="15" customHeight="1">
      <c r="A996" t="inlineStr">
        <is>
          <t>A 56287-2023</t>
        </is>
      </c>
      <c r="B996" s="1" t="n">
        <v>45241</v>
      </c>
      <c r="C996" s="1" t="n">
        <v>46002</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62135-2024</t>
        </is>
      </c>
      <c r="B997" s="1" t="n">
        <v>45656.64223379629</v>
      </c>
      <c r="C997" s="1" t="n">
        <v>46002</v>
      </c>
      <c r="D997" t="inlineStr">
        <is>
          <t>JÄMTLANDS LÄN</t>
        </is>
      </c>
      <c r="E997" t="inlineStr">
        <is>
          <t>RAGUNDA</t>
        </is>
      </c>
      <c r="G997" t="n">
        <v>1.5</v>
      </c>
      <c r="H997" t="n">
        <v>0</v>
      </c>
      <c r="I997" t="n">
        <v>0</v>
      </c>
      <c r="J997" t="n">
        <v>0</v>
      </c>
      <c r="K997" t="n">
        <v>0</v>
      </c>
      <c r="L997" t="n">
        <v>0</v>
      </c>
      <c r="M997" t="n">
        <v>0</v>
      </c>
      <c r="N997" t="n">
        <v>0</v>
      </c>
      <c r="O997" t="n">
        <v>0</v>
      </c>
      <c r="P997" t="n">
        <v>0</v>
      </c>
      <c r="Q997" t="n">
        <v>0</v>
      </c>
      <c r="R997" s="2" t="inlineStr"/>
    </row>
    <row r="998" ht="15" customHeight="1">
      <c r="A998" t="inlineStr">
        <is>
          <t>A 18248-2023</t>
        </is>
      </c>
      <c r="B998" s="1" t="n">
        <v>45040</v>
      </c>
      <c r="C998" s="1" t="n">
        <v>46002</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8802-2022</t>
        </is>
      </c>
      <c r="B999" s="1" t="n">
        <v>44614</v>
      </c>
      <c r="C999" s="1" t="n">
        <v>46002</v>
      </c>
      <c r="D999" t="inlineStr">
        <is>
          <t>JÄMTLANDS LÄN</t>
        </is>
      </c>
      <c r="E999" t="inlineStr">
        <is>
          <t>RAGUNDA</t>
        </is>
      </c>
      <c r="G999" t="n">
        <v>2.8</v>
      </c>
      <c r="H999" t="n">
        <v>0</v>
      </c>
      <c r="I999" t="n">
        <v>0</v>
      </c>
      <c r="J999" t="n">
        <v>0</v>
      </c>
      <c r="K999" t="n">
        <v>0</v>
      </c>
      <c r="L999" t="n">
        <v>0</v>
      </c>
      <c r="M999" t="n">
        <v>0</v>
      </c>
      <c r="N999" t="n">
        <v>0</v>
      </c>
      <c r="O999" t="n">
        <v>0</v>
      </c>
      <c r="P999" t="n">
        <v>0</v>
      </c>
      <c r="Q999" t="n">
        <v>0</v>
      </c>
      <c r="R999" s="2" t="inlineStr"/>
    </row>
    <row r="1000" ht="15" customHeight="1">
      <c r="A1000" t="inlineStr">
        <is>
          <t>A 39489-2023</t>
        </is>
      </c>
      <c r="B1000" s="1" t="n">
        <v>45166</v>
      </c>
      <c r="C1000" s="1" t="n">
        <v>46002</v>
      </c>
      <c r="D1000" t="inlineStr">
        <is>
          <t>JÄMTLANDS LÄN</t>
        </is>
      </c>
      <c r="E1000" t="inlineStr">
        <is>
          <t>RAGUNDA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55214-2022</t>
        </is>
      </c>
      <c r="B1001" s="1" t="n">
        <v>44886</v>
      </c>
      <c r="C1001" s="1" t="n">
        <v>46002</v>
      </c>
      <c r="D1001" t="inlineStr">
        <is>
          <t>JÄMTLANDS LÄN</t>
        </is>
      </c>
      <c r="E1001" t="inlineStr">
        <is>
          <t>RAGUNDA</t>
        </is>
      </c>
      <c r="F1001" t="inlineStr">
        <is>
          <t>SCA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7722-2023</t>
        </is>
      </c>
      <c r="B1002" s="1" t="n">
        <v>44972.94140046297</v>
      </c>
      <c r="C1002" s="1" t="n">
        <v>46002</v>
      </c>
      <c r="D1002" t="inlineStr">
        <is>
          <t>JÄMTLANDS LÄN</t>
        </is>
      </c>
      <c r="E1002" t="inlineStr">
        <is>
          <t>RAGUNDA</t>
        </is>
      </c>
      <c r="F1002" t="inlineStr">
        <is>
          <t>SCA</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12204-2025</t>
        </is>
      </c>
      <c r="B1003" s="1" t="n">
        <v>45729.51074074074</v>
      </c>
      <c r="C1003" s="1" t="n">
        <v>46002</v>
      </c>
      <c r="D1003" t="inlineStr">
        <is>
          <t>JÄMTLANDS LÄN</t>
        </is>
      </c>
      <c r="E1003" t="inlineStr">
        <is>
          <t>RAGUNDA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13299-2024</t>
        </is>
      </c>
      <c r="B1004" s="1" t="n">
        <v>45386.68003472222</v>
      </c>
      <c r="C1004" s="1" t="n">
        <v>46002</v>
      </c>
      <c r="D1004" t="inlineStr">
        <is>
          <t>JÄMTLANDS LÄN</t>
        </is>
      </c>
      <c r="E1004" t="inlineStr">
        <is>
          <t>RAGUNDA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15024-2022</t>
        </is>
      </c>
      <c r="B1005" s="1" t="n">
        <v>44657</v>
      </c>
      <c r="C1005" s="1" t="n">
        <v>46002</v>
      </c>
      <c r="D1005" t="inlineStr">
        <is>
          <t>JÄMTLANDS LÄN</t>
        </is>
      </c>
      <c r="E1005" t="inlineStr">
        <is>
          <t>RAGUNDA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891-2022</t>
        </is>
      </c>
      <c r="B1006" s="1" t="n">
        <v>44571</v>
      </c>
      <c r="C1006" s="1" t="n">
        <v>46002</v>
      </c>
      <c r="D1006" t="inlineStr">
        <is>
          <t>JÄMTLANDS LÄN</t>
        </is>
      </c>
      <c r="E1006" t="inlineStr">
        <is>
          <t>RAGUNDA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36371-2023</t>
        </is>
      </c>
      <c r="B1007" s="1" t="n">
        <v>45149</v>
      </c>
      <c r="C1007" s="1" t="n">
        <v>46002</v>
      </c>
      <c r="D1007" t="inlineStr">
        <is>
          <t>JÄMTLANDS LÄN</t>
        </is>
      </c>
      <c r="E1007" t="inlineStr">
        <is>
          <t>RAGUNDA</t>
        </is>
      </c>
      <c r="G1007" t="n">
        <v>25.7</v>
      </c>
      <c r="H1007" t="n">
        <v>0</v>
      </c>
      <c r="I1007" t="n">
        <v>0</v>
      </c>
      <c r="J1007" t="n">
        <v>0</v>
      </c>
      <c r="K1007" t="n">
        <v>0</v>
      </c>
      <c r="L1007" t="n">
        <v>0</v>
      </c>
      <c r="M1007" t="n">
        <v>0</v>
      </c>
      <c r="N1007" t="n">
        <v>0</v>
      </c>
      <c r="O1007" t="n">
        <v>0</v>
      </c>
      <c r="P1007" t="n">
        <v>0</v>
      </c>
      <c r="Q1007" t="n">
        <v>0</v>
      </c>
      <c r="R1007" s="2" t="inlineStr"/>
    </row>
    <row r="1008" ht="15" customHeight="1">
      <c r="A1008" t="inlineStr">
        <is>
          <t>A 56702-2023</t>
        </is>
      </c>
      <c r="B1008" s="1" t="n">
        <v>45243</v>
      </c>
      <c r="C1008" s="1" t="n">
        <v>46002</v>
      </c>
      <c r="D1008" t="inlineStr">
        <is>
          <t>JÄMTLANDS LÄN</t>
        </is>
      </c>
      <c r="E1008" t="inlineStr">
        <is>
          <t>RAGUNDA</t>
        </is>
      </c>
      <c r="F1008" t="inlineStr">
        <is>
          <t>SCA</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32259-2024</t>
        </is>
      </c>
      <c r="B1009" s="1" t="n">
        <v>45511</v>
      </c>
      <c r="C1009" s="1" t="n">
        <v>46002</v>
      </c>
      <c r="D1009" t="inlineStr">
        <is>
          <t>JÄMTLANDS LÄN</t>
        </is>
      </c>
      <c r="E1009" t="inlineStr">
        <is>
          <t>RAGUNDA</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5313-2025</t>
        </is>
      </c>
      <c r="B1010" s="1" t="n">
        <v>45692.51069444444</v>
      </c>
      <c r="C1010" s="1" t="n">
        <v>46002</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5357-2025</t>
        </is>
      </c>
      <c r="B1011" s="1" t="n">
        <v>45692.57326388889</v>
      </c>
      <c r="C1011" s="1" t="n">
        <v>46002</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3018-2024</t>
        </is>
      </c>
      <c r="B1012" s="1" t="n">
        <v>45315.9492824074</v>
      </c>
      <c r="C1012" s="1" t="n">
        <v>46002</v>
      </c>
      <c r="D1012" t="inlineStr">
        <is>
          <t>JÄMTLANDS LÄN</t>
        </is>
      </c>
      <c r="E1012" t="inlineStr">
        <is>
          <t>RAGUNDA</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44605-2024</t>
        </is>
      </c>
      <c r="B1013" s="1" t="n">
        <v>45574.51185185185</v>
      </c>
      <c r="C1013" s="1" t="n">
        <v>46002</v>
      </c>
      <c r="D1013" t="inlineStr">
        <is>
          <t>JÄMTLANDS LÄN</t>
        </is>
      </c>
      <c r="E1013" t="inlineStr">
        <is>
          <t>RAGUNDA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20773-2024</t>
        </is>
      </c>
      <c r="B1014" s="1" t="n">
        <v>45436.94636574074</v>
      </c>
      <c r="C1014" s="1" t="n">
        <v>46002</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34323-2023</t>
        </is>
      </c>
      <c r="B1015" s="1" t="n">
        <v>45138.94925925926</v>
      </c>
      <c r="C1015" s="1" t="n">
        <v>46002</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50486-2023</t>
        </is>
      </c>
      <c r="B1016" s="1" t="n">
        <v>45216.92424768519</v>
      </c>
      <c r="C1016" s="1" t="n">
        <v>46002</v>
      </c>
      <c r="D1016" t="inlineStr">
        <is>
          <t>JÄMTLANDS LÄN</t>
        </is>
      </c>
      <c r="E1016" t="inlineStr">
        <is>
          <t>RAGUNDA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51538-2022</t>
        </is>
      </c>
      <c r="B1017" s="1" t="n">
        <v>44869</v>
      </c>
      <c r="C1017" s="1" t="n">
        <v>46002</v>
      </c>
      <c r="D1017" t="inlineStr">
        <is>
          <t>JÄMTLANDS LÄN</t>
        </is>
      </c>
      <c r="E1017" t="inlineStr">
        <is>
          <t>RAGUNDA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19854-2025</t>
        </is>
      </c>
      <c r="B1018" s="1" t="n">
        <v>45771.51074074074</v>
      </c>
      <c r="C1018" s="1" t="n">
        <v>46002</v>
      </c>
      <c r="D1018" t="inlineStr">
        <is>
          <t>JÄMTLANDS LÄN</t>
        </is>
      </c>
      <c r="E1018" t="inlineStr">
        <is>
          <t>RAGUNDA</t>
        </is>
      </c>
      <c r="F1018" t="inlineStr">
        <is>
          <t>SCA</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50503-2024</t>
        </is>
      </c>
      <c r="B1019" s="1" t="n">
        <v>45601.5315625</v>
      </c>
      <c r="C1019" s="1" t="n">
        <v>46002</v>
      </c>
      <c r="D1019" t="inlineStr">
        <is>
          <t>JÄMTLANDS LÄN</t>
        </is>
      </c>
      <c r="E1019" t="inlineStr">
        <is>
          <t>RAGUNDA</t>
        </is>
      </c>
      <c r="F1019" t="inlineStr">
        <is>
          <t>SCA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10610-2024</t>
        </is>
      </c>
      <c r="B1020" s="1" t="n">
        <v>45367.04693287037</v>
      </c>
      <c r="C1020" s="1" t="n">
        <v>46002</v>
      </c>
      <c r="D1020" t="inlineStr">
        <is>
          <t>JÄMTLANDS LÄN</t>
        </is>
      </c>
      <c r="E1020" t="inlineStr">
        <is>
          <t>RAGUNDA</t>
        </is>
      </c>
      <c r="F1020" t="inlineStr">
        <is>
          <t>SCA</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10706-2023</t>
        </is>
      </c>
      <c r="B1021" s="1" t="n">
        <v>44984</v>
      </c>
      <c r="C1021" s="1" t="n">
        <v>46002</v>
      </c>
      <c r="D1021" t="inlineStr">
        <is>
          <t>JÄMTLANDS LÄN</t>
        </is>
      </c>
      <c r="E1021" t="inlineStr">
        <is>
          <t>RAGUNDA</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63708-2023</t>
        </is>
      </c>
      <c r="B1022" s="1" t="n">
        <v>45275.95060185185</v>
      </c>
      <c r="C1022" s="1" t="n">
        <v>46002</v>
      </c>
      <c r="D1022" t="inlineStr">
        <is>
          <t>JÄMTLANDS LÄN</t>
        </is>
      </c>
      <c r="E1022" t="inlineStr">
        <is>
          <t>RAGUNDA</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16250-2022</t>
        </is>
      </c>
      <c r="B1023" s="1" t="n">
        <v>44670</v>
      </c>
      <c r="C1023" s="1" t="n">
        <v>46002</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60663-2022</t>
        </is>
      </c>
      <c r="B1024" s="1" t="n">
        <v>44911.93846064815</v>
      </c>
      <c r="C1024" s="1" t="n">
        <v>46002</v>
      </c>
      <c r="D1024" t="inlineStr">
        <is>
          <t>JÄMTLANDS LÄN</t>
        </is>
      </c>
      <c r="E1024" t="inlineStr">
        <is>
          <t>RAGUNDA</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58847-2024</t>
        </is>
      </c>
      <c r="B1025" s="1" t="n">
        <v>45636.3864699074</v>
      </c>
      <c r="C1025" s="1" t="n">
        <v>46002</v>
      </c>
      <c r="D1025" t="inlineStr">
        <is>
          <t>JÄMTLANDS LÄN</t>
        </is>
      </c>
      <c r="E1025" t="inlineStr">
        <is>
          <t>RAGUNDA</t>
        </is>
      </c>
      <c r="F1025" t="inlineStr">
        <is>
          <t>SCA</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27777-2022</t>
        </is>
      </c>
      <c r="B1026" s="1" t="n">
        <v>44743</v>
      </c>
      <c r="C1026" s="1" t="n">
        <v>46002</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42875-2024</t>
        </is>
      </c>
      <c r="B1027" s="1" t="n">
        <v>45566.68125</v>
      </c>
      <c r="C1027" s="1" t="n">
        <v>46002</v>
      </c>
      <c r="D1027" t="inlineStr">
        <is>
          <t>JÄMTLANDS LÄN</t>
        </is>
      </c>
      <c r="E1027" t="inlineStr">
        <is>
          <t>RAGUNDA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53935-2022</t>
        </is>
      </c>
      <c r="B1028" s="1" t="n">
        <v>44880</v>
      </c>
      <c r="C1028" s="1" t="n">
        <v>46002</v>
      </c>
      <c r="D1028" t="inlineStr">
        <is>
          <t>JÄMTLANDS LÄN</t>
        </is>
      </c>
      <c r="E1028" t="inlineStr">
        <is>
          <t>RAGUNDA</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41262-2021</t>
        </is>
      </c>
      <c r="B1029" s="1" t="n">
        <v>44424</v>
      </c>
      <c r="C1029" s="1" t="n">
        <v>46002</v>
      </c>
      <c r="D1029" t="inlineStr">
        <is>
          <t>JÄMTLANDS LÄN</t>
        </is>
      </c>
      <c r="E1029" t="inlineStr">
        <is>
          <t>RAGUNDA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20221-2025</t>
        </is>
      </c>
      <c r="B1030" s="1" t="n">
        <v>45772.6565625</v>
      </c>
      <c r="C1030" s="1" t="n">
        <v>46002</v>
      </c>
      <c r="D1030" t="inlineStr">
        <is>
          <t>JÄMTLANDS LÄN</t>
        </is>
      </c>
      <c r="E1030" t="inlineStr">
        <is>
          <t>RAGUNDA</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4015-2022</t>
        </is>
      </c>
      <c r="B1031" s="1" t="n">
        <v>44587.92149305555</v>
      </c>
      <c r="C1031" s="1" t="n">
        <v>46002</v>
      </c>
      <c r="D1031" t="inlineStr">
        <is>
          <t>JÄMTLANDS LÄN</t>
        </is>
      </c>
      <c r="E1031" t="inlineStr">
        <is>
          <t>RAGUNDA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8416-2023</t>
        </is>
      </c>
      <c r="B1032" s="1" t="n">
        <v>44977.44373842593</v>
      </c>
      <c r="C1032" s="1" t="n">
        <v>46002</v>
      </c>
      <c r="D1032" t="inlineStr">
        <is>
          <t>JÄMTLANDS LÄN</t>
        </is>
      </c>
      <c r="E1032" t="inlineStr">
        <is>
          <t>RAGUNDA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45253-2023</t>
        </is>
      </c>
      <c r="B1033" s="1" t="n">
        <v>45187</v>
      </c>
      <c r="C1033" s="1" t="n">
        <v>46002</v>
      </c>
      <c r="D1033" t="inlineStr">
        <is>
          <t>JÄMTLANDS LÄN</t>
        </is>
      </c>
      <c r="E1033" t="inlineStr">
        <is>
          <t>RAGUNDA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14369-2024</t>
        </is>
      </c>
      <c r="B1034" s="1" t="n">
        <v>45393.94459490741</v>
      </c>
      <c r="C1034" s="1" t="n">
        <v>46002</v>
      </c>
      <c r="D1034" t="inlineStr">
        <is>
          <t>JÄMTLANDS LÄN</t>
        </is>
      </c>
      <c r="E1034" t="inlineStr">
        <is>
          <t>RAGUNDA</t>
        </is>
      </c>
      <c r="F1034" t="inlineStr">
        <is>
          <t>Naturvårdsverket</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182-2023</t>
        </is>
      </c>
      <c r="B1035" s="1" t="n">
        <v>44922</v>
      </c>
      <c r="C1035" s="1" t="n">
        <v>46002</v>
      </c>
      <c r="D1035" t="inlineStr">
        <is>
          <t>JÄMTLANDS LÄN</t>
        </is>
      </c>
      <c r="E1035" t="inlineStr">
        <is>
          <t>RAGUNDA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6490-2022</t>
        </is>
      </c>
      <c r="B1036" s="1" t="n">
        <v>44601</v>
      </c>
      <c r="C1036" s="1" t="n">
        <v>46002</v>
      </c>
      <c r="D1036" t="inlineStr">
        <is>
          <t>JÄMTLANDS LÄN</t>
        </is>
      </c>
      <c r="E1036" t="inlineStr">
        <is>
          <t>RAGUNDA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6802-2021</t>
        </is>
      </c>
      <c r="B1037" s="1" t="n">
        <v>44236</v>
      </c>
      <c r="C1037" s="1" t="n">
        <v>46002</v>
      </c>
      <c r="D1037" t="inlineStr">
        <is>
          <t>JÄMTLANDS LÄN</t>
        </is>
      </c>
      <c r="E1037" t="inlineStr">
        <is>
          <t>RAGUNDA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6477-2024</t>
        </is>
      </c>
      <c r="B1038" s="1" t="n">
        <v>45338.95405092592</v>
      </c>
      <c r="C1038" s="1" t="n">
        <v>46002</v>
      </c>
      <c r="D1038" t="inlineStr">
        <is>
          <t>JÄMTLANDS LÄN</t>
        </is>
      </c>
      <c r="E1038" t="inlineStr">
        <is>
          <t>RAGUNDA</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18193-2022</t>
        </is>
      </c>
      <c r="B1039" s="1" t="n">
        <v>44684.94032407407</v>
      </c>
      <c r="C1039" s="1" t="n">
        <v>46002</v>
      </c>
      <c r="D1039" t="inlineStr">
        <is>
          <t>JÄMTLANDS LÄN</t>
        </is>
      </c>
      <c r="E1039" t="inlineStr">
        <is>
          <t>RAGUNDA</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11551-2024</t>
        </is>
      </c>
      <c r="B1040" s="1" t="n">
        <v>45372.95762731481</v>
      </c>
      <c r="C1040" s="1" t="n">
        <v>46002</v>
      </c>
      <c r="D1040" t="inlineStr">
        <is>
          <t>JÄMTLANDS LÄN</t>
        </is>
      </c>
      <c r="E1040" t="inlineStr">
        <is>
          <t>RAGUNDA</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49647-2024</t>
        </is>
      </c>
      <c r="B1041" s="1" t="n">
        <v>45596.61533564814</v>
      </c>
      <c r="C1041" s="1" t="n">
        <v>46002</v>
      </c>
      <c r="D1041" t="inlineStr">
        <is>
          <t>JÄMTLANDS LÄN</t>
        </is>
      </c>
      <c r="E1041" t="inlineStr">
        <is>
          <t>RAGUNDA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53264-2024</t>
        </is>
      </c>
      <c r="B1042" s="1" t="n">
        <v>45614.34545138889</v>
      </c>
      <c r="C1042" s="1" t="n">
        <v>46002</v>
      </c>
      <c r="D1042" t="inlineStr">
        <is>
          <t>JÄMTLANDS LÄN</t>
        </is>
      </c>
      <c r="E1042" t="inlineStr">
        <is>
          <t>RAGUNDA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13389-2025</t>
        </is>
      </c>
      <c r="B1043" s="1" t="n">
        <v>45735.69842592593</v>
      </c>
      <c r="C1043" s="1" t="n">
        <v>46002</v>
      </c>
      <c r="D1043" t="inlineStr">
        <is>
          <t>JÄMTLANDS LÄN</t>
        </is>
      </c>
      <c r="E1043" t="inlineStr">
        <is>
          <t>RAGUNDA</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45631-2024</t>
        </is>
      </c>
      <c r="B1044" s="1" t="n">
        <v>45579.47052083333</v>
      </c>
      <c r="C1044" s="1" t="n">
        <v>46002</v>
      </c>
      <c r="D1044" t="inlineStr">
        <is>
          <t>JÄMTLANDS LÄN</t>
        </is>
      </c>
      <c r="E1044" t="inlineStr">
        <is>
          <t>RAGUNDA</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55701-2021</t>
        </is>
      </c>
      <c r="B1045" s="1" t="n">
        <v>44475</v>
      </c>
      <c r="C1045" s="1" t="n">
        <v>46002</v>
      </c>
      <c r="D1045" t="inlineStr">
        <is>
          <t>JÄMTLANDS LÄN</t>
        </is>
      </c>
      <c r="E1045" t="inlineStr">
        <is>
          <t>RAGUNDA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30484-2024</t>
        </is>
      </c>
      <c r="B1046" s="1" t="n">
        <v>45491</v>
      </c>
      <c r="C1046" s="1" t="n">
        <v>46002</v>
      </c>
      <c r="D1046" t="inlineStr">
        <is>
          <t>JÄMTLANDS LÄN</t>
        </is>
      </c>
      <c r="E1046" t="inlineStr">
        <is>
          <t>RAGUNDA</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14513-2025</t>
        </is>
      </c>
      <c r="B1047" s="1" t="n">
        <v>45741.63675925926</v>
      </c>
      <c r="C1047" s="1" t="n">
        <v>46002</v>
      </c>
      <c r="D1047" t="inlineStr">
        <is>
          <t>JÄMTLANDS LÄN</t>
        </is>
      </c>
      <c r="E1047" t="inlineStr">
        <is>
          <t>RAGUNDA</t>
        </is>
      </c>
      <c r="F1047" t="inlineStr">
        <is>
          <t>SCA</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55904-2022</t>
        </is>
      </c>
      <c r="B1048" s="1" t="n">
        <v>44888</v>
      </c>
      <c r="C1048" s="1" t="n">
        <v>46002</v>
      </c>
      <c r="D1048" t="inlineStr">
        <is>
          <t>JÄMTLANDS LÄN</t>
        </is>
      </c>
      <c r="E1048" t="inlineStr">
        <is>
          <t>RAGUNDA</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7281-2025</t>
        </is>
      </c>
      <c r="B1049" s="1" t="n">
        <v>45702.63572916666</v>
      </c>
      <c r="C1049" s="1" t="n">
        <v>46002</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48192-2024</t>
        </is>
      </c>
      <c r="B1050" s="1" t="n">
        <v>45590</v>
      </c>
      <c r="C1050" s="1" t="n">
        <v>46002</v>
      </c>
      <c r="D1050" t="inlineStr">
        <is>
          <t>JÄMTLANDS LÄN</t>
        </is>
      </c>
      <c r="E1050" t="inlineStr">
        <is>
          <t>RAGUNDA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2599-2023</t>
        </is>
      </c>
      <c r="B1051" s="1" t="n">
        <v>44943.94802083333</v>
      </c>
      <c r="C1051" s="1" t="n">
        <v>46002</v>
      </c>
      <c r="D1051" t="inlineStr">
        <is>
          <t>JÄMTLANDS LÄN</t>
        </is>
      </c>
      <c r="E1051" t="inlineStr">
        <is>
          <t>RAGUNDA</t>
        </is>
      </c>
      <c r="F1051" t="inlineStr">
        <is>
          <t>SCA</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48249-2024</t>
        </is>
      </c>
      <c r="B1052" s="1" t="n">
        <v>45590.40675925926</v>
      </c>
      <c r="C1052" s="1" t="n">
        <v>46002</v>
      </c>
      <c r="D1052" t="inlineStr">
        <is>
          <t>JÄMTLANDS LÄN</t>
        </is>
      </c>
      <c r="E1052" t="inlineStr">
        <is>
          <t>RAGUNDA</t>
        </is>
      </c>
      <c r="F1052" t="inlineStr">
        <is>
          <t>SCA</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64265-2023</t>
        </is>
      </c>
      <c r="B1053" s="1" t="n">
        <v>45279.94572916667</v>
      </c>
      <c r="C1053" s="1" t="n">
        <v>46002</v>
      </c>
      <c r="D1053" t="inlineStr">
        <is>
          <t>JÄMTLANDS LÄN</t>
        </is>
      </c>
      <c r="E1053" t="inlineStr">
        <is>
          <t>RAGUNDA</t>
        </is>
      </c>
      <c r="F1053" t="inlineStr">
        <is>
          <t>SCA</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66706-2021</t>
        </is>
      </c>
      <c r="B1054" s="1" t="n">
        <v>44519.94440972222</v>
      </c>
      <c r="C1054" s="1" t="n">
        <v>46002</v>
      </c>
      <c r="D1054" t="inlineStr">
        <is>
          <t>JÄMTLANDS LÄN</t>
        </is>
      </c>
      <c r="E1054" t="inlineStr">
        <is>
          <t>RAGUNDA</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55222-2024</t>
        </is>
      </c>
      <c r="B1055" s="1" t="n">
        <v>45621.57395833333</v>
      </c>
      <c r="C1055" s="1" t="n">
        <v>46002</v>
      </c>
      <c r="D1055" t="inlineStr">
        <is>
          <t>JÄMTLANDS LÄN</t>
        </is>
      </c>
      <c r="E1055" t="inlineStr">
        <is>
          <t>RAGUNDA</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46211-2024</t>
        </is>
      </c>
      <c r="B1056" s="1" t="n">
        <v>45581.55260416667</v>
      </c>
      <c r="C1056" s="1" t="n">
        <v>46002</v>
      </c>
      <c r="D1056" t="inlineStr">
        <is>
          <t>JÄMTLANDS LÄN</t>
        </is>
      </c>
      <c r="E1056" t="inlineStr">
        <is>
          <t>RAGUNDA</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31435-2022</t>
        </is>
      </c>
      <c r="B1057" s="1" t="n">
        <v>44774</v>
      </c>
      <c r="C1057" s="1" t="n">
        <v>46002</v>
      </c>
      <c r="D1057" t="inlineStr">
        <is>
          <t>JÄMTLANDS LÄN</t>
        </is>
      </c>
      <c r="E1057" t="inlineStr">
        <is>
          <t>RAGUNDA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39608-2024</t>
        </is>
      </c>
      <c r="B1058" s="1" t="n">
        <v>45552.39113425926</v>
      </c>
      <c r="C1058" s="1" t="n">
        <v>46002</v>
      </c>
      <c r="D1058" t="inlineStr">
        <is>
          <t>JÄMTLANDS LÄN</t>
        </is>
      </c>
      <c r="E1058" t="inlineStr">
        <is>
          <t>RAGUNDA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39626-2024</t>
        </is>
      </c>
      <c r="B1059" s="1" t="n">
        <v>45552.44096064815</v>
      </c>
      <c r="C1059" s="1" t="n">
        <v>46002</v>
      </c>
      <c r="D1059" t="inlineStr">
        <is>
          <t>JÄMTLANDS LÄN</t>
        </is>
      </c>
      <c r="E1059" t="inlineStr">
        <is>
          <t>RAGUNDA</t>
        </is>
      </c>
      <c r="G1059" t="n">
        <v>23.5</v>
      </c>
      <c r="H1059" t="n">
        <v>0</v>
      </c>
      <c r="I1059" t="n">
        <v>0</v>
      </c>
      <c r="J1059" t="n">
        <v>0</v>
      </c>
      <c r="K1059" t="n">
        <v>0</v>
      </c>
      <c r="L1059" t="n">
        <v>0</v>
      </c>
      <c r="M1059" t="n">
        <v>0</v>
      </c>
      <c r="N1059" t="n">
        <v>0</v>
      </c>
      <c r="O1059" t="n">
        <v>0</v>
      </c>
      <c r="P1059" t="n">
        <v>0</v>
      </c>
      <c r="Q1059" t="n">
        <v>0</v>
      </c>
      <c r="R1059" s="2" t="inlineStr"/>
    </row>
    <row r="1060" ht="15" customHeight="1">
      <c r="A1060" t="inlineStr">
        <is>
          <t>A 56984-2022</t>
        </is>
      </c>
      <c r="B1060" s="1" t="n">
        <v>44894.79018518519</v>
      </c>
      <c r="C1060" s="1" t="n">
        <v>46002</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13264-2025</t>
        </is>
      </c>
      <c r="B1061" s="1" t="n">
        <v>45735</v>
      </c>
      <c r="C1061" s="1" t="n">
        <v>46002</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5307-2025</t>
        </is>
      </c>
      <c r="B1062" s="1" t="n">
        <v>45692.48993055556</v>
      </c>
      <c r="C1062" s="1" t="n">
        <v>46002</v>
      </c>
      <c r="D1062" t="inlineStr">
        <is>
          <t>JÄMTLANDS LÄN</t>
        </is>
      </c>
      <c r="E1062" t="inlineStr">
        <is>
          <t>RAGUNDA</t>
        </is>
      </c>
      <c r="F1062" t="inlineStr">
        <is>
          <t>SCA</t>
        </is>
      </c>
      <c r="G1062" t="n">
        <v>20.9</v>
      </c>
      <c r="H1062" t="n">
        <v>0</v>
      </c>
      <c r="I1062" t="n">
        <v>0</v>
      </c>
      <c r="J1062" t="n">
        <v>0</v>
      </c>
      <c r="K1062" t="n">
        <v>0</v>
      </c>
      <c r="L1062" t="n">
        <v>0</v>
      </c>
      <c r="M1062" t="n">
        <v>0</v>
      </c>
      <c r="N1062" t="n">
        <v>0</v>
      </c>
      <c r="O1062" t="n">
        <v>0</v>
      </c>
      <c r="P1062" t="n">
        <v>0</v>
      </c>
      <c r="Q1062" t="n">
        <v>0</v>
      </c>
      <c r="R1062" s="2" t="inlineStr"/>
    </row>
    <row r="1063" ht="15" customHeight="1">
      <c r="A1063" t="inlineStr">
        <is>
          <t>A 38548-2024</t>
        </is>
      </c>
      <c r="B1063" s="1" t="n">
        <v>45546</v>
      </c>
      <c r="C1063" s="1" t="n">
        <v>46002</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2411-2023</t>
        </is>
      </c>
      <c r="B1064" s="1" t="n">
        <v>44942</v>
      </c>
      <c r="C1064" s="1" t="n">
        <v>46002</v>
      </c>
      <c r="D1064" t="inlineStr">
        <is>
          <t>JÄMTLANDS LÄN</t>
        </is>
      </c>
      <c r="E1064" t="inlineStr">
        <is>
          <t>RAGUNDA</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13935-2024</t>
        </is>
      </c>
      <c r="B1065" s="1" t="n">
        <v>45391.95329861111</v>
      </c>
      <c r="C1065" s="1" t="n">
        <v>46002</v>
      </c>
      <c r="D1065" t="inlineStr">
        <is>
          <t>JÄMTLANDS LÄN</t>
        </is>
      </c>
      <c r="E1065" t="inlineStr">
        <is>
          <t>RAGUNDA</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5308-2025</t>
        </is>
      </c>
      <c r="B1066" s="1" t="n">
        <v>45692.49008101852</v>
      </c>
      <c r="C1066" s="1" t="n">
        <v>46002</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58194-2022</t>
        </is>
      </c>
      <c r="B1067" s="1" t="n">
        <v>44900</v>
      </c>
      <c r="C1067" s="1" t="n">
        <v>46002</v>
      </c>
      <c r="D1067" t="inlineStr">
        <is>
          <t>JÄMTLANDS LÄN</t>
        </is>
      </c>
      <c r="E1067" t="inlineStr">
        <is>
          <t>RAGUNDA</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24171-2021</t>
        </is>
      </c>
      <c r="B1068" s="1" t="n">
        <v>44336</v>
      </c>
      <c r="C1068" s="1" t="n">
        <v>46002</v>
      </c>
      <c r="D1068" t="inlineStr">
        <is>
          <t>JÄMTLANDS LÄN</t>
        </is>
      </c>
      <c r="E1068" t="inlineStr">
        <is>
          <t>RAGUNDA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58843-2024</t>
        </is>
      </c>
      <c r="B1069" s="1" t="n">
        <v>45636.38599537037</v>
      </c>
      <c r="C1069" s="1" t="n">
        <v>46002</v>
      </c>
      <c r="D1069" t="inlineStr">
        <is>
          <t>JÄMTLANDS LÄN</t>
        </is>
      </c>
      <c r="E1069" t="inlineStr">
        <is>
          <t>RAGUNDA</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53287-2022</t>
        </is>
      </c>
      <c r="B1070" s="1" t="n">
        <v>44876</v>
      </c>
      <c r="C1070" s="1" t="n">
        <v>46002</v>
      </c>
      <c r="D1070" t="inlineStr">
        <is>
          <t>JÄMTLANDS LÄN</t>
        </is>
      </c>
      <c r="E1070" t="inlineStr">
        <is>
          <t>RAGUNDA</t>
        </is>
      </c>
      <c r="F1070" t="inlineStr">
        <is>
          <t>SCA</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16320-2025</t>
        </is>
      </c>
      <c r="B1071" s="1" t="n">
        <v>45751.34859953704</v>
      </c>
      <c r="C1071" s="1" t="n">
        <v>46002</v>
      </c>
      <c r="D1071" t="inlineStr">
        <is>
          <t>JÄMTLANDS LÄN</t>
        </is>
      </c>
      <c r="E1071" t="inlineStr">
        <is>
          <t>RAGUNDA</t>
        </is>
      </c>
      <c r="F1071" t="inlineStr">
        <is>
          <t>SCA</t>
        </is>
      </c>
      <c r="G1071" t="n">
        <v>16.2</v>
      </c>
      <c r="H1071" t="n">
        <v>0</v>
      </c>
      <c r="I1071" t="n">
        <v>0</v>
      </c>
      <c r="J1071" t="n">
        <v>0</v>
      </c>
      <c r="K1071" t="n">
        <v>0</v>
      </c>
      <c r="L1071" t="n">
        <v>0</v>
      </c>
      <c r="M1071" t="n">
        <v>0</v>
      </c>
      <c r="N1071" t="n">
        <v>0</v>
      </c>
      <c r="O1071" t="n">
        <v>0</v>
      </c>
      <c r="P1071" t="n">
        <v>0</v>
      </c>
      <c r="Q1071" t="n">
        <v>0</v>
      </c>
      <c r="R1071" s="2" t="inlineStr"/>
    </row>
    <row r="1072" ht="15" customHeight="1">
      <c r="A1072" t="inlineStr">
        <is>
          <t>A 16321-2025</t>
        </is>
      </c>
      <c r="B1072" s="1" t="n">
        <v>45751.34873842593</v>
      </c>
      <c r="C1072" s="1" t="n">
        <v>46002</v>
      </c>
      <c r="D1072" t="inlineStr">
        <is>
          <t>JÄMTLANDS LÄN</t>
        </is>
      </c>
      <c r="E1072" t="inlineStr">
        <is>
          <t>RAGUNDA</t>
        </is>
      </c>
      <c r="F1072" t="inlineStr">
        <is>
          <t>SCA</t>
        </is>
      </c>
      <c r="G1072" t="n">
        <v>63.3</v>
      </c>
      <c r="H1072" t="n">
        <v>0</v>
      </c>
      <c r="I1072" t="n">
        <v>0</v>
      </c>
      <c r="J1072" t="n">
        <v>0</v>
      </c>
      <c r="K1072" t="n">
        <v>0</v>
      </c>
      <c r="L1072" t="n">
        <v>0</v>
      </c>
      <c r="M1072" t="n">
        <v>0</v>
      </c>
      <c r="N1072" t="n">
        <v>0</v>
      </c>
      <c r="O1072" t="n">
        <v>0</v>
      </c>
      <c r="P1072" t="n">
        <v>0</v>
      </c>
      <c r="Q1072" t="n">
        <v>0</v>
      </c>
      <c r="R1072" s="2" t="inlineStr"/>
    </row>
    <row r="1073" ht="15" customHeight="1">
      <c r="A1073" t="inlineStr">
        <is>
          <t>A 14696-2022</t>
        </is>
      </c>
      <c r="B1073" s="1" t="n">
        <v>44655</v>
      </c>
      <c r="C1073" s="1" t="n">
        <v>46002</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55514-2024</t>
        </is>
      </c>
      <c r="B1074" s="1" t="n">
        <v>45622.46910879629</v>
      </c>
      <c r="C1074" s="1" t="n">
        <v>46002</v>
      </c>
      <c r="D1074" t="inlineStr">
        <is>
          <t>JÄMTLANDS LÄN</t>
        </is>
      </c>
      <c r="E1074" t="inlineStr">
        <is>
          <t>RAGUNDA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18375-2022</t>
        </is>
      </c>
      <c r="B1075" s="1" t="n">
        <v>44685</v>
      </c>
      <c r="C1075" s="1" t="n">
        <v>46002</v>
      </c>
      <c r="D1075" t="inlineStr">
        <is>
          <t>JÄMTLANDS LÄN</t>
        </is>
      </c>
      <c r="E1075" t="inlineStr">
        <is>
          <t>RAGUNDA</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17248-2023</t>
        </is>
      </c>
      <c r="B1076" s="1" t="n">
        <v>45033</v>
      </c>
      <c r="C1076" s="1" t="n">
        <v>46002</v>
      </c>
      <c r="D1076" t="inlineStr">
        <is>
          <t>JÄMTLANDS LÄN</t>
        </is>
      </c>
      <c r="E1076" t="inlineStr">
        <is>
          <t>RAGUNDA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62011-2022</t>
        </is>
      </c>
      <c r="B1077" s="1" t="n">
        <v>44914</v>
      </c>
      <c r="C1077" s="1" t="n">
        <v>46002</v>
      </c>
      <c r="D1077" t="inlineStr">
        <is>
          <t>JÄMTLANDS LÄN</t>
        </is>
      </c>
      <c r="E1077" t="inlineStr">
        <is>
          <t>RAGUNDA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11557-2023</t>
        </is>
      </c>
      <c r="B1078" s="1" t="n">
        <v>44993.94950231481</v>
      </c>
      <c r="C1078" s="1" t="n">
        <v>46002</v>
      </c>
      <c r="D1078" t="inlineStr">
        <is>
          <t>JÄMTLANDS LÄN</t>
        </is>
      </c>
      <c r="E1078" t="inlineStr">
        <is>
          <t>RAGUNDA</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11562-2023</t>
        </is>
      </c>
      <c r="B1079" s="1" t="n">
        <v>44993</v>
      </c>
      <c r="C1079" s="1" t="n">
        <v>46002</v>
      </c>
      <c r="D1079" t="inlineStr">
        <is>
          <t>JÄMTLANDS LÄN</t>
        </is>
      </c>
      <c r="E1079" t="inlineStr">
        <is>
          <t>RAGUNDA</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22131-2021</t>
        </is>
      </c>
      <c r="B1080" s="1" t="n">
        <v>44323</v>
      </c>
      <c r="C1080" s="1" t="n">
        <v>46002</v>
      </c>
      <c r="D1080" t="inlineStr">
        <is>
          <t>JÄMTLANDS LÄN</t>
        </is>
      </c>
      <c r="E1080" t="inlineStr">
        <is>
          <t>RAGUNDA</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5971-2025</t>
        </is>
      </c>
      <c r="B1081" s="1" t="n">
        <v>45695.51070601852</v>
      </c>
      <c r="C1081" s="1" t="n">
        <v>46002</v>
      </c>
      <c r="D1081" t="inlineStr">
        <is>
          <t>JÄMTLANDS LÄN</t>
        </is>
      </c>
      <c r="E1081" t="inlineStr">
        <is>
          <t>RAGUNDA</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30563-2023</t>
        </is>
      </c>
      <c r="B1082" s="1" t="n">
        <v>45111.92793981481</v>
      </c>
      <c r="C1082" s="1" t="n">
        <v>46002</v>
      </c>
      <c r="D1082" t="inlineStr">
        <is>
          <t>JÄMTLANDS LÄN</t>
        </is>
      </c>
      <c r="E1082" t="inlineStr">
        <is>
          <t>RAGUNDA</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36212-2023</t>
        </is>
      </c>
      <c r="B1083" s="1" t="n">
        <v>45149.95241898148</v>
      </c>
      <c r="C1083" s="1" t="n">
        <v>46002</v>
      </c>
      <c r="D1083" t="inlineStr">
        <is>
          <t>JÄMTLANDS LÄN</t>
        </is>
      </c>
      <c r="E1083" t="inlineStr">
        <is>
          <t>RAGUNDA</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12768-2022</t>
        </is>
      </c>
      <c r="B1084" s="1" t="n">
        <v>44641</v>
      </c>
      <c r="C1084" s="1" t="n">
        <v>46002</v>
      </c>
      <c r="D1084" t="inlineStr">
        <is>
          <t>JÄMTLANDS LÄN</t>
        </is>
      </c>
      <c r="E1084" t="inlineStr">
        <is>
          <t>RAGUNDA</t>
        </is>
      </c>
      <c r="F1084" t="inlineStr">
        <is>
          <t>SCA</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12773-2022</t>
        </is>
      </c>
      <c r="B1085" s="1" t="n">
        <v>44641</v>
      </c>
      <c r="C1085" s="1" t="n">
        <v>46002</v>
      </c>
      <c r="D1085" t="inlineStr">
        <is>
          <t>JÄMTLANDS LÄN</t>
        </is>
      </c>
      <c r="E1085" t="inlineStr">
        <is>
          <t>RAGUNDA</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5067-2024</t>
        </is>
      </c>
      <c r="B1086" s="1" t="n">
        <v>45329.95806712963</v>
      </c>
      <c r="C1086" s="1" t="n">
        <v>46002</v>
      </c>
      <c r="D1086" t="inlineStr">
        <is>
          <t>JÄMTLANDS LÄN</t>
        </is>
      </c>
      <c r="E1086" t="inlineStr">
        <is>
          <t>RAGUNDA</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14905-2022</t>
        </is>
      </c>
      <c r="B1087" s="1" t="n">
        <v>44656.94708333333</v>
      </c>
      <c r="C1087" s="1" t="n">
        <v>46002</v>
      </c>
      <c r="D1087" t="inlineStr">
        <is>
          <t>JÄMTLANDS LÄN</t>
        </is>
      </c>
      <c r="E1087" t="inlineStr">
        <is>
          <t>RAGUNDA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29766-2023</t>
        </is>
      </c>
      <c r="B1088" s="1" t="n">
        <v>45098</v>
      </c>
      <c r="C1088" s="1" t="n">
        <v>46002</v>
      </c>
      <c r="D1088" t="inlineStr">
        <is>
          <t>JÄMTLANDS LÄN</t>
        </is>
      </c>
      <c r="E1088" t="inlineStr">
        <is>
          <t>RAGUNDA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61107-2024</t>
        </is>
      </c>
      <c r="B1089" s="1" t="n">
        <v>45645.55665509259</v>
      </c>
      <c r="C1089" s="1" t="n">
        <v>46002</v>
      </c>
      <c r="D1089" t="inlineStr">
        <is>
          <t>JÄMTLANDS LÄN</t>
        </is>
      </c>
      <c r="E1089" t="inlineStr">
        <is>
          <t>RAGUNDA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23287-2024</t>
        </is>
      </c>
      <c r="B1090" s="1" t="n">
        <v>45453.42041666667</v>
      </c>
      <c r="C1090" s="1" t="n">
        <v>46002</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36922-2022</t>
        </is>
      </c>
      <c r="B1091" s="1" t="n">
        <v>44805.94592592592</v>
      </c>
      <c r="C1091" s="1" t="n">
        <v>46002</v>
      </c>
      <c r="D1091" t="inlineStr">
        <is>
          <t>JÄMTLANDS LÄN</t>
        </is>
      </c>
      <c r="E1091" t="inlineStr">
        <is>
          <t>RAGUNDA</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26347-2023</t>
        </is>
      </c>
      <c r="B1092" s="1" t="n">
        <v>45091</v>
      </c>
      <c r="C1092" s="1" t="n">
        <v>46002</v>
      </c>
      <c r="D1092" t="inlineStr">
        <is>
          <t>JÄMTLANDS LÄN</t>
        </is>
      </c>
      <c r="E1092" t="inlineStr">
        <is>
          <t>RAGUNDA</t>
        </is>
      </c>
      <c r="F1092" t="inlineStr">
        <is>
          <t>SCA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34483-2023</t>
        </is>
      </c>
      <c r="B1093" s="1" t="n">
        <v>45139.94681712963</v>
      </c>
      <c r="C1093" s="1" t="n">
        <v>46002</v>
      </c>
      <c r="D1093" t="inlineStr">
        <is>
          <t>JÄMTLANDS LÄN</t>
        </is>
      </c>
      <c r="E1093" t="inlineStr">
        <is>
          <t>RAGUNDA</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22948-2024</t>
        </is>
      </c>
      <c r="B1094" s="1" t="n">
        <v>45448.94600694445</v>
      </c>
      <c r="C1094" s="1" t="n">
        <v>46002</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23304-2023</t>
        </is>
      </c>
      <c r="B1095" s="1" t="n">
        <v>45075.945</v>
      </c>
      <c r="C1095" s="1" t="n">
        <v>46002</v>
      </c>
      <c r="D1095" t="inlineStr">
        <is>
          <t>JÄMTLANDS LÄN</t>
        </is>
      </c>
      <c r="E1095" t="inlineStr">
        <is>
          <t>RAGUNDA</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36226-2023</t>
        </is>
      </c>
      <c r="B1096" s="1" t="n">
        <v>45149.95372685185</v>
      </c>
      <c r="C1096" s="1" t="n">
        <v>46002</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18615-2024</t>
        </is>
      </c>
      <c r="B1097" s="1" t="n">
        <v>45425.96275462963</v>
      </c>
      <c r="C1097" s="1" t="n">
        <v>46002</v>
      </c>
      <c r="D1097" t="inlineStr">
        <is>
          <t>JÄMTLANDS LÄN</t>
        </is>
      </c>
      <c r="E1097" t="inlineStr">
        <is>
          <t>RAGUNDA</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40269-2022</t>
        </is>
      </c>
      <c r="B1098" s="1" t="n">
        <v>44820</v>
      </c>
      <c r="C1098" s="1" t="n">
        <v>46002</v>
      </c>
      <c r="D1098" t="inlineStr">
        <is>
          <t>JÄMTLANDS LÄN</t>
        </is>
      </c>
      <c r="E1098" t="inlineStr">
        <is>
          <t>RAGUNDA</t>
        </is>
      </c>
      <c r="F1098" t="inlineStr">
        <is>
          <t>SCA</t>
        </is>
      </c>
      <c r="G1098" t="n">
        <v>77.8</v>
      </c>
      <c r="H1098" t="n">
        <v>0</v>
      </c>
      <c r="I1098" t="n">
        <v>0</v>
      </c>
      <c r="J1098" t="n">
        <v>0</v>
      </c>
      <c r="K1098" t="n">
        <v>0</v>
      </c>
      <c r="L1098" t="n">
        <v>0</v>
      </c>
      <c r="M1098" t="n">
        <v>0</v>
      </c>
      <c r="N1098" t="n">
        <v>0</v>
      </c>
      <c r="O1098" t="n">
        <v>0</v>
      </c>
      <c r="P1098" t="n">
        <v>0</v>
      </c>
      <c r="Q1098" t="n">
        <v>0</v>
      </c>
      <c r="R1098" s="2" t="inlineStr"/>
    </row>
    <row r="1099" ht="15" customHeight="1">
      <c r="A1099" t="inlineStr">
        <is>
          <t>A 37242-2024</t>
        </is>
      </c>
      <c r="B1099" s="1" t="n">
        <v>45540.34428240741</v>
      </c>
      <c r="C1099" s="1" t="n">
        <v>46002</v>
      </c>
      <c r="D1099" t="inlineStr">
        <is>
          <t>JÄMTLANDS LÄN</t>
        </is>
      </c>
      <c r="E1099" t="inlineStr">
        <is>
          <t>RAGUNDA</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45438-2022</t>
        </is>
      </c>
      <c r="B1100" s="1" t="n">
        <v>44844.95368055555</v>
      </c>
      <c r="C1100" s="1" t="n">
        <v>46002</v>
      </c>
      <c r="D1100" t="inlineStr">
        <is>
          <t>JÄMTLANDS LÄN</t>
        </is>
      </c>
      <c r="E1100" t="inlineStr">
        <is>
          <t>RAGUNDA</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56191-2022</t>
        </is>
      </c>
      <c r="B1101" s="1" t="n">
        <v>44889.95015046297</v>
      </c>
      <c r="C1101" s="1" t="n">
        <v>46002</v>
      </c>
      <c r="D1101" t="inlineStr">
        <is>
          <t>JÄMTLANDS LÄN</t>
        </is>
      </c>
      <c r="E1101" t="inlineStr">
        <is>
          <t>RAGUNDA</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30823-2023</t>
        </is>
      </c>
      <c r="B1102" s="1" t="n">
        <v>45112</v>
      </c>
      <c r="C1102" s="1" t="n">
        <v>46002</v>
      </c>
      <c r="D1102" t="inlineStr">
        <is>
          <t>JÄMTLANDS LÄN</t>
        </is>
      </c>
      <c r="E1102" t="inlineStr">
        <is>
          <t>RAGUNDA</t>
        </is>
      </c>
      <c r="F1102" t="inlineStr">
        <is>
          <t>SCA</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43339-2024</t>
        </is>
      </c>
      <c r="B1103" s="1" t="n">
        <v>45568.51075231482</v>
      </c>
      <c r="C1103" s="1" t="n">
        <v>46002</v>
      </c>
      <c r="D1103" t="inlineStr">
        <is>
          <t>JÄMTLANDS LÄN</t>
        </is>
      </c>
      <c r="E1103" t="inlineStr">
        <is>
          <t>RAGUNDA</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43102-2023</t>
        </is>
      </c>
      <c r="B1104" s="1" t="n">
        <v>45182</v>
      </c>
      <c r="C1104" s="1" t="n">
        <v>46002</v>
      </c>
      <c r="D1104" t="inlineStr">
        <is>
          <t>JÄMTLANDS LÄN</t>
        </is>
      </c>
      <c r="E1104" t="inlineStr">
        <is>
          <t>RAGUNDA</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9823-2025</t>
        </is>
      </c>
      <c r="B1105" s="1" t="n">
        <v>45716</v>
      </c>
      <c r="C1105" s="1" t="n">
        <v>46002</v>
      </c>
      <c r="D1105" t="inlineStr">
        <is>
          <t>JÄMTLANDS LÄN</t>
        </is>
      </c>
      <c r="E1105" t="inlineStr">
        <is>
          <t>RAGUNDA</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13917-2023</t>
        </is>
      </c>
      <c r="B1106" s="1" t="n">
        <v>45007</v>
      </c>
      <c r="C1106" s="1" t="n">
        <v>46002</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53019-2023</t>
        </is>
      </c>
      <c r="B1107" s="1" t="n">
        <v>45222</v>
      </c>
      <c r="C1107" s="1" t="n">
        <v>46002</v>
      </c>
      <c r="D1107" t="inlineStr">
        <is>
          <t>JÄMTLANDS LÄN</t>
        </is>
      </c>
      <c r="E1107" t="inlineStr">
        <is>
          <t>RAGUNDA</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14212-2023</t>
        </is>
      </c>
      <c r="B1108" s="1" t="n">
        <v>45009</v>
      </c>
      <c r="C1108" s="1" t="n">
        <v>46002</v>
      </c>
      <c r="D1108" t="inlineStr">
        <is>
          <t>JÄMTLANDS LÄN</t>
        </is>
      </c>
      <c r="E1108" t="inlineStr">
        <is>
          <t>RAGUNDA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59996-2023</t>
        </is>
      </c>
      <c r="B1109" s="1" t="n">
        <v>45257.92826388889</v>
      </c>
      <c r="C1109" s="1" t="n">
        <v>46002</v>
      </c>
      <c r="D1109" t="inlineStr">
        <is>
          <t>JÄMTLANDS LÄN</t>
        </is>
      </c>
      <c r="E1109" t="inlineStr">
        <is>
          <t>RAGUNDA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44980-2023</t>
        </is>
      </c>
      <c r="B1110" s="1" t="n">
        <v>45190</v>
      </c>
      <c r="C1110" s="1" t="n">
        <v>46002</v>
      </c>
      <c r="D1110" t="inlineStr">
        <is>
          <t>JÄMTLANDS LÄN</t>
        </is>
      </c>
      <c r="E1110" t="inlineStr">
        <is>
          <t>RAGUNDA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14076-2023</t>
        </is>
      </c>
      <c r="B1111" s="1" t="n">
        <v>45009.0897337963</v>
      </c>
      <c r="C1111" s="1" t="n">
        <v>46002</v>
      </c>
      <c r="D1111" t="inlineStr">
        <is>
          <t>JÄMTLANDS LÄN</t>
        </is>
      </c>
      <c r="E1111" t="inlineStr">
        <is>
          <t>RAGUNDA</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12805-2025</t>
        </is>
      </c>
      <c r="B1112" s="1" t="n">
        <v>45733.61497685185</v>
      </c>
      <c r="C1112" s="1" t="n">
        <v>46002</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12808-2025</t>
        </is>
      </c>
      <c r="B1113" s="1" t="n">
        <v>45733.61554398148</v>
      </c>
      <c r="C1113" s="1" t="n">
        <v>46002</v>
      </c>
      <c r="D1113" t="inlineStr">
        <is>
          <t>JÄMTLANDS LÄN</t>
        </is>
      </c>
      <c r="E1113" t="inlineStr">
        <is>
          <t>RAGUNDA</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4615-2023</t>
        </is>
      </c>
      <c r="B1114" s="1" t="n">
        <v>44956.93924768519</v>
      </c>
      <c r="C1114" s="1" t="n">
        <v>46002</v>
      </c>
      <c r="D1114" t="inlineStr">
        <is>
          <t>JÄMTLANDS LÄN</t>
        </is>
      </c>
      <c r="E1114" t="inlineStr">
        <is>
          <t>RAGUNDA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5938-2025</t>
        </is>
      </c>
      <c r="B1115" s="1" t="n">
        <v>45695.45868055556</v>
      </c>
      <c r="C1115" s="1" t="n">
        <v>46002</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4125-2024</t>
        </is>
      </c>
      <c r="B1116" s="1" t="n">
        <v>45323</v>
      </c>
      <c r="C1116" s="1" t="n">
        <v>46002</v>
      </c>
      <c r="D1116" t="inlineStr">
        <is>
          <t>JÄMTLANDS LÄN</t>
        </is>
      </c>
      <c r="E1116" t="inlineStr">
        <is>
          <t>RAGUNDA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53549-2024</t>
        </is>
      </c>
      <c r="B1117" s="1" t="n">
        <v>45614.63869212963</v>
      </c>
      <c r="C1117" s="1" t="n">
        <v>46002</v>
      </c>
      <c r="D1117" t="inlineStr">
        <is>
          <t>JÄMTLANDS LÄN</t>
        </is>
      </c>
      <c r="E1117" t="inlineStr">
        <is>
          <t>RAGUNDA</t>
        </is>
      </c>
      <c r="F1117" t="inlineStr">
        <is>
          <t>Kyrkan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7284-2025</t>
        </is>
      </c>
      <c r="B1118" s="1" t="n">
        <v>45702.63604166666</v>
      </c>
      <c r="C1118" s="1" t="n">
        <v>46002</v>
      </c>
      <c r="D1118" t="inlineStr">
        <is>
          <t>JÄMTLANDS LÄN</t>
        </is>
      </c>
      <c r="E1118" t="inlineStr">
        <is>
          <t>RAGUNDA</t>
        </is>
      </c>
      <c r="F1118" t="inlineStr">
        <is>
          <t>SCA</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31506-2024</t>
        </is>
      </c>
      <c r="B1119" s="1" t="n">
        <v>45505</v>
      </c>
      <c r="C1119" s="1" t="n">
        <v>46002</v>
      </c>
      <c r="D1119" t="inlineStr">
        <is>
          <t>JÄMTLANDS LÄN</t>
        </is>
      </c>
      <c r="E1119" t="inlineStr">
        <is>
          <t>RAGUNDA</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19382-2025</t>
        </is>
      </c>
      <c r="B1120" s="1" t="n">
        <v>45769.65659722222</v>
      </c>
      <c r="C1120" s="1" t="n">
        <v>46002</v>
      </c>
      <c r="D1120" t="inlineStr">
        <is>
          <t>JÄMTLANDS LÄN</t>
        </is>
      </c>
      <c r="E1120" t="inlineStr">
        <is>
          <t>RAGUNDA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37479-2023</t>
        </is>
      </c>
      <c r="B1121" s="1" t="n">
        <v>45156</v>
      </c>
      <c r="C1121" s="1" t="n">
        <v>46002</v>
      </c>
      <c r="D1121" t="inlineStr">
        <is>
          <t>JÄMTLANDS LÄN</t>
        </is>
      </c>
      <c r="E1121" t="inlineStr">
        <is>
          <t>RAGUNDA</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5958-2021</t>
        </is>
      </c>
      <c r="B1122" s="1" t="n">
        <v>44231</v>
      </c>
      <c r="C1122" s="1" t="n">
        <v>46002</v>
      </c>
      <c r="D1122" t="inlineStr">
        <is>
          <t>JÄMTLANDS LÄN</t>
        </is>
      </c>
      <c r="E1122" t="inlineStr">
        <is>
          <t>RAGUNDA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4866-2025</t>
        </is>
      </c>
      <c r="B1123" s="1" t="n">
        <v>45688.67542824074</v>
      </c>
      <c r="C1123" s="1" t="n">
        <v>46002</v>
      </c>
      <c r="D1123" t="inlineStr">
        <is>
          <t>JÄMTLANDS LÄN</t>
        </is>
      </c>
      <c r="E1123" t="inlineStr">
        <is>
          <t>RAGUNDA</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11780-2024</t>
        </is>
      </c>
      <c r="B1124" s="1" t="n">
        <v>45374</v>
      </c>
      <c r="C1124" s="1" t="n">
        <v>46002</v>
      </c>
      <c r="D1124" t="inlineStr">
        <is>
          <t>JÄMTLANDS LÄN</t>
        </is>
      </c>
      <c r="E1124" t="inlineStr">
        <is>
          <t>RAGUNDA</t>
        </is>
      </c>
      <c r="G1124" t="n">
        <v>14.6</v>
      </c>
      <c r="H1124" t="n">
        <v>0</v>
      </c>
      <c r="I1124" t="n">
        <v>0</v>
      </c>
      <c r="J1124" t="n">
        <v>0</v>
      </c>
      <c r="K1124" t="n">
        <v>0</v>
      </c>
      <c r="L1124" t="n">
        <v>0</v>
      </c>
      <c r="M1124" t="n">
        <v>0</v>
      </c>
      <c r="N1124" t="n">
        <v>0</v>
      </c>
      <c r="O1124" t="n">
        <v>0</v>
      </c>
      <c r="P1124" t="n">
        <v>0</v>
      </c>
      <c r="Q1124" t="n">
        <v>0</v>
      </c>
      <c r="R1124" s="2" t="inlineStr"/>
    </row>
    <row r="1125" ht="15" customHeight="1">
      <c r="A1125" t="inlineStr">
        <is>
          <t>A 11288-2022</t>
        </is>
      </c>
      <c r="B1125" s="1" t="n">
        <v>44629</v>
      </c>
      <c r="C1125" s="1" t="n">
        <v>46002</v>
      </c>
      <c r="D1125" t="inlineStr">
        <is>
          <t>JÄMTLANDS LÄN</t>
        </is>
      </c>
      <c r="E1125" t="inlineStr">
        <is>
          <t>RAGUNDA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18984-2023</t>
        </is>
      </c>
      <c r="B1126" s="1" t="n">
        <v>45044</v>
      </c>
      <c r="C1126" s="1" t="n">
        <v>46002</v>
      </c>
      <c r="D1126" t="inlineStr">
        <is>
          <t>JÄMTLANDS LÄN</t>
        </is>
      </c>
      <c r="E1126" t="inlineStr">
        <is>
          <t>RAGUNDA</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66011-2021</t>
        </is>
      </c>
      <c r="B1127" s="1" t="n">
        <v>44517.58137731482</v>
      </c>
      <c r="C1127" s="1" t="n">
        <v>46002</v>
      </c>
      <c r="D1127" t="inlineStr">
        <is>
          <t>JÄMTLANDS LÄN</t>
        </is>
      </c>
      <c r="E1127" t="inlineStr">
        <is>
          <t>RAGUNDA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42509-2023</t>
        </is>
      </c>
      <c r="B1128" s="1" t="n">
        <v>45180</v>
      </c>
      <c r="C1128" s="1" t="n">
        <v>46002</v>
      </c>
      <c r="D1128" t="inlineStr">
        <is>
          <t>JÄMTLANDS LÄN</t>
        </is>
      </c>
      <c r="E1128" t="inlineStr">
        <is>
          <t>RAGUNDA</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33615-2023</t>
        </is>
      </c>
      <c r="B1129" s="1" t="n">
        <v>45119</v>
      </c>
      <c r="C1129" s="1" t="n">
        <v>46002</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42510-2023</t>
        </is>
      </c>
      <c r="B1130" s="1" t="n">
        <v>45180.95927083334</v>
      </c>
      <c r="C1130" s="1" t="n">
        <v>46002</v>
      </c>
      <c r="D1130" t="inlineStr">
        <is>
          <t>JÄMTLANDS LÄN</t>
        </is>
      </c>
      <c r="E1130" t="inlineStr">
        <is>
          <t>RAGUNDA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53860-2023</t>
        </is>
      </c>
      <c r="B1131" s="1" t="n">
        <v>45224</v>
      </c>
      <c r="C1131" s="1" t="n">
        <v>46002</v>
      </c>
      <c r="D1131" t="inlineStr">
        <is>
          <t>JÄMTLANDS LÄN</t>
        </is>
      </c>
      <c r="E1131" t="inlineStr">
        <is>
          <t>RAGUNDA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12039-2023</t>
        </is>
      </c>
      <c r="B1132" s="1" t="n">
        <v>44995.98341435185</v>
      </c>
      <c r="C1132" s="1" t="n">
        <v>46002</v>
      </c>
      <c r="D1132" t="inlineStr">
        <is>
          <t>JÄMTLANDS LÄN</t>
        </is>
      </c>
      <c r="E1132" t="inlineStr">
        <is>
          <t>RAGUNDA</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26991-2023</t>
        </is>
      </c>
      <c r="B1133" s="1" t="n">
        <v>45093.92207175926</v>
      </c>
      <c r="C1133" s="1" t="n">
        <v>46002</v>
      </c>
      <c r="D1133" t="inlineStr">
        <is>
          <t>JÄMTLANDS LÄN</t>
        </is>
      </c>
      <c r="E1133" t="inlineStr">
        <is>
          <t>RAGUNDA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13302-2022</t>
        </is>
      </c>
      <c r="B1134" s="1" t="n">
        <v>44644</v>
      </c>
      <c r="C1134" s="1" t="n">
        <v>46002</v>
      </c>
      <c r="D1134" t="inlineStr">
        <is>
          <t>JÄMTLANDS LÄN</t>
        </is>
      </c>
      <c r="E1134" t="inlineStr">
        <is>
          <t>RAGUNDA</t>
        </is>
      </c>
      <c r="F1134" t="inlineStr">
        <is>
          <t>SCA</t>
        </is>
      </c>
      <c r="G1134" t="n">
        <v>35.6</v>
      </c>
      <c r="H1134" t="n">
        <v>0</v>
      </c>
      <c r="I1134" t="n">
        <v>0</v>
      </c>
      <c r="J1134" t="n">
        <v>0</v>
      </c>
      <c r="K1134" t="n">
        <v>0</v>
      </c>
      <c r="L1134" t="n">
        <v>0</v>
      </c>
      <c r="M1134" t="n">
        <v>0</v>
      </c>
      <c r="N1134" t="n">
        <v>0</v>
      </c>
      <c r="O1134" t="n">
        <v>0</v>
      </c>
      <c r="P1134" t="n">
        <v>0</v>
      </c>
      <c r="Q1134" t="n">
        <v>0</v>
      </c>
      <c r="R1134" s="2" t="inlineStr"/>
    </row>
    <row r="1135" ht="15" customHeight="1">
      <c r="A1135" t="inlineStr">
        <is>
          <t>A 26651-2024</t>
        </is>
      </c>
      <c r="B1135" s="1" t="n">
        <v>45469.94876157407</v>
      </c>
      <c r="C1135" s="1" t="n">
        <v>46002</v>
      </c>
      <c r="D1135" t="inlineStr">
        <is>
          <t>JÄMTLANDS LÄN</t>
        </is>
      </c>
      <c r="E1135" t="inlineStr">
        <is>
          <t>RAGUNDA</t>
        </is>
      </c>
      <c r="F1135" t="inlineStr">
        <is>
          <t>SCA</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40919-2024</t>
        </is>
      </c>
      <c r="B1136" s="1" t="n">
        <v>45558.63575231482</v>
      </c>
      <c r="C1136" s="1" t="n">
        <v>46002</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3186-2025</t>
        </is>
      </c>
      <c r="B1137" s="1" t="n">
        <v>45679.40362268518</v>
      </c>
      <c r="C1137" s="1" t="n">
        <v>46002</v>
      </c>
      <c r="D1137" t="inlineStr">
        <is>
          <t>JÄMTLANDS LÄN</t>
        </is>
      </c>
      <c r="E1137" t="inlineStr">
        <is>
          <t>RAGUNDA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465-2023</t>
        </is>
      </c>
      <c r="B1138" s="1" t="n">
        <v>44929</v>
      </c>
      <c r="C1138" s="1" t="n">
        <v>46002</v>
      </c>
      <c r="D1138" t="inlineStr">
        <is>
          <t>JÄMTLANDS LÄN</t>
        </is>
      </c>
      <c r="E1138" t="inlineStr">
        <is>
          <t>RAGUNDA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26455-2023</t>
        </is>
      </c>
      <c r="B1139" s="1" t="n">
        <v>45092</v>
      </c>
      <c r="C1139" s="1" t="n">
        <v>46002</v>
      </c>
      <c r="D1139" t="inlineStr">
        <is>
          <t>JÄMTLANDS LÄN</t>
        </is>
      </c>
      <c r="E1139" t="inlineStr">
        <is>
          <t>RAGUNDA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10639-2024</t>
        </is>
      </c>
      <c r="B1140" s="1" t="n">
        <v>45367.67256944445</v>
      </c>
      <c r="C1140" s="1" t="n">
        <v>46002</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2751-2024</t>
        </is>
      </c>
      <c r="B1141" s="1" t="n">
        <v>45314</v>
      </c>
      <c r="C1141" s="1" t="n">
        <v>46002</v>
      </c>
      <c r="D1141" t="inlineStr">
        <is>
          <t>JÄMTLANDS LÄN</t>
        </is>
      </c>
      <c r="E1141" t="inlineStr">
        <is>
          <t>RAGUNDA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36317-2024</t>
        </is>
      </c>
      <c r="B1142" s="1" t="n">
        <v>45534.63537037037</v>
      </c>
      <c r="C1142" s="1" t="n">
        <v>46002</v>
      </c>
      <c r="D1142" t="inlineStr">
        <is>
          <t>JÄMTLANDS LÄN</t>
        </is>
      </c>
      <c r="E1142" t="inlineStr">
        <is>
          <t>RAGUNDA</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18614-2024</t>
        </is>
      </c>
      <c r="B1143" s="1" t="n">
        <v>45425.96263888889</v>
      </c>
      <c r="C1143" s="1" t="n">
        <v>46002</v>
      </c>
      <c r="D1143" t="inlineStr">
        <is>
          <t>JÄMTLANDS LÄN</t>
        </is>
      </c>
      <c r="E1143" t="inlineStr">
        <is>
          <t>RAGUNDA</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8787-2022</t>
        </is>
      </c>
      <c r="B1144" s="1" t="n">
        <v>44614</v>
      </c>
      <c r="C1144" s="1" t="n">
        <v>46002</v>
      </c>
      <c r="D1144" t="inlineStr">
        <is>
          <t>JÄMTLANDS LÄN</t>
        </is>
      </c>
      <c r="E1144" t="inlineStr">
        <is>
          <t>RAGUNDA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5967-2021</t>
        </is>
      </c>
      <c r="B1145" s="1" t="n">
        <v>44231</v>
      </c>
      <c r="C1145" s="1" t="n">
        <v>46002</v>
      </c>
      <c r="D1145" t="inlineStr">
        <is>
          <t>JÄMTLANDS LÄN</t>
        </is>
      </c>
      <c r="E1145" t="inlineStr">
        <is>
          <t>RAGUNDA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50431-2024</t>
        </is>
      </c>
      <c r="B1146" s="1" t="n">
        <v>45601.40686342592</v>
      </c>
      <c r="C1146" s="1" t="n">
        <v>46002</v>
      </c>
      <c r="D1146" t="inlineStr">
        <is>
          <t>JÄMTLANDS LÄN</t>
        </is>
      </c>
      <c r="E1146" t="inlineStr">
        <is>
          <t>RAGUNDA</t>
        </is>
      </c>
      <c r="F1146" t="inlineStr">
        <is>
          <t>SCA</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60936-2024</t>
        </is>
      </c>
      <c r="B1147" s="1" t="n">
        <v>45645.36743055555</v>
      </c>
      <c r="C1147" s="1" t="n">
        <v>46002</v>
      </c>
      <c r="D1147" t="inlineStr">
        <is>
          <t>JÄMTLANDS LÄN</t>
        </is>
      </c>
      <c r="E1147" t="inlineStr">
        <is>
          <t>RAGUNDA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4212-2024</t>
        </is>
      </c>
      <c r="B1148" s="1" t="n">
        <v>45324</v>
      </c>
      <c r="C1148" s="1" t="n">
        <v>46002</v>
      </c>
      <c r="D1148" t="inlineStr">
        <is>
          <t>JÄMTLANDS LÄN</t>
        </is>
      </c>
      <c r="E1148" t="inlineStr">
        <is>
          <t>RAGUNDA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9262-2025</t>
        </is>
      </c>
      <c r="B1149" s="1" t="n">
        <v>45714.60649305556</v>
      </c>
      <c r="C1149" s="1" t="n">
        <v>46002</v>
      </c>
      <c r="D1149" t="inlineStr">
        <is>
          <t>JÄMTLANDS LÄN</t>
        </is>
      </c>
      <c r="E1149" t="inlineStr">
        <is>
          <t>RAGUNDA</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60012-2023</t>
        </is>
      </c>
      <c r="B1150" s="1" t="n">
        <v>45257</v>
      </c>
      <c r="C1150" s="1" t="n">
        <v>46002</v>
      </c>
      <c r="D1150" t="inlineStr">
        <is>
          <t>JÄMTLANDS LÄN</t>
        </is>
      </c>
      <c r="E1150" t="inlineStr">
        <is>
          <t>RAGUNDA</t>
        </is>
      </c>
      <c r="F1150" t="inlineStr">
        <is>
          <t>SCA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53676-2022</t>
        </is>
      </c>
      <c r="B1151" s="1" t="n">
        <v>44879</v>
      </c>
      <c r="C1151" s="1" t="n">
        <v>46002</v>
      </c>
      <c r="D1151" t="inlineStr">
        <is>
          <t>JÄMTLANDS LÄN</t>
        </is>
      </c>
      <c r="E1151" t="inlineStr">
        <is>
          <t>RAGUNDA</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56504-2024</t>
        </is>
      </c>
      <c r="B1152" s="1" t="n">
        <v>45625.51068287037</v>
      </c>
      <c r="C1152" s="1" t="n">
        <v>46002</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934-2023</t>
        </is>
      </c>
      <c r="B1153" s="1" t="n">
        <v>44932.93927083333</v>
      </c>
      <c r="C1153" s="1" t="n">
        <v>46002</v>
      </c>
      <c r="D1153" t="inlineStr">
        <is>
          <t>JÄMTLANDS LÄN</t>
        </is>
      </c>
      <c r="E1153" t="inlineStr">
        <is>
          <t>RAGUNDA</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36106-2022</t>
        </is>
      </c>
      <c r="B1154" s="1" t="n">
        <v>44802.94811342593</v>
      </c>
      <c r="C1154" s="1" t="n">
        <v>46002</v>
      </c>
      <c r="D1154" t="inlineStr">
        <is>
          <t>JÄMTLANDS LÄN</t>
        </is>
      </c>
      <c r="E1154" t="inlineStr">
        <is>
          <t>RAGUNDA</t>
        </is>
      </c>
      <c r="F1154" t="inlineStr">
        <is>
          <t>SCA</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57839-2022</t>
        </is>
      </c>
      <c r="B1155" s="1" t="n">
        <v>44897</v>
      </c>
      <c r="C1155" s="1" t="n">
        <v>46002</v>
      </c>
      <c r="D1155" t="inlineStr">
        <is>
          <t>JÄMTLANDS LÄN</t>
        </is>
      </c>
      <c r="E1155" t="inlineStr">
        <is>
          <t>RAGUNDA</t>
        </is>
      </c>
      <c r="F1155" t="inlineStr">
        <is>
          <t>SCA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41693-2023</t>
        </is>
      </c>
      <c r="B1156" s="1" t="n">
        <v>45176</v>
      </c>
      <c r="C1156" s="1" t="n">
        <v>46002</v>
      </c>
      <c r="D1156" t="inlineStr">
        <is>
          <t>JÄMTLANDS LÄN</t>
        </is>
      </c>
      <c r="E1156" t="inlineStr">
        <is>
          <t>RAGUNDA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53678-2022</t>
        </is>
      </c>
      <c r="B1157" s="1" t="n">
        <v>44879.95768518518</v>
      </c>
      <c r="C1157" s="1" t="n">
        <v>46002</v>
      </c>
      <c r="D1157" t="inlineStr">
        <is>
          <t>JÄMTLANDS LÄN</t>
        </is>
      </c>
      <c r="E1157" t="inlineStr">
        <is>
          <t>RAGUNDA</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23305-2023</t>
        </is>
      </c>
      <c r="B1158" s="1" t="n">
        <v>45075.94506944445</v>
      </c>
      <c r="C1158" s="1" t="n">
        <v>46002</v>
      </c>
      <c r="D1158" t="inlineStr">
        <is>
          <t>JÄMTLANDS LÄN</t>
        </is>
      </c>
      <c r="E1158" t="inlineStr">
        <is>
          <t>RAGUNDA</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18194-2025</t>
        </is>
      </c>
      <c r="B1159" s="1" t="n">
        <v>45761.67744212963</v>
      </c>
      <c r="C1159" s="1" t="n">
        <v>46002</v>
      </c>
      <c r="D1159" t="inlineStr">
        <is>
          <t>JÄMTLANDS LÄN</t>
        </is>
      </c>
      <c r="E1159" t="inlineStr">
        <is>
          <t>RAGUNDA</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18225-2024</t>
        </is>
      </c>
      <c r="B1160" s="1" t="n">
        <v>45420</v>
      </c>
      <c r="C1160" s="1" t="n">
        <v>46002</v>
      </c>
      <c r="D1160" t="inlineStr">
        <is>
          <t>JÄMTLANDS LÄN</t>
        </is>
      </c>
      <c r="E1160" t="inlineStr">
        <is>
          <t>RAGUNDA</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54764-2024</t>
        </is>
      </c>
      <c r="B1161" s="1" t="n">
        <v>45618.46921296296</v>
      </c>
      <c r="C1161" s="1" t="n">
        <v>46002</v>
      </c>
      <c r="D1161" t="inlineStr">
        <is>
          <t>JÄMTLANDS LÄN</t>
        </is>
      </c>
      <c r="E1161" t="inlineStr">
        <is>
          <t>RAGUNDA</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32904-2024</t>
        </is>
      </c>
      <c r="B1162" s="1" t="n">
        <v>45516.94732638889</v>
      </c>
      <c r="C1162" s="1" t="n">
        <v>46002</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12976-2025</t>
        </is>
      </c>
      <c r="B1163" s="1" t="n">
        <v>45734.45268518518</v>
      </c>
      <c r="C1163" s="1" t="n">
        <v>46002</v>
      </c>
      <c r="D1163" t="inlineStr">
        <is>
          <t>JÄMTLANDS LÄN</t>
        </is>
      </c>
      <c r="E1163" t="inlineStr">
        <is>
          <t>RAGUNDA</t>
        </is>
      </c>
      <c r="G1163" t="n">
        <v>24.2</v>
      </c>
      <c r="H1163" t="n">
        <v>0</v>
      </c>
      <c r="I1163" t="n">
        <v>0</v>
      </c>
      <c r="J1163" t="n">
        <v>0</v>
      </c>
      <c r="K1163" t="n">
        <v>0</v>
      </c>
      <c r="L1163" t="n">
        <v>0</v>
      </c>
      <c r="M1163" t="n">
        <v>0</v>
      </c>
      <c r="N1163" t="n">
        <v>0</v>
      </c>
      <c r="O1163" t="n">
        <v>0</v>
      </c>
      <c r="P1163" t="n">
        <v>0</v>
      </c>
      <c r="Q1163" t="n">
        <v>0</v>
      </c>
      <c r="R1163" s="2" t="inlineStr"/>
    </row>
    <row r="1164" ht="15" customHeight="1">
      <c r="A1164" t="inlineStr">
        <is>
          <t>A 59286-2023</t>
        </is>
      </c>
      <c r="B1164" s="1" t="n">
        <v>45253</v>
      </c>
      <c r="C1164" s="1" t="n">
        <v>46002</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15672-2021</t>
        </is>
      </c>
      <c r="B1165" s="1" t="n">
        <v>44286</v>
      </c>
      <c r="C1165" s="1" t="n">
        <v>46002</v>
      </c>
      <c r="D1165" t="inlineStr">
        <is>
          <t>JÄMTLANDS LÄN</t>
        </is>
      </c>
      <c r="E1165" t="inlineStr">
        <is>
          <t>RAGUNDA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6688-2024</t>
        </is>
      </c>
      <c r="B1166" s="1" t="n">
        <v>45341</v>
      </c>
      <c r="C1166" s="1" t="n">
        <v>46002</v>
      </c>
      <c r="D1166" t="inlineStr">
        <is>
          <t>JÄMTLANDS LÄN</t>
        </is>
      </c>
      <c r="E1166" t="inlineStr">
        <is>
          <t>RAGUNDA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50650-2023</t>
        </is>
      </c>
      <c r="B1167" s="1" t="n">
        <v>45210</v>
      </c>
      <c r="C1167" s="1" t="n">
        <v>46002</v>
      </c>
      <c r="D1167" t="inlineStr">
        <is>
          <t>JÄMTLANDS LÄN</t>
        </is>
      </c>
      <c r="E1167" t="inlineStr">
        <is>
          <t>RAGUNDA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41344-2024</t>
        </is>
      </c>
      <c r="B1168" s="1" t="n">
        <v>45559.67759259259</v>
      </c>
      <c r="C1168" s="1" t="n">
        <v>46002</v>
      </c>
      <c r="D1168" t="inlineStr">
        <is>
          <t>JÄMTLANDS LÄN</t>
        </is>
      </c>
      <c r="E1168" t="inlineStr">
        <is>
          <t>RAGUNDA</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59670-2023</t>
        </is>
      </c>
      <c r="B1169" s="1" t="n">
        <v>45254.96516203704</v>
      </c>
      <c r="C1169" s="1" t="n">
        <v>46002</v>
      </c>
      <c r="D1169" t="inlineStr">
        <is>
          <t>JÄMTLANDS LÄN</t>
        </is>
      </c>
      <c r="E1169" t="inlineStr">
        <is>
          <t>RAGUNDA</t>
        </is>
      </c>
      <c r="F1169" t="inlineStr">
        <is>
          <t>SCA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55508-2024</t>
        </is>
      </c>
      <c r="B1170" s="1" t="n">
        <v>45622.46200231482</v>
      </c>
      <c r="C1170" s="1" t="n">
        <v>46002</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59492-2024</t>
        </is>
      </c>
      <c r="B1171" s="1" t="n">
        <v>45638</v>
      </c>
      <c r="C1171" s="1" t="n">
        <v>46002</v>
      </c>
      <c r="D1171" t="inlineStr">
        <is>
          <t>JÄMTLANDS LÄN</t>
        </is>
      </c>
      <c r="E1171" t="inlineStr">
        <is>
          <t>RAGUNDA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20772-2024</t>
        </is>
      </c>
      <c r="B1172" s="1" t="n">
        <v>45436.94628472222</v>
      </c>
      <c r="C1172" s="1" t="n">
        <v>46002</v>
      </c>
      <c r="D1172" t="inlineStr">
        <is>
          <t>JÄMTLANDS LÄN</t>
        </is>
      </c>
      <c r="E1172" t="inlineStr">
        <is>
          <t>RAGUNDA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53757-2024</t>
        </is>
      </c>
      <c r="B1173" s="1" t="n">
        <v>45615.50034722222</v>
      </c>
      <c r="C1173" s="1" t="n">
        <v>46002</v>
      </c>
      <c r="D1173" t="inlineStr">
        <is>
          <t>JÄMTLANDS LÄN</t>
        </is>
      </c>
      <c r="E1173" t="inlineStr">
        <is>
          <t>RAGUNDA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6716-2025</t>
        </is>
      </c>
      <c r="B1174" s="1" t="n">
        <v>45700.57324074074</v>
      </c>
      <c r="C1174" s="1" t="n">
        <v>46002</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19866-2023</t>
        </is>
      </c>
      <c r="B1175" s="1" t="n">
        <v>45053.94313657407</v>
      </c>
      <c r="C1175" s="1" t="n">
        <v>46002</v>
      </c>
      <c r="D1175" t="inlineStr">
        <is>
          <t>JÄMTLANDS LÄN</t>
        </is>
      </c>
      <c r="E1175" t="inlineStr">
        <is>
          <t>RAGUNDA</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21853-2024</t>
        </is>
      </c>
      <c r="B1176" s="1" t="n">
        <v>45442.96296296296</v>
      </c>
      <c r="C1176" s="1" t="n">
        <v>46002</v>
      </c>
      <c r="D1176" t="inlineStr">
        <is>
          <t>JÄMTLANDS LÄN</t>
        </is>
      </c>
      <c r="E1176" t="inlineStr">
        <is>
          <t>RAGUNDA</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8241-2024</t>
        </is>
      </c>
      <c r="B1177" s="1" t="n">
        <v>45351.98496527778</v>
      </c>
      <c r="C1177" s="1" t="n">
        <v>46002</v>
      </c>
      <c r="D1177" t="inlineStr">
        <is>
          <t>JÄMTLANDS LÄN</t>
        </is>
      </c>
      <c r="E1177" t="inlineStr">
        <is>
          <t>RAGUNDA</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40365-2024</t>
        </is>
      </c>
      <c r="B1178" s="1" t="n">
        <v>45555.38509259259</v>
      </c>
      <c r="C1178" s="1" t="n">
        <v>46002</v>
      </c>
      <c r="D1178" t="inlineStr">
        <is>
          <t>JÄMTLANDS LÄN</t>
        </is>
      </c>
      <c r="E1178" t="inlineStr">
        <is>
          <t>RAGUNDA</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20770-2024</t>
        </is>
      </c>
      <c r="B1179" s="1" t="n">
        <v>45436.94613425926</v>
      </c>
      <c r="C1179" s="1" t="n">
        <v>46002</v>
      </c>
      <c r="D1179" t="inlineStr">
        <is>
          <t>JÄMTLANDS LÄN</t>
        </is>
      </c>
      <c r="E1179" t="inlineStr">
        <is>
          <t>RAGUNDA</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7281-2024</t>
        </is>
      </c>
      <c r="B1180" s="1" t="n">
        <v>45344</v>
      </c>
      <c r="C1180" s="1" t="n">
        <v>46002</v>
      </c>
      <c r="D1180" t="inlineStr">
        <is>
          <t>JÄMTLANDS LÄN</t>
        </is>
      </c>
      <c r="E1180" t="inlineStr">
        <is>
          <t>RAGUNDA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7284-2024</t>
        </is>
      </c>
      <c r="B1181" s="1" t="n">
        <v>45344.92865740741</v>
      </c>
      <c r="C1181" s="1" t="n">
        <v>46002</v>
      </c>
      <c r="D1181" t="inlineStr">
        <is>
          <t>JÄMTLANDS LÄN</t>
        </is>
      </c>
      <c r="E1181" t="inlineStr">
        <is>
          <t>RAGUNDA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7285-2024</t>
        </is>
      </c>
      <c r="B1182" s="1" t="n">
        <v>45344.92873842592</v>
      </c>
      <c r="C1182" s="1" t="n">
        <v>46002</v>
      </c>
      <c r="D1182" t="inlineStr">
        <is>
          <t>JÄMTLANDS LÄN</t>
        </is>
      </c>
      <c r="E1182" t="inlineStr">
        <is>
          <t>RAGUNDA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53347-2023</t>
        </is>
      </c>
      <c r="B1183" s="1" t="n">
        <v>45223</v>
      </c>
      <c r="C1183" s="1" t="n">
        <v>46002</v>
      </c>
      <c r="D1183" t="inlineStr">
        <is>
          <t>JÄMTLANDS LÄN</t>
        </is>
      </c>
      <c r="E1183" t="inlineStr">
        <is>
          <t>RAGUNDA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60838-2023</t>
        </is>
      </c>
      <c r="B1184" s="1" t="n">
        <v>45260.92561342593</v>
      </c>
      <c r="C1184" s="1" t="n">
        <v>46002</v>
      </c>
      <c r="D1184" t="inlineStr">
        <is>
          <t>JÄMTLANDS LÄN</t>
        </is>
      </c>
      <c r="E1184" t="inlineStr">
        <is>
          <t>RAGUNDA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9548-2025</t>
        </is>
      </c>
      <c r="B1185" s="1" t="n">
        <v>45715.59405092592</v>
      </c>
      <c r="C1185" s="1" t="n">
        <v>46002</v>
      </c>
      <c r="D1185" t="inlineStr">
        <is>
          <t>JÄMTLANDS LÄN</t>
        </is>
      </c>
      <c r="E1185" t="inlineStr">
        <is>
          <t>RAGUNDA</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53989-2024</t>
        </is>
      </c>
      <c r="B1186" s="1" t="n">
        <v>45616.34479166667</v>
      </c>
      <c r="C1186" s="1" t="n">
        <v>46002</v>
      </c>
      <c r="D1186" t="inlineStr">
        <is>
          <t>JÄMTLANDS LÄN</t>
        </is>
      </c>
      <c r="E1186" t="inlineStr">
        <is>
          <t>RAGUNDA</t>
        </is>
      </c>
      <c r="F1186" t="inlineStr">
        <is>
          <t>SCA</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15581-2024</t>
        </is>
      </c>
      <c r="B1187" s="1" t="n">
        <v>45401</v>
      </c>
      <c r="C1187" s="1" t="n">
        <v>46002</v>
      </c>
      <c r="D1187" t="inlineStr">
        <is>
          <t>JÄMTLANDS LÄN</t>
        </is>
      </c>
      <c r="E1187" t="inlineStr">
        <is>
          <t>RAGUNDA</t>
        </is>
      </c>
      <c r="F1187" t="inlineStr">
        <is>
          <t>Kommuner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15611-2024</t>
        </is>
      </c>
      <c r="B1188" s="1" t="n">
        <v>45401</v>
      </c>
      <c r="C1188" s="1" t="n">
        <v>46002</v>
      </c>
      <c r="D1188" t="inlineStr">
        <is>
          <t>JÄMTLANDS LÄN</t>
        </is>
      </c>
      <c r="E1188" t="inlineStr">
        <is>
          <t>RAGUNDA</t>
        </is>
      </c>
      <c r="F1188" t="inlineStr">
        <is>
          <t>SCA</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23528-2024</t>
        </is>
      </c>
      <c r="B1189" s="1" t="n">
        <v>45453.95016203704</v>
      </c>
      <c r="C1189" s="1" t="n">
        <v>46002</v>
      </c>
      <c r="D1189" t="inlineStr">
        <is>
          <t>JÄMTLANDS LÄN</t>
        </is>
      </c>
      <c r="E1189" t="inlineStr">
        <is>
          <t>RAGUNDA</t>
        </is>
      </c>
      <c r="F1189" t="inlineStr">
        <is>
          <t>SCA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4594-2024</t>
        </is>
      </c>
      <c r="B1190" s="1" t="n">
        <v>45327.94459490741</v>
      </c>
      <c r="C1190" s="1" t="n">
        <v>46002</v>
      </c>
      <c r="D1190" t="inlineStr">
        <is>
          <t>JÄMTLANDS LÄN</t>
        </is>
      </c>
      <c r="E1190" t="inlineStr">
        <is>
          <t>RAGUNDA</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30824-2023</t>
        </is>
      </c>
      <c r="B1191" s="1" t="n">
        <v>45112.94303240741</v>
      </c>
      <c r="C1191" s="1" t="n">
        <v>46002</v>
      </c>
      <c r="D1191" t="inlineStr">
        <is>
          <t>JÄMTLANDS LÄN</t>
        </is>
      </c>
      <c r="E1191" t="inlineStr">
        <is>
          <t>RAGUNDA</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16635-2025</t>
        </is>
      </c>
      <c r="B1192" s="1" t="n">
        <v>45754</v>
      </c>
      <c r="C1192" s="1" t="n">
        <v>46002</v>
      </c>
      <c r="D1192" t="inlineStr">
        <is>
          <t>JÄMTLANDS LÄN</t>
        </is>
      </c>
      <c r="E1192" t="inlineStr">
        <is>
          <t>RAGUNDA</t>
        </is>
      </c>
      <c r="F1192" t="inlineStr">
        <is>
          <t>SCA</t>
        </is>
      </c>
      <c r="G1192" t="n">
        <v>55.4</v>
      </c>
      <c r="H1192" t="n">
        <v>0</v>
      </c>
      <c r="I1192" t="n">
        <v>0</v>
      </c>
      <c r="J1192" t="n">
        <v>0</v>
      </c>
      <c r="K1192" t="n">
        <v>0</v>
      </c>
      <c r="L1192" t="n">
        <v>0</v>
      </c>
      <c r="M1192" t="n">
        <v>0</v>
      </c>
      <c r="N1192" t="n">
        <v>0</v>
      </c>
      <c r="O1192" t="n">
        <v>0</v>
      </c>
      <c r="P1192" t="n">
        <v>0</v>
      </c>
      <c r="Q1192" t="n">
        <v>0</v>
      </c>
      <c r="R1192" s="2" t="inlineStr"/>
    </row>
    <row r="1193" ht="15" customHeight="1">
      <c r="A1193" t="inlineStr">
        <is>
          <t>A 4014-2022</t>
        </is>
      </c>
      <c r="B1193" s="1" t="n">
        <v>44587.92144675926</v>
      </c>
      <c r="C1193" s="1" t="n">
        <v>46002</v>
      </c>
      <c r="D1193" t="inlineStr">
        <is>
          <t>JÄMTLANDS LÄN</t>
        </is>
      </c>
      <c r="E1193" t="inlineStr">
        <is>
          <t>RAGUNDA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1554-2024</t>
        </is>
      </c>
      <c r="B1194" s="1" t="n">
        <v>45306</v>
      </c>
      <c r="C1194" s="1" t="n">
        <v>46002</v>
      </c>
      <c r="D1194" t="inlineStr">
        <is>
          <t>JÄMTLANDS LÄN</t>
        </is>
      </c>
      <c r="E1194" t="inlineStr">
        <is>
          <t>RAGUNDA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38782-2021</t>
        </is>
      </c>
      <c r="B1195" s="1" t="n">
        <v>44410</v>
      </c>
      <c r="C1195" s="1" t="n">
        <v>46002</v>
      </c>
      <c r="D1195" t="inlineStr">
        <is>
          <t>JÄMTLANDS LÄN</t>
        </is>
      </c>
      <c r="E1195" t="inlineStr">
        <is>
          <t>RAGUNDA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20728-2025</t>
        </is>
      </c>
      <c r="B1196" s="1" t="n">
        <v>45776.51130787037</v>
      </c>
      <c r="C1196" s="1" t="n">
        <v>46002</v>
      </c>
      <c r="D1196" t="inlineStr">
        <is>
          <t>JÄMTLANDS LÄN</t>
        </is>
      </c>
      <c r="E1196" t="inlineStr">
        <is>
          <t>RAGUNDA</t>
        </is>
      </c>
      <c r="F1196" t="inlineStr">
        <is>
          <t>Kommuner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20653-2025</t>
        </is>
      </c>
      <c r="B1197" s="1" t="n">
        <v>45776.40311342593</v>
      </c>
      <c r="C1197" s="1" t="n">
        <v>46002</v>
      </c>
      <c r="D1197" t="inlineStr">
        <is>
          <t>JÄMTLANDS LÄN</t>
        </is>
      </c>
      <c r="E1197" t="inlineStr">
        <is>
          <t>RAGUNDA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20722-2025</t>
        </is>
      </c>
      <c r="B1198" s="1" t="n">
        <v>45776.50651620371</v>
      </c>
      <c r="C1198" s="1" t="n">
        <v>46002</v>
      </c>
      <c r="D1198" t="inlineStr">
        <is>
          <t>JÄMTLANDS LÄN</t>
        </is>
      </c>
      <c r="E1198" t="inlineStr">
        <is>
          <t>RAGUNDA</t>
        </is>
      </c>
      <c r="F1198" t="inlineStr">
        <is>
          <t>Kommuner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20777-2025</t>
        </is>
      </c>
      <c r="B1199" s="1" t="n">
        <v>45776.59422453704</v>
      </c>
      <c r="C1199" s="1" t="n">
        <v>46002</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21150-2025</t>
        </is>
      </c>
      <c r="B1200" s="1" t="n">
        <v>45779.34417824074</v>
      </c>
      <c r="C1200" s="1" t="n">
        <v>46002</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21214-2025</t>
        </is>
      </c>
      <c r="B1201" s="1" t="n">
        <v>45779.49025462963</v>
      </c>
      <c r="C1201" s="1" t="n">
        <v>46002</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22941-2024</t>
        </is>
      </c>
      <c r="B1202" s="1" t="n">
        <v>45448.94520833333</v>
      </c>
      <c r="C1202" s="1" t="n">
        <v>46002</v>
      </c>
      <c r="D1202" t="inlineStr">
        <is>
          <t>JÄMTLANDS LÄN</t>
        </is>
      </c>
      <c r="E1202" t="inlineStr">
        <is>
          <t>RAGUNDA</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21430-2025</t>
        </is>
      </c>
      <c r="B1203" s="1" t="n">
        <v>45782.51099537037</v>
      </c>
      <c r="C1203" s="1" t="n">
        <v>46002</v>
      </c>
      <c r="D1203" t="inlineStr">
        <is>
          <t>JÄMTLANDS LÄN</t>
        </is>
      </c>
      <c r="E1203" t="inlineStr">
        <is>
          <t>RAGUNDA</t>
        </is>
      </c>
      <c r="F1203" t="inlineStr">
        <is>
          <t>SCA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44881-2023</t>
        </is>
      </c>
      <c r="B1204" s="1" t="n">
        <v>45187</v>
      </c>
      <c r="C1204" s="1" t="n">
        <v>46002</v>
      </c>
      <c r="D1204" t="inlineStr">
        <is>
          <t>JÄMTLANDS LÄN</t>
        </is>
      </c>
      <c r="E1204" t="inlineStr">
        <is>
          <t>RAGUNDA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21451-2025</t>
        </is>
      </c>
      <c r="B1205" s="1" t="n">
        <v>45782.55287037037</v>
      </c>
      <c r="C1205" s="1" t="n">
        <v>46002</v>
      </c>
      <c r="D1205" t="inlineStr">
        <is>
          <t>JÄMTLANDS LÄN</t>
        </is>
      </c>
      <c r="E1205" t="inlineStr">
        <is>
          <t>RAGUNDA</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21432-2025</t>
        </is>
      </c>
      <c r="B1206" s="1" t="n">
        <v>45782.51109953703</v>
      </c>
      <c r="C1206" s="1" t="n">
        <v>46002</v>
      </c>
      <c r="D1206" t="inlineStr">
        <is>
          <t>JÄMTLANDS LÄN</t>
        </is>
      </c>
      <c r="E1206" t="inlineStr">
        <is>
          <t>RAGUNDA</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21331-2025</t>
        </is>
      </c>
      <c r="B1207" s="1" t="n">
        <v>45782.36494212963</v>
      </c>
      <c r="C1207" s="1" t="n">
        <v>46002</v>
      </c>
      <c r="D1207" t="inlineStr">
        <is>
          <t>JÄMTLANDS LÄN</t>
        </is>
      </c>
      <c r="E1207" t="inlineStr">
        <is>
          <t>RAGUNDA</t>
        </is>
      </c>
      <c r="F1207" t="inlineStr">
        <is>
          <t>SCA</t>
        </is>
      </c>
      <c r="G1207" t="n">
        <v>23.1</v>
      </c>
      <c r="H1207" t="n">
        <v>0</v>
      </c>
      <c r="I1207" t="n">
        <v>0</v>
      </c>
      <c r="J1207" t="n">
        <v>0</v>
      </c>
      <c r="K1207" t="n">
        <v>0</v>
      </c>
      <c r="L1207" t="n">
        <v>0</v>
      </c>
      <c r="M1207" t="n">
        <v>0</v>
      </c>
      <c r="N1207" t="n">
        <v>0</v>
      </c>
      <c r="O1207" t="n">
        <v>0</v>
      </c>
      <c r="P1207" t="n">
        <v>0</v>
      </c>
      <c r="Q1207" t="n">
        <v>0</v>
      </c>
      <c r="R1207" s="2" t="inlineStr"/>
      <c r="U1207">
        <f>HYPERLINK("https://klasma.github.io/Logging_2303/knärot/A 21331-2025 karta knärot.png", "A 21331-2025")</f>
        <v/>
      </c>
      <c r="V1207">
        <f>HYPERLINK("https://klasma.github.io/Logging_2303/klagomål/A 21331-2025 FSC-klagomål.docx", "A 21331-2025")</f>
        <v/>
      </c>
      <c r="W1207">
        <f>HYPERLINK("https://klasma.github.io/Logging_2303/klagomålsmail/A 21331-2025 FSC-klagomål mail.docx", "A 21331-2025")</f>
        <v/>
      </c>
      <c r="X1207">
        <f>HYPERLINK("https://klasma.github.io/Logging_2303/tillsyn/A 21331-2025 tillsynsbegäran.docx", "A 21331-2025")</f>
        <v/>
      </c>
      <c r="Y1207">
        <f>HYPERLINK("https://klasma.github.io/Logging_2303/tillsynsmail/A 21331-2025 tillsynsbegäran mail.docx", "A 21331-2025")</f>
        <v/>
      </c>
    </row>
    <row r="1208" ht="15" customHeight="1">
      <c r="A1208" t="inlineStr">
        <is>
          <t>A 21550-2025</t>
        </is>
      </c>
      <c r="B1208" s="1" t="n">
        <v>45782.67758101852</v>
      </c>
      <c r="C1208" s="1" t="n">
        <v>46002</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57889-2024</t>
        </is>
      </c>
      <c r="B1209" s="1" t="n">
        <v>45631.46665509259</v>
      </c>
      <c r="C1209" s="1" t="n">
        <v>46002</v>
      </c>
      <c r="D1209" t="inlineStr">
        <is>
          <t>JÄMTLANDS LÄN</t>
        </is>
      </c>
      <c r="E1209" t="inlineStr">
        <is>
          <t>RAGUNDA</t>
        </is>
      </c>
      <c r="G1209" t="n">
        <v>11.1</v>
      </c>
      <c r="H1209" t="n">
        <v>0</v>
      </c>
      <c r="I1209" t="n">
        <v>0</v>
      </c>
      <c r="J1209" t="n">
        <v>0</v>
      </c>
      <c r="K1209" t="n">
        <v>0</v>
      </c>
      <c r="L1209" t="n">
        <v>0</v>
      </c>
      <c r="M1209" t="n">
        <v>0</v>
      </c>
      <c r="N1209" t="n">
        <v>0</v>
      </c>
      <c r="O1209" t="n">
        <v>0</v>
      </c>
      <c r="P1209" t="n">
        <v>0</v>
      </c>
      <c r="Q1209" t="n">
        <v>0</v>
      </c>
      <c r="R1209" s="2" t="inlineStr"/>
    </row>
    <row r="1210" ht="15" customHeight="1">
      <c r="A1210" t="inlineStr">
        <is>
          <t>A 60629-2023</t>
        </is>
      </c>
      <c r="B1210" s="1" t="n">
        <v>45259</v>
      </c>
      <c r="C1210" s="1" t="n">
        <v>46002</v>
      </c>
      <c r="D1210" t="inlineStr">
        <is>
          <t>JÄMTLANDS LÄN</t>
        </is>
      </c>
      <c r="E1210" t="inlineStr">
        <is>
          <t>RAGUNDA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22388-2025</t>
        </is>
      </c>
      <c r="B1211" s="1" t="n">
        <v>45786.51077546296</v>
      </c>
      <c r="C1211" s="1" t="n">
        <v>46002</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c r="A1212" t="inlineStr">
        <is>
          <t>A 22898-2025</t>
        </is>
      </c>
      <c r="B1212" s="1" t="n">
        <v>45790.40670138889</v>
      </c>
      <c r="C1212" s="1" t="n">
        <v>46002</v>
      </c>
      <c r="D1212" t="inlineStr">
        <is>
          <t>JÄMTLANDS LÄN</t>
        </is>
      </c>
      <c r="E1212" t="inlineStr">
        <is>
          <t>RAGUNDA</t>
        </is>
      </c>
      <c r="F1212" t="inlineStr">
        <is>
          <t>SCA</t>
        </is>
      </c>
      <c r="G1212" t="n">
        <v>1.3</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2025-12-11T10:26:48Z</dcterms:created>
  <dcterms:modified xmlns:dcterms="http://purl.org/dc/terms/" xmlns:xsi="http://www.w3.org/2001/XMLSchema-instance" xsi:type="dcterms:W3CDTF">2025-12-11T10:26:49Z</dcterms:modified>
</cp:coreProperties>
</file>