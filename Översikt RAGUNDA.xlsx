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46036</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46036</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46036</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46036</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46036</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46036</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46036</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46036</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46036</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46036</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46036</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46036</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46036</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46036</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46036</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46036</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46036</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46036</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46036</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32741-2025</t>
        </is>
      </c>
      <c r="B25" s="1" t="n">
        <v>45839.42482638889</v>
      </c>
      <c r="C25" s="1" t="n">
        <v>46036</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9347-2024</t>
        </is>
      </c>
      <c r="B26" s="1" t="n">
        <v>45358.99375</v>
      </c>
      <c r="C26" s="1" t="n">
        <v>46036</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46036</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25632-2025</t>
        </is>
      </c>
      <c r="B28" s="1" t="n">
        <v>45803.59474537037</v>
      </c>
      <c r="C28" s="1" t="n">
        <v>46036</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46036</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46036</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46036</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41412-2024</t>
        </is>
      </c>
      <c r="B32" s="1" t="n">
        <v>45560.34484953704</v>
      </c>
      <c r="C32" s="1" t="n">
        <v>46036</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4591-2024</t>
        </is>
      </c>
      <c r="B33" s="1" t="n">
        <v>45327</v>
      </c>
      <c r="C33" s="1" t="n">
        <v>46036</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46036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46036</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32068-2024</t>
        </is>
      </c>
      <c r="B36" s="1" t="n">
        <v>45510</v>
      </c>
      <c r="C36" s="1" t="n">
        <v>46036</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46036</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30876-2025</t>
        </is>
      </c>
      <c r="B38" s="1" t="n">
        <v>45832.34461805555</v>
      </c>
      <c r="C38" s="1" t="n">
        <v>46036</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46036</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58876-2025</t>
        </is>
      </c>
      <c r="B40" s="1" t="n">
        <v>45987.46929398148</v>
      </c>
      <c r="C40" s="1" t="n">
        <v>46036</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45008-2023</t>
        </is>
      </c>
      <c r="B41" s="1" t="n">
        <v>45190.96092592592</v>
      </c>
      <c r="C41" s="1" t="n">
        <v>46036</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46036</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46036</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46036</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25016-2025</t>
        </is>
      </c>
      <c r="B45" s="1" t="n">
        <v>45799.63574074074</v>
      </c>
      <c r="C45" s="1" t="n">
        <v>46036</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46036</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3634-2024</t>
        </is>
      </c>
      <c r="B47" s="1" t="n">
        <v>45320</v>
      </c>
      <c r="C47" s="1" t="n">
        <v>46036</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30335-2025</t>
        </is>
      </c>
      <c r="B48" s="1" t="n">
        <v>45827.5110300926</v>
      </c>
      <c r="C48" s="1" t="n">
        <v>46036</v>
      </c>
      <c r="D48" t="inlineStr">
        <is>
          <t>JÄMTLANDS LÄN</t>
        </is>
      </c>
      <c r="E48" t="inlineStr">
        <is>
          <t>RAGUNDA</t>
        </is>
      </c>
      <c r="F48" t="inlineStr">
        <is>
          <t>SCA</t>
        </is>
      </c>
      <c r="G48" t="n">
        <v>7.7</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30335-2025 artfynd.xlsx", "A 30335-2025")</f>
        <v/>
      </c>
      <c r="T48">
        <f>HYPERLINK("https://klasma.github.io/Logging_2303/kartor/A 30335-2025 karta.png", "A 30335-2025")</f>
        <v/>
      </c>
      <c r="U48">
        <f>HYPERLINK("https://klasma.github.io/Logging_2303/knärot/A 30335-2025 karta knärot.png", "A 30335-2025")</f>
        <v/>
      </c>
      <c r="V48">
        <f>HYPERLINK("https://klasma.github.io/Logging_2303/klagomål/A 30335-2025 FSC-klagomål.docx", "A 30335-2025")</f>
        <v/>
      </c>
      <c r="W48">
        <f>HYPERLINK("https://klasma.github.io/Logging_2303/klagomålsmail/A 30335-2025 FSC-klagomål mail.docx", "A 30335-2025")</f>
        <v/>
      </c>
      <c r="X48">
        <f>HYPERLINK("https://klasma.github.io/Logging_2303/tillsyn/A 30335-2025 tillsynsbegäran.docx", "A 30335-2025")</f>
        <v/>
      </c>
      <c r="Y48">
        <f>HYPERLINK("https://klasma.github.io/Logging_2303/tillsynsmail/A 30335-2025 tillsynsbegäran mail.docx", "A 30335-2025")</f>
        <v/>
      </c>
    </row>
    <row r="49" ht="15" customHeight="1">
      <c r="A49" t="inlineStr">
        <is>
          <t>A 32475-2023</t>
        </is>
      </c>
      <c r="B49" s="1" t="n">
        <v>45120</v>
      </c>
      <c r="C49" s="1" t="n">
        <v>46036</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51037-2025</t>
        </is>
      </c>
      <c r="B50" s="1" t="n">
        <v>45947.40729166667</v>
      </c>
      <c r="C50" s="1" t="n">
        <v>46036</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60129-2025</t>
        </is>
      </c>
      <c r="B51" s="1" t="n">
        <v>45994.34461805555</v>
      </c>
      <c r="C51" s="1" t="n">
        <v>46036</v>
      </c>
      <c r="D51" t="inlineStr">
        <is>
          <t>JÄMTLANDS LÄN</t>
        </is>
      </c>
      <c r="E51" t="inlineStr">
        <is>
          <t>RAGUNDA</t>
        </is>
      </c>
      <c r="G51" t="n">
        <v>5.9</v>
      </c>
      <c r="H51" t="n">
        <v>2</v>
      </c>
      <c r="I51" t="n">
        <v>4</v>
      </c>
      <c r="J51" t="n">
        <v>3</v>
      </c>
      <c r="K51" t="n">
        <v>0</v>
      </c>
      <c r="L51" t="n">
        <v>0</v>
      </c>
      <c r="M51" t="n">
        <v>0</v>
      </c>
      <c r="N51" t="n">
        <v>0</v>
      </c>
      <c r="O51" t="n">
        <v>3</v>
      </c>
      <c r="P51" t="n">
        <v>0</v>
      </c>
      <c r="Q51" t="n">
        <v>8</v>
      </c>
      <c r="R51" s="2" t="inlineStr">
        <is>
          <t>Garnlav
Lunglav
Spillkråka
Luddlav
Skinnlav
Stor aspticka
Stuplav
Revlummer</t>
        </is>
      </c>
      <c r="S51">
        <f>HYPERLINK("https://klasma.github.io/Logging_2303/artfynd/A 60129-2025 artfynd.xlsx", "A 60129-2025")</f>
        <v/>
      </c>
      <c r="T51">
        <f>HYPERLINK("https://klasma.github.io/Logging_2303/kartor/A 60129-2025 karta.png", "A 60129-2025")</f>
        <v/>
      </c>
      <c r="V51">
        <f>HYPERLINK("https://klasma.github.io/Logging_2303/klagomål/A 60129-2025 FSC-klagomål.docx", "A 60129-2025")</f>
        <v/>
      </c>
      <c r="W51">
        <f>HYPERLINK("https://klasma.github.io/Logging_2303/klagomålsmail/A 60129-2025 FSC-klagomål mail.docx", "A 60129-2025")</f>
        <v/>
      </c>
      <c r="X51">
        <f>HYPERLINK("https://klasma.github.io/Logging_2303/tillsyn/A 60129-2025 tillsynsbegäran.docx", "A 60129-2025")</f>
        <v/>
      </c>
      <c r="Y51">
        <f>HYPERLINK("https://klasma.github.io/Logging_2303/tillsynsmail/A 60129-2025 tillsynsbegäran mail.docx", "A 60129-2025")</f>
        <v/>
      </c>
      <c r="Z51">
        <f>HYPERLINK("https://klasma.github.io/Logging_2303/fåglar/A 60129-2025 prioriterade fågelarter.docx", "A 60129-2025")</f>
        <v/>
      </c>
    </row>
    <row r="52" ht="15" customHeight="1">
      <c r="A52" t="inlineStr">
        <is>
          <t>A 62738-2025</t>
        </is>
      </c>
      <c r="B52" s="1" t="n">
        <v>46008.57341435185</v>
      </c>
      <c r="C52" s="1" t="n">
        <v>46036</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46036</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24732-2025</t>
        </is>
      </c>
      <c r="B54" s="1" t="n">
        <v>45799.34421296296</v>
      </c>
      <c r="C54" s="1" t="n">
        <v>46036</v>
      </c>
      <c r="D54" t="inlineStr">
        <is>
          <t>JÄMTLANDS LÄN</t>
        </is>
      </c>
      <c r="E54" t="inlineStr">
        <is>
          <t>RAGUNDA</t>
        </is>
      </c>
      <c r="F54" t="inlineStr">
        <is>
          <t>SCA</t>
        </is>
      </c>
      <c r="G54" t="n">
        <v>16.2</v>
      </c>
      <c r="H54" t="n">
        <v>1</v>
      </c>
      <c r="I54" t="n">
        <v>3</v>
      </c>
      <c r="J54" t="n">
        <v>4</v>
      </c>
      <c r="K54" t="n">
        <v>1</v>
      </c>
      <c r="L54" t="n">
        <v>0</v>
      </c>
      <c r="M54" t="n">
        <v>0</v>
      </c>
      <c r="N54" t="n">
        <v>0</v>
      </c>
      <c r="O54" t="n">
        <v>5</v>
      </c>
      <c r="P54" t="n">
        <v>1</v>
      </c>
      <c r="Q54" t="n">
        <v>8</v>
      </c>
      <c r="R54" s="2" t="inlineStr">
        <is>
          <t>Knärot
Gammelgransskål
Garnlav
Lunglav
Vitgrynig nållav
Bollvitmossa
Skarp dropptaggsvamp
Svavelriska</t>
        </is>
      </c>
      <c r="S54">
        <f>HYPERLINK("https://klasma.github.io/Logging_2303/artfynd/A 24732-2025 artfynd.xlsx", "A 24732-2025")</f>
        <v/>
      </c>
      <c r="T54">
        <f>HYPERLINK("https://klasma.github.io/Logging_2303/kartor/A 24732-2025 karta.png", "A 24732-2025")</f>
        <v/>
      </c>
      <c r="U54">
        <f>HYPERLINK("https://klasma.github.io/Logging_2303/knärot/A 24732-2025 karta knärot.png", "A 24732-2025")</f>
        <v/>
      </c>
      <c r="V54">
        <f>HYPERLINK("https://klasma.github.io/Logging_2303/klagomål/A 24732-2025 FSC-klagomål.docx", "A 24732-2025")</f>
        <v/>
      </c>
      <c r="W54">
        <f>HYPERLINK("https://klasma.github.io/Logging_2303/klagomålsmail/A 24732-2025 FSC-klagomål mail.docx", "A 24732-2025")</f>
        <v/>
      </c>
      <c r="X54">
        <f>HYPERLINK("https://klasma.github.io/Logging_2303/tillsyn/A 24732-2025 tillsynsbegäran.docx", "A 24732-2025")</f>
        <v/>
      </c>
      <c r="Y54">
        <f>HYPERLINK("https://klasma.github.io/Logging_2303/tillsynsmail/A 24732-2025 tillsynsbegäran mail.docx", "A 24732-2025")</f>
        <v/>
      </c>
    </row>
    <row r="55" ht="15" customHeight="1">
      <c r="A55" t="inlineStr">
        <is>
          <t>A 15665-2022</t>
        </is>
      </c>
      <c r="B55" s="1" t="n">
        <v>44662</v>
      </c>
      <c r="C55" s="1" t="n">
        <v>46036</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46036</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46036</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46036</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33806-2023</t>
        </is>
      </c>
      <c r="B59" s="1" t="n">
        <v>45121</v>
      </c>
      <c r="C59" s="1" t="n">
        <v>46036</v>
      </c>
      <c r="D59" t="inlineStr">
        <is>
          <t>JÄMTLANDS LÄN</t>
        </is>
      </c>
      <c r="E59" t="inlineStr">
        <is>
          <t>RAGUNDA</t>
        </is>
      </c>
      <c r="G59" t="n">
        <v>12</v>
      </c>
      <c r="H59" t="n">
        <v>2</v>
      </c>
      <c r="I59" t="n">
        <v>0</v>
      </c>
      <c r="J59" t="n">
        <v>5</v>
      </c>
      <c r="K59" t="n">
        <v>1</v>
      </c>
      <c r="L59" t="n">
        <v>0</v>
      </c>
      <c r="M59" t="n">
        <v>0</v>
      </c>
      <c r="N59" t="n">
        <v>0</v>
      </c>
      <c r="O59" t="n">
        <v>6</v>
      </c>
      <c r="P59" t="n">
        <v>1</v>
      </c>
      <c r="Q59" t="n">
        <v>7</v>
      </c>
      <c r="R59" s="2" t="inlineStr">
        <is>
          <t>Knärot
Granticka
Koralltaggsvamp
Lunglav
Persiljespindling
Äggvaxskivling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19399-2025</t>
        </is>
      </c>
      <c r="B60" s="1" t="n">
        <v>45769.67740740741</v>
      </c>
      <c r="C60" s="1" t="n">
        <v>46036</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41929-2023</t>
        </is>
      </c>
      <c r="B61" s="1" t="n">
        <v>45176</v>
      </c>
      <c r="C61" s="1" t="n">
        <v>46036</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46036</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27913-2024</t>
        </is>
      </c>
      <c r="B63" s="1" t="n">
        <v>45475.94796296296</v>
      </c>
      <c r="C63" s="1" t="n">
        <v>46036</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24169-2021</t>
        </is>
      </c>
      <c r="B64" s="1" t="n">
        <v>44336</v>
      </c>
      <c r="C64" s="1" t="n">
        <v>46036</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61386-2022</t>
        </is>
      </c>
      <c r="B65" s="1" t="n">
        <v>44915</v>
      </c>
      <c r="C65" s="1" t="n">
        <v>46036</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15977-2024</t>
        </is>
      </c>
      <c r="B66" s="1" t="n">
        <v>45405.57392361111</v>
      </c>
      <c r="C66" s="1" t="n">
        <v>46036</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26750-2025</t>
        </is>
      </c>
      <c r="B67" s="1" t="n">
        <v>45810.55061342593</v>
      </c>
      <c r="C67" s="1" t="n">
        <v>46036</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26750-2025 artfynd.xlsx", "A 26750-2025")</f>
        <v/>
      </c>
      <c r="T67">
        <f>HYPERLINK("https://klasma.github.io/Logging_2303/kartor/A 26750-2025 karta.png", "A 26750-2025")</f>
        <v/>
      </c>
      <c r="V67">
        <f>HYPERLINK("https://klasma.github.io/Logging_2303/klagomål/A 26750-2025 FSC-klagomål.docx", "A 26750-2025")</f>
        <v/>
      </c>
      <c r="W67">
        <f>HYPERLINK("https://klasma.github.io/Logging_2303/klagomålsmail/A 26750-2025 FSC-klagomål mail.docx", "A 26750-2025")</f>
        <v/>
      </c>
      <c r="X67">
        <f>HYPERLINK("https://klasma.github.io/Logging_2303/tillsyn/A 26750-2025 tillsynsbegäran.docx", "A 26750-2025")</f>
        <v/>
      </c>
      <c r="Y67">
        <f>HYPERLINK("https://klasma.github.io/Logging_2303/tillsynsmail/A 26750-2025 tillsynsbegäran mail.docx", "A 26750-2025")</f>
        <v/>
      </c>
    </row>
    <row r="68" ht="15" customHeight="1">
      <c r="A68" t="inlineStr">
        <is>
          <t>A 933-2023</t>
        </is>
      </c>
      <c r="B68" s="1" t="n">
        <v>44932</v>
      </c>
      <c r="C68" s="1" t="n">
        <v>46036</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55646-2023</t>
        </is>
      </c>
      <c r="B69" s="1" t="n">
        <v>45238</v>
      </c>
      <c r="C69" s="1" t="n">
        <v>46036</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39973-2025</t>
        </is>
      </c>
      <c r="B70" s="1" t="n">
        <v>45893.38584490741</v>
      </c>
      <c r="C70" s="1" t="n">
        <v>46036</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19402-2025</t>
        </is>
      </c>
      <c r="B71" s="1" t="n">
        <v>45769.67778935185</v>
      </c>
      <c r="C71" s="1" t="n">
        <v>46036</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46036</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34317-2025</t>
        </is>
      </c>
      <c r="B73" s="1" t="n">
        <v>45846.41361111111</v>
      </c>
      <c r="C73" s="1" t="n">
        <v>46036</v>
      </c>
      <c r="D73" t="inlineStr">
        <is>
          <t>JÄMTLANDS LÄN</t>
        </is>
      </c>
      <c r="E73" t="inlineStr">
        <is>
          <t>RAGUNDA</t>
        </is>
      </c>
      <c r="G73" t="n">
        <v>8.300000000000001</v>
      </c>
      <c r="H73" t="n">
        <v>2</v>
      </c>
      <c r="I73" t="n">
        <v>1</v>
      </c>
      <c r="J73" t="n">
        <v>4</v>
      </c>
      <c r="K73" t="n">
        <v>1</v>
      </c>
      <c r="L73" t="n">
        <v>0</v>
      </c>
      <c r="M73" t="n">
        <v>0</v>
      </c>
      <c r="N73" t="n">
        <v>0</v>
      </c>
      <c r="O73" t="n">
        <v>5</v>
      </c>
      <c r="P73" t="n">
        <v>1</v>
      </c>
      <c r="Q73" t="n">
        <v>6</v>
      </c>
      <c r="R73" s="2" t="inlineStr">
        <is>
          <t>Knärot
Garnlav
Lunglav
Nordtagging
Talltita
Skinnlav</t>
        </is>
      </c>
      <c r="S73">
        <f>HYPERLINK("https://klasma.github.io/Logging_2303/artfynd/A 34317-2025 artfynd.xlsx", "A 34317-2025")</f>
        <v/>
      </c>
      <c r="T73">
        <f>HYPERLINK("https://klasma.github.io/Logging_2303/kartor/A 34317-2025 karta.png", "A 34317-2025")</f>
        <v/>
      </c>
      <c r="U73">
        <f>HYPERLINK("https://klasma.github.io/Logging_2303/knärot/A 34317-2025 karta knärot.png", "A 34317-2025")</f>
        <v/>
      </c>
      <c r="V73">
        <f>HYPERLINK("https://klasma.github.io/Logging_2303/klagomål/A 34317-2025 FSC-klagomål.docx", "A 34317-2025")</f>
        <v/>
      </c>
      <c r="W73">
        <f>HYPERLINK("https://klasma.github.io/Logging_2303/klagomålsmail/A 34317-2025 FSC-klagomål mail.docx", "A 34317-2025")</f>
        <v/>
      </c>
      <c r="X73">
        <f>HYPERLINK("https://klasma.github.io/Logging_2303/tillsyn/A 34317-2025 tillsynsbegäran.docx", "A 34317-2025")</f>
        <v/>
      </c>
      <c r="Y73">
        <f>HYPERLINK("https://klasma.github.io/Logging_2303/tillsynsmail/A 34317-2025 tillsynsbegäran mail.docx", "A 34317-2025")</f>
        <v/>
      </c>
      <c r="Z73">
        <f>HYPERLINK("https://klasma.github.io/Logging_2303/fåglar/A 34317-2025 prioriterade fågelarter.docx", "A 34317-2025")</f>
        <v/>
      </c>
    </row>
    <row r="74" ht="15" customHeight="1">
      <c r="A74" t="inlineStr">
        <is>
          <t>A 53021-2022</t>
        </is>
      </c>
      <c r="B74" s="1" t="n">
        <v>44875</v>
      </c>
      <c r="C74" s="1" t="n">
        <v>46036</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36276-2025</t>
        </is>
      </c>
      <c r="B75" s="1" t="n">
        <v>45867.63619212963</v>
      </c>
      <c r="C75" s="1" t="n">
        <v>46036</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49291-2025</t>
        </is>
      </c>
      <c r="B76" s="1" t="n">
        <v>45938.53188657408</v>
      </c>
      <c r="C76" s="1" t="n">
        <v>46036</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46036</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46036</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47115-2025</t>
        </is>
      </c>
      <c r="B79" s="1" t="n">
        <v>45929</v>
      </c>
      <c r="C79" s="1" t="n">
        <v>46036</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24431-2024</t>
        </is>
      </c>
      <c r="B80" s="1" t="n">
        <v>45457</v>
      </c>
      <c r="C80" s="1" t="n">
        <v>46036</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26326-2024</t>
        </is>
      </c>
      <c r="B81" s="1" t="n">
        <v>45468.97528935185</v>
      </c>
      <c r="C81" s="1" t="n">
        <v>46036</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27322-2024</t>
        </is>
      </c>
      <c r="B82" s="1" t="n">
        <v>45471.94783564815</v>
      </c>
      <c r="C82" s="1" t="n">
        <v>46036</v>
      </c>
      <c r="D82" t="inlineStr">
        <is>
          <t>JÄMTLANDS LÄN</t>
        </is>
      </c>
      <c r="E82" t="inlineStr">
        <is>
          <t>RAGUNDA</t>
        </is>
      </c>
      <c r="G82" t="n">
        <v>2.3</v>
      </c>
      <c r="H82" t="n">
        <v>1</v>
      </c>
      <c r="I82" t="n">
        <v>0</v>
      </c>
      <c r="J82" t="n">
        <v>5</v>
      </c>
      <c r="K82" t="n">
        <v>1</v>
      </c>
      <c r="L82" t="n">
        <v>0</v>
      </c>
      <c r="M82" t="n">
        <v>0</v>
      </c>
      <c r="N82" t="n">
        <v>0</v>
      </c>
      <c r="O82" t="n">
        <v>6</v>
      </c>
      <c r="P82" t="n">
        <v>1</v>
      </c>
      <c r="Q82" t="n">
        <v>6</v>
      </c>
      <c r="R82" s="2" t="inlineStr">
        <is>
          <t>Knärot
Gammelgransskål
Garnlav
Lunglav
Skrovellav
Vedtrappmossa</t>
        </is>
      </c>
      <c r="S82">
        <f>HYPERLINK("https://klasma.github.io/Logging_2303/artfynd/A 27322-2024 artfynd.xlsx", "A 27322-2024")</f>
        <v/>
      </c>
      <c r="T82">
        <f>HYPERLINK("https://klasma.github.io/Logging_2303/kartor/A 27322-2024 karta.png", "A 27322-2024")</f>
        <v/>
      </c>
      <c r="U82">
        <f>HYPERLINK("https://klasma.github.io/Logging_2303/knärot/A 27322-2024 karta knärot.png", "A 27322-2024")</f>
        <v/>
      </c>
      <c r="V82">
        <f>HYPERLINK("https://klasma.github.io/Logging_2303/klagomål/A 27322-2024 FSC-klagomål.docx", "A 27322-2024")</f>
        <v/>
      </c>
      <c r="W82">
        <f>HYPERLINK("https://klasma.github.io/Logging_2303/klagomålsmail/A 27322-2024 FSC-klagomål mail.docx", "A 27322-2024")</f>
        <v/>
      </c>
      <c r="X82">
        <f>HYPERLINK("https://klasma.github.io/Logging_2303/tillsyn/A 27322-2024 tillsynsbegäran.docx", "A 27322-2024")</f>
        <v/>
      </c>
      <c r="Y82">
        <f>HYPERLINK("https://klasma.github.io/Logging_2303/tillsynsmail/A 27322-2024 tillsynsbegäran mail.docx", "A 27322-2024")</f>
        <v/>
      </c>
    </row>
    <row r="83" ht="15" customHeight="1">
      <c r="A83" t="inlineStr">
        <is>
          <t>A 21037-2021</t>
        </is>
      </c>
      <c r="B83" s="1" t="n">
        <v>44319</v>
      </c>
      <c r="C83" s="1" t="n">
        <v>46036</v>
      </c>
      <c r="D83" t="inlineStr">
        <is>
          <t>JÄMTLANDS LÄN</t>
        </is>
      </c>
      <c r="E83" t="inlineStr">
        <is>
          <t>RAGUNDA</t>
        </is>
      </c>
      <c r="F83" t="inlineStr">
        <is>
          <t>Kyrkan</t>
        </is>
      </c>
      <c r="G83" t="n">
        <v>0.8</v>
      </c>
      <c r="H83" t="n">
        <v>0</v>
      </c>
      <c r="I83" t="n">
        <v>2</v>
      </c>
      <c r="J83" t="n">
        <v>3</v>
      </c>
      <c r="K83" t="n">
        <v>0</v>
      </c>
      <c r="L83" t="n">
        <v>0</v>
      </c>
      <c r="M83" t="n">
        <v>0</v>
      </c>
      <c r="N83" t="n">
        <v>0</v>
      </c>
      <c r="O83" t="n">
        <v>3</v>
      </c>
      <c r="P83" t="n">
        <v>0</v>
      </c>
      <c r="Q83" t="n">
        <v>5</v>
      </c>
      <c r="R83" s="2" t="inlineStr">
        <is>
          <t>Olivbrun gytterlav
Persiljespindling
Stickelfrö
Grov baronmossa
Guldlockmossa</t>
        </is>
      </c>
      <c r="S83">
        <f>HYPERLINK("https://klasma.github.io/Logging_2303/artfynd/A 21037-2021 artfynd.xlsx", "A 21037-2021")</f>
        <v/>
      </c>
      <c r="T83">
        <f>HYPERLINK("https://klasma.github.io/Logging_2303/kartor/A 21037-2021 karta.png", "A 21037-2021")</f>
        <v/>
      </c>
      <c r="V83">
        <f>HYPERLINK("https://klasma.github.io/Logging_2303/klagomål/A 21037-2021 FSC-klagomål.docx", "A 21037-2021")</f>
        <v/>
      </c>
      <c r="W83">
        <f>HYPERLINK("https://klasma.github.io/Logging_2303/klagomålsmail/A 21037-2021 FSC-klagomål mail.docx", "A 21037-2021")</f>
        <v/>
      </c>
      <c r="X83">
        <f>HYPERLINK("https://klasma.github.io/Logging_2303/tillsyn/A 21037-2021 tillsynsbegäran.docx", "A 21037-2021")</f>
        <v/>
      </c>
      <c r="Y83">
        <f>HYPERLINK("https://klasma.github.io/Logging_2303/tillsynsmail/A 21037-2021 tillsynsbegäran mail.docx", "A 21037-2021")</f>
        <v/>
      </c>
    </row>
    <row r="84" ht="15" customHeight="1">
      <c r="A84" t="inlineStr">
        <is>
          <t>A 14908-2022</t>
        </is>
      </c>
      <c r="B84" s="1" t="n">
        <v>44656</v>
      </c>
      <c r="C84" s="1" t="n">
        <v>46036</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45969-2023</t>
        </is>
      </c>
      <c r="B85" s="1" t="n">
        <v>45195</v>
      </c>
      <c r="C85" s="1" t="n">
        <v>46036</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15379-2024</t>
        </is>
      </c>
      <c r="B86" s="1" t="n">
        <v>45400.94002314815</v>
      </c>
      <c r="C86" s="1" t="n">
        <v>46036</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15244-2025</t>
        </is>
      </c>
      <c r="B87" s="1" t="n">
        <v>45744.61550925926</v>
      </c>
      <c r="C87" s="1" t="n">
        <v>46036</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39365-2024</t>
        </is>
      </c>
      <c r="B88" s="1" t="n">
        <v>45551.46912037037</v>
      </c>
      <c r="C88" s="1" t="n">
        <v>46036</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27313-2024</t>
        </is>
      </c>
      <c r="B89" s="1" t="n">
        <v>45471.94623842592</v>
      </c>
      <c r="C89" s="1" t="n">
        <v>46036</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39974-2025</t>
        </is>
      </c>
      <c r="B90" s="1" t="n">
        <v>45893.38599537037</v>
      </c>
      <c r="C90" s="1" t="n">
        <v>46036</v>
      </c>
      <c r="D90" t="inlineStr">
        <is>
          <t>JÄMTLANDS LÄN</t>
        </is>
      </c>
      <c r="E90" t="inlineStr">
        <is>
          <t>RAGUNDA</t>
        </is>
      </c>
      <c r="F90" t="inlineStr">
        <is>
          <t>SCA</t>
        </is>
      </c>
      <c r="G90" t="n">
        <v>2.5</v>
      </c>
      <c r="H90" t="n">
        <v>0</v>
      </c>
      <c r="I90" t="n">
        <v>2</v>
      </c>
      <c r="J90" t="n">
        <v>3</v>
      </c>
      <c r="K90" t="n">
        <v>0</v>
      </c>
      <c r="L90" t="n">
        <v>0</v>
      </c>
      <c r="M90" t="n">
        <v>0</v>
      </c>
      <c r="N90" t="n">
        <v>0</v>
      </c>
      <c r="O90" t="n">
        <v>3</v>
      </c>
      <c r="P90" t="n">
        <v>0</v>
      </c>
      <c r="Q90" t="n">
        <v>5</v>
      </c>
      <c r="R90" s="2" t="inlineStr">
        <is>
          <t>Garnlav
Lunglav
Skrovellav
Dropptaggsvamp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30886-2025</t>
        </is>
      </c>
      <c r="B91" s="1" t="n">
        <v>45832.34578703704</v>
      </c>
      <c r="C91" s="1" t="n">
        <v>46036</v>
      </c>
      <c r="D91" t="inlineStr">
        <is>
          <t>JÄMTLANDS LÄN</t>
        </is>
      </c>
      <c r="E91" t="inlineStr">
        <is>
          <t>RAGUNDA</t>
        </is>
      </c>
      <c r="F91" t="inlineStr">
        <is>
          <t>SCA</t>
        </is>
      </c>
      <c r="G91" t="n">
        <v>4.4</v>
      </c>
      <c r="H91" t="n">
        <v>3</v>
      </c>
      <c r="I91" t="n">
        <v>1</v>
      </c>
      <c r="J91" t="n">
        <v>2</v>
      </c>
      <c r="K91" t="n">
        <v>1</v>
      </c>
      <c r="L91" t="n">
        <v>0</v>
      </c>
      <c r="M91" t="n">
        <v>0</v>
      </c>
      <c r="N91" t="n">
        <v>0</v>
      </c>
      <c r="O91" t="n">
        <v>3</v>
      </c>
      <c r="P91" t="n">
        <v>1</v>
      </c>
      <c r="Q91" t="n">
        <v>5</v>
      </c>
      <c r="R91" s="2" t="inlineStr">
        <is>
          <t>Knärot
Järpe
Lunglav
Ögonpyrola
Nattviol</t>
        </is>
      </c>
      <c r="S91">
        <f>HYPERLINK("https://klasma.github.io/Logging_2303/artfynd/A 30886-2025 artfynd.xlsx", "A 30886-2025")</f>
        <v/>
      </c>
      <c r="T91">
        <f>HYPERLINK("https://klasma.github.io/Logging_2303/kartor/A 30886-2025 karta.png", "A 30886-2025")</f>
        <v/>
      </c>
      <c r="U91">
        <f>HYPERLINK("https://klasma.github.io/Logging_2303/knärot/A 30886-2025 karta knärot.png", "A 30886-2025")</f>
        <v/>
      </c>
      <c r="V91">
        <f>HYPERLINK("https://klasma.github.io/Logging_2303/klagomål/A 30886-2025 FSC-klagomål.docx", "A 30886-2025")</f>
        <v/>
      </c>
      <c r="W91">
        <f>HYPERLINK("https://klasma.github.io/Logging_2303/klagomålsmail/A 30886-2025 FSC-klagomål mail.docx", "A 30886-2025")</f>
        <v/>
      </c>
      <c r="X91">
        <f>HYPERLINK("https://klasma.github.io/Logging_2303/tillsyn/A 30886-2025 tillsynsbegäran.docx", "A 30886-2025")</f>
        <v/>
      </c>
      <c r="Y91">
        <f>HYPERLINK("https://klasma.github.io/Logging_2303/tillsynsmail/A 30886-2025 tillsynsbegäran mail.docx", "A 30886-2025")</f>
        <v/>
      </c>
      <c r="Z91">
        <f>HYPERLINK("https://klasma.github.io/Logging_2303/fåglar/A 30886-2025 prioriterade fågelarter.docx", "A 30886-2025")</f>
        <v/>
      </c>
    </row>
    <row r="92" ht="15" customHeight="1">
      <c r="A92" t="inlineStr">
        <is>
          <t>A 35344-2025</t>
        </is>
      </c>
      <c r="B92" s="1" t="n">
        <v>45854.61494212963</v>
      </c>
      <c r="C92" s="1" t="n">
        <v>46036</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46036</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57073-2023</t>
        </is>
      </c>
      <c r="B94" s="1" t="n">
        <v>45244</v>
      </c>
      <c r="C94" s="1" t="n">
        <v>46036</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Aspgelélav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13266-2023</t>
        </is>
      </c>
      <c r="B95" s="1" t="n">
        <v>45002.94356481481</v>
      </c>
      <c r="C95" s="1" t="n">
        <v>46036</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38169-2024</t>
        </is>
      </c>
      <c r="B96" s="1" t="n">
        <v>45545.45748842593</v>
      </c>
      <c r="C96" s="1" t="n">
        <v>46036</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46036</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43106-2023</t>
        </is>
      </c>
      <c r="B98" s="1" t="n">
        <v>45182</v>
      </c>
      <c r="C98" s="1" t="n">
        <v>46036</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46036</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46036</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46036</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8636-2021</t>
        </is>
      </c>
      <c r="B102" s="1" t="n">
        <v>44245</v>
      </c>
      <c r="C102" s="1" t="n">
        <v>46036</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19851-2022</t>
        </is>
      </c>
      <c r="B103" s="1" t="n">
        <v>44696</v>
      </c>
      <c r="C103" s="1" t="n">
        <v>46036</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15667-2022</t>
        </is>
      </c>
      <c r="B104" s="1" t="n">
        <v>44662</v>
      </c>
      <c r="C104" s="1" t="n">
        <v>46036</v>
      </c>
      <c r="D104" t="inlineStr">
        <is>
          <t>JÄMTLANDS LÄN</t>
        </is>
      </c>
      <c r="E104" t="inlineStr">
        <is>
          <t>RAGUNDA</t>
        </is>
      </c>
      <c r="F104" t="inlineStr">
        <is>
          <t>SCA</t>
        </is>
      </c>
      <c r="G104" t="n">
        <v>2.9</v>
      </c>
      <c r="H104" t="n">
        <v>0</v>
      </c>
      <c r="I104" t="n">
        <v>2</v>
      </c>
      <c r="J104" t="n">
        <v>2</v>
      </c>
      <c r="K104" t="n">
        <v>0</v>
      </c>
      <c r="L104" t="n">
        <v>0</v>
      </c>
      <c r="M104" t="n">
        <v>0</v>
      </c>
      <c r="N104" t="n">
        <v>0</v>
      </c>
      <c r="O104" t="n">
        <v>2</v>
      </c>
      <c r="P104" t="n">
        <v>0</v>
      </c>
      <c r="Q104" t="n">
        <v>4</v>
      </c>
      <c r="R104" s="2" t="inlineStr">
        <is>
          <t>Garnlav
Lunglav
Källmossa
Ögonpyrola</t>
        </is>
      </c>
      <c r="S104">
        <f>HYPERLINK("https://klasma.github.io/Logging_2303/artfynd/A 15667-2022 artfynd.xlsx", "A 15667-2022")</f>
        <v/>
      </c>
      <c r="T104">
        <f>HYPERLINK("https://klasma.github.io/Logging_2303/kartor/A 15667-2022 karta.png", "A 15667-2022")</f>
        <v/>
      </c>
      <c r="V104">
        <f>HYPERLINK("https://klasma.github.io/Logging_2303/klagomål/A 15667-2022 FSC-klagomål.docx", "A 15667-2022")</f>
        <v/>
      </c>
      <c r="W104">
        <f>HYPERLINK("https://klasma.github.io/Logging_2303/klagomålsmail/A 15667-2022 FSC-klagomål mail.docx", "A 15667-2022")</f>
        <v/>
      </c>
      <c r="X104">
        <f>HYPERLINK("https://klasma.github.io/Logging_2303/tillsyn/A 15667-2022 tillsynsbegäran.docx", "A 15667-2022")</f>
        <v/>
      </c>
      <c r="Y104">
        <f>HYPERLINK("https://klasma.github.io/Logging_2303/tillsynsmail/A 15667-2022 tillsynsbegäran mail.docx", "A 15667-2022")</f>
        <v/>
      </c>
    </row>
    <row r="105" ht="15" customHeight="1">
      <c r="A105" t="inlineStr">
        <is>
          <t>A 60670-2022</t>
        </is>
      </c>
      <c r="B105" s="1" t="n">
        <v>44911</v>
      </c>
      <c r="C105" s="1" t="n">
        <v>46036</v>
      </c>
      <c r="D105" t="inlineStr">
        <is>
          <t>JÄMTLANDS LÄN</t>
        </is>
      </c>
      <c r="E105" t="inlineStr">
        <is>
          <t>RAGUNDA</t>
        </is>
      </c>
      <c r="F105" t="inlineStr">
        <is>
          <t>SCA</t>
        </is>
      </c>
      <c r="G105" t="n">
        <v>5.1</v>
      </c>
      <c r="H105" t="n">
        <v>0</v>
      </c>
      <c r="I105" t="n">
        <v>0</v>
      </c>
      <c r="J105" t="n">
        <v>4</v>
      </c>
      <c r="K105" t="n">
        <v>0</v>
      </c>
      <c r="L105" t="n">
        <v>0</v>
      </c>
      <c r="M105" t="n">
        <v>0</v>
      </c>
      <c r="N105" t="n">
        <v>0</v>
      </c>
      <c r="O105" t="n">
        <v>4</v>
      </c>
      <c r="P105" t="n">
        <v>0</v>
      </c>
      <c r="Q105" t="n">
        <v>4</v>
      </c>
      <c r="R105" s="2" t="inlineStr">
        <is>
          <t>Doftskinn
Gammelgransskål
Lunglav
Ullticka</t>
        </is>
      </c>
      <c r="S105">
        <f>HYPERLINK("https://klasma.github.io/Logging_2303/artfynd/A 60670-2022 artfynd.xlsx", "A 60670-2022")</f>
        <v/>
      </c>
      <c r="T105">
        <f>HYPERLINK("https://klasma.github.io/Logging_2303/kartor/A 60670-2022 karta.png", "A 60670-2022")</f>
        <v/>
      </c>
      <c r="V105">
        <f>HYPERLINK("https://klasma.github.io/Logging_2303/klagomål/A 60670-2022 FSC-klagomål.docx", "A 60670-2022")</f>
        <v/>
      </c>
      <c r="W105">
        <f>HYPERLINK("https://klasma.github.io/Logging_2303/klagomålsmail/A 60670-2022 FSC-klagomål mail.docx", "A 60670-2022")</f>
        <v/>
      </c>
      <c r="X105">
        <f>HYPERLINK("https://klasma.github.io/Logging_2303/tillsyn/A 60670-2022 tillsynsbegäran.docx", "A 60670-2022")</f>
        <v/>
      </c>
      <c r="Y105">
        <f>HYPERLINK("https://klasma.github.io/Logging_2303/tillsynsmail/A 60670-2022 tillsynsbegäran mail.docx", "A 60670-2022")</f>
        <v/>
      </c>
    </row>
    <row r="106" ht="15" customHeight="1">
      <c r="A106" t="inlineStr">
        <is>
          <t>A 32903-2024</t>
        </is>
      </c>
      <c r="B106" s="1" t="n">
        <v>45516.94723379629</v>
      </c>
      <c r="C106" s="1" t="n">
        <v>46036</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43960-2023</t>
        </is>
      </c>
      <c r="B107" s="1" t="n">
        <v>45187</v>
      </c>
      <c r="C107" s="1" t="n">
        <v>46036</v>
      </c>
      <c r="D107" t="inlineStr">
        <is>
          <t>JÄMTLANDS LÄN</t>
        </is>
      </c>
      <c r="E107" t="inlineStr">
        <is>
          <t>RAGUNDA</t>
        </is>
      </c>
      <c r="F107" t="inlineStr">
        <is>
          <t>SCA</t>
        </is>
      </c>
      <c r="G107" t="n">
        <v>5.5</v>
      </c>
      <c r="H107" t="n">
        <v>0</v>
      </c>
      <c r="I107" t="n">
        <v>1</v>
      </c>
      <c r="J107" t="n">
        <v>3</v>
      </c>
      <c r="K107" t="n">
        <v>0</v>
      </c>
      <c r="L107" t="n">
        <v>0</v>
      </c>
      <c r="M107" t="n">
        <v>0</v>
      </c>
      <c r="N107" t="n">
        <v>0</v>
      </c>
      <c r="O107" t="n">
        <v>3</v>
      </c>
      <c r="P107" t="n">
        <v>0</v>
      </c>
      <c r="Q107" t="n">
        <v>4</v>
      </c>
      <c r="R107" s="2" t="inlineStr">
        <is>
          <t>Granticka
Vedflikmossa
Vedtrappmossa
Vedticka</t>
        </is>
      </c>
      <c r="S107">
        <f>HYPERLINK("https://klasma.github.io/Logging_2303/artfynd/A 43960-2023 artfynd.xlsx", "A 43960-2023")</f>
        <v/>
      </c>
      <c r="T107">
        <f>HYPERLINK("https://klasma.github.io/Logging_2303/kartor/A 43960-2023 karta.png", "A 43960-2023")</f>
        <v/>
      </c>
      <c r="V107">
        <f>HYPERLINK("https://klasma.github.io/Logging_2303/klagomål/A 43960-2023 FSC-klagomål.docx", "A 43960-2023")</f>
        <v/>
      </c>
      <c r="W107">
        <f>HYPERLINK("https://klasma.github.io/Logging_2303/klagomålsmail/A 43960-2023 FSC-klagomål mail.docx", "A 43960-2023")</f>
        <v/>
      </c>
      <c r="X107">
        <f>HYPERLINK("https://klasma.github.io/Logging_2303/tillsyn/A 43960-2023 tillsynsbegäran.docx", "A 43960-2023")</f>
        <v/>
      </c>
      <c r="Y107">
        <f>HYPERLINK("https://klasma.github.io/Logging_2303/tillsynsmail/A 43960-2023 tillsynsbegäran mail.docx", "A 43960-2023")</f>
        <v/>
      </c>
    </row>
    <row r="108" ht="15" customHeight="1">
      <c r="A108" t="inlineStr">
        <is>
          <t>A 30483-2024</t>
        </is>
      </c>
      <c r="B108" s="1" t="n">
        <v>45491</v>
      </c>
      <c r="C108" s="1" t="n">
        <v>46036</v>
      </c>
      <c r="D108" t="inlineStr">
        <is>
          <t>JÄMTLANDS LÄN</t>
        </is>
      </c>
      <c r="E108" t="inlineStr">
        <is>
          <t>RAGUNDA</t>
        </is>
      </c>
      <c r="F108" t="inlineStr">
        <is>
          <t>SCA</t>
        </is>
      </c>
      <c r="G108" t="n">
        <v>1.6</v>
      </c>
      <c r="H108" t="n">
        <v>1</v>
      </c>
      <c r="I108" t="n">
        <v>0</v>
      </c>
      <c r="J108" t="n">
        <v>4</v>
      </c>
      <c r="K108" t="n">
        <v>0</v>
      </c>
      <c r="L108" t="n">
        <v>0</v>
      </c>
      <c r="M108" t="n">
        <v>0</v>
      </c>
      <c r="N108" t="n">
        <v>0</v>
      </c>
      <c r="O108" t="n">
        <v>4</v>
      </c>
      <c r="P108" t="n">
        <v>0</v>
      </c>
      <c r="Q108" t="n">
        <v>4</v>
      </c>
      <c r="R108" s="2" t="inlineStr">
        <is>
          <t>Dvärgbägarlav
Järpe
Kolflarnlav
Vedskivlav</t>
        </is>
      </c>
      <c r="S108">
        <f>HYPERLINK("https://klasma.github.io/Logging_2303/artfynd/A 30483-2024 artfynd.xlsx", "A 30483-2024")</f>
        <v/>
      </c>
      <c r="T108">
        <f>HYPERLINK("https://klasma.github.io/Logging_2303/kartor/A 30483-2024 karta.png", "A 30483-2024")</f>
        <v/>
      </c>
      <c r="V108">
        <f>HYPERLINK("https://klasma.github.io/Logging_2303/klagomål/A 30483-2024 FSC-klagomål.docx", "A 30483-2024")</f>
        <v/>
      </c>
      <c r="W108">
        <f>HYPERLINK("https://klasma.github.io/Logging_2303/klagomålsmail/A 30483-2024 FSC-klagomål mail.docx", "A 30483-2024")</f>
        <v/>
      </c>
      <c r="X108">
        <f>HYPERLINK("https://klasma.github.io/Logging_2303/tillsyn/A 30483-2024 tillsynsbegäran.docx", "A 30483-2024")</f>
        <v/>
      </c>
      <c r="Y108">
        <f>HYPERLINK("https://klasma.github.io/Logging_2303/tillsynsmail/A 30483-2024 tillsynsbegäran mail.docx", "A 30483-2024")</f>
        <v/>
      </c>
      <c r="Z108">
        <f>HYPERLINK("https://klasma.github.io/Logging_2303/fåglar/A 30483-2024 prioriterade fågelarter.docx", "A 30483-2024")</f>
        <v/>
      </c>
    </row>
    <row r="109" ht="15" customHeight="1">
      <c r="A109" t="inlineStr">
        <is>
          <t>A 23931-2024</t>
        </is>
      </c>
      <c r="B109" s="1" t="n">
        <v>45455.96195601852</v>
      </c>
      <c r="C109" s="1" t="n">
        <v>46036</v>
      </c>
      <c r="D109" t="inlineStr">
        <is>
          <t>JÄMTLANDS LÄN</t>
        </is>
      </c>
      <c r="E109" t="inlineStr">
        <is>
          <t>RAGUNDA</t>
        </is>
      </c>
      <c r="F109" t="inlineStr">
        <is>
          <t>SCA</t>
        </is>
      </c>
      <c r="G109" t="n">
        <v>4</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23931-2024 artfynd.xlsx", "A 23931-2024")</f>
        <v/>
      </c>
      <c r="T109">
        <f>HYPERLINK("https://klasma.github.io/Logging_2303/kartor/A 23931-2024 karta.png", "A 23931-2024")</f>
        <v/>
      </c>
      <c r="U109">
        <f>HYPERLINK("https://klasma.github.io/Logging_2303/knärot/A 23931-2024 karta knärot.png", "A 23931-2024")</f>
        <v/>
      </c>
      <c r="V109">
        <f>HYPERLINK("https://klasma.github.io/Logging_2303/klagomål/A 23931-2024 FSC-klagomål.docx", "A 23931-2024")</f>
        <v/>
      </c>
      <c r="W109">
        <f>HYPERLINK("https://klasma.github.io/Logging_2303/klagomålsmail/A 23931-2024 FSC-klagomål mail.docx", "A 23931-2024")</f>
        <v/>
      </c>
      <c r="X109">
        <f>HYPERLINK("https://klasma.github.io/Logging_2303/tillsyn/A 23931-2024 tillsynsbegäran.docx", "A 23931-2024")</f>
        <v/>
      </c>
      <c r="Y109">
        <f>HYPERLINK("https://klasma.github.io/Logging_2303/tillsynsmail/A 23931-2024 tillsynsbegäran mail.docx", "A 23931-2024")</f>
        <v/>
      </c>
    </row>
    <row r="110" ht="15" customHeight="1">
      <c r="A110" t="inlineStr">
        <is>
          <t>A 23682-2021</t>
        </is>
      </c>
      <c r="B110" s="1" t="n">
        <v>44334</v>
      </c>
      <c r="C110" s="1" t="n">
        <v>46036</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23676-2021</t>
        </is>
      </c>
      <c r="B111" s="1" t="n">
        <v>44334.62565972222</v>
      </c>
      <c r="C111" s="1" t="n">
        <v>46036</v>
      </c>
      <c r="D111" t="inlineStr">
        <is>
          <t>JÄMTLANDS LÄN</t>
        </is>
      </c>
      <c r="E111" t="inlineStr">
        <is>
          <t>RAGUNDA</t>
        </is>
      </c>
      <c r="G111" t="n">
        <v>8.5</v>
      </c>
      <c r="H111" t="n">
        <v>1</v>
      </c>
      <c r="I111" t="n">
        <v>1</v>
      </c>
      <c r="J111" t="n">
        <v>3</v>
      </c>
      <c r="K111" t="n">
        <v>0</v>
      </c>
      <c r="L111" t="n">
        <v>0</v>
      </c>
      <c r="M111" t="n">
        <v>0</v>
      </c>
      <c r="N111" t="n">
        <v>0</v>
      </c>
      <c r="O111" t="n">
        <v>3</v>
      </c>
      <c r="P111" t="n">
        <v>0</v>
      </c>
      <c r="Q111" t="n">
        <v>4</v>
      </c>
      <c r="R111" s="2" t="inlineStr">
        <is>
          <t>Lunglav
Rosenticka
Tretåig hackspett
Strutbräken</t>
        </is>
      </c>
      <c r="S111">
        <f>HYPERLINK("https://klasma.github.io/Logging_2303/artfynd/A 23676-2021 artfynd.xlsx", "A 23676-2021")</f>
        <v/>
      </c>
      <c r="T111">
        <f>HYPERLINK("https://klasma.github.io/Logging_2303/kartor/A 23676-2021 karta.png", "A 23676-2021")</f>
        <v/>
      </c>
      <c r="V111">
        <f>HYPERLINK("https://klasma.github.io/Logging_2303/klagomål/A 23676-2021 FSC-klagomål.docx", "A 23676-2021")</f>
        <v/>
      </c>
      <c r="W111">
        <f>HYPERLINK("https://klasma.github.io/Logging_2303/klagomålsmail/A 23676-2021 FSC-klagomål mail.docx", "A 23676-2021")</f>
        <v/>
      </c>
      <c r="X111">
        <f>HYPERLINK("https://klasma.github.io/Logging_2303/tillsyn/A 23676-2021 tillsynsbegäran.docx", "A 23676-2021")</f>
        <v/>
      </c>
      <c r="Y111">
        <f>HYPERLINK("https://klasma.github.io/Logging_2303/tillsynsmail/A 23676-2021 tillsynsbegäran mail.docx", "A 23676-2021")</f>
        <v/>
      </c>
      <c r="Z111">
        <f>HYPERLINK("https://klasma.github.io/Logging_2303/fåglar/A 23676-2021 prioriterade fågelarter.docx", "A 23676-2021")</f>
        <v/>
      </c>
    </row>
    <row r="112" ht="15" customHeight="1">
      <c r="A112" t="inlineStr">
        <is>
          <t>A 40653-2025</t>
        </is>
      </c>
      <c r="B112" s="1" t="n">
        <v>45896.63618055556</v>
      </c>
      <c r="C112" s="1" t="n">
        <v>46036</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32067-2024</t>
        </is>
      </c>
      <c r="B113" s="1" t="n">
        <v>45510</v>
      </c>
      <c r="C113" s="1" t="n">
        <v>46036</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30465-2024</t>
        </is>
      </c>
      <c r="B114" s="1" t="n">
        <v>45491</v>
      </c>
      <c r="C114" s="1" t="n">
        <v>46036</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15836-2024</t>
        </is>
      </c>
      <c r="B115" s="1" t="n">
        <v>45404</v>
      </c>
      <c r="C115" s="1" t="n">
        <v>46036</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52168-2025</t>
        </is>
      </c>
      <c r="B116" s="1" t="n">
        <v>45953.365625</v>
      </c>
      <c r="C116" s="1" t="n">
        <v>46036</v>
      </c>
      <c r="D116" t="inlineStr">
        <is>
          <t>JÄMTLANDS LÄN</t>
        </is>
      </c>
      <c r="E116" t="inlineStr">
        <is>
          <t>RAGUNDA</t>
        </is>
      </c>
      <c r="F116" t="inlineStr">
        <is>
          <t>SCA</t>
        </is>
      </c>
      <c r="G116" t="n">
        <v>19.5</v>
      </c>
      <c r="H116" t="n">
        <v>0</v>
      </c>
      <c r="I116" t="n">
        <v>1</v>
      </c>
      <c r="J116" t="n">
        <v>3</v>
      </c>
      <c r="K116" t="n">
        <v>0</v>
      </c>
      <c r="L116" t="n">
        <v>0</v>
      </c>
      <c r="M116" t="n">
        <v>0</v>
      </c>
      <c r="N116" t="n">
        <v>0</v>
      </c>
      <c r="O116" t="n">
        <v>3</v>
      </c>
      <c r="P116" t="n">
        <v>0</v>
      </c>
      <c r="Q116" t="n">
        <v>4</v>
      </c>
      <c r="R116" s="2" t="inlineStr">
        <is>
          <t>Garnlav
Granticka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52644-2024</t>
        </is>
      </c>
      <c r="B117" s="1" t="n">
        <v>45610.34415509259</v>
      </c>
      <c r="C117" s="1" t="n">
        <v>46036</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50342-2025</t>
        </is>
      </c>
      <c r="B118" s="1" t="n">
        <v>45944.53186342592</v>
      </c>
      <c r="C118" s="1" t="n">
        <v>46036</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19401-2025</t>
        </is>
      </c>
      <c r="B119" s="1" t="n">
        <v>45769.67767361111</v>
      </c>
      <c r="C119" s="1" t="n">
        <v>46036</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46036</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46036</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46036</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46036</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46036</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46036</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46036</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18616-2024</t>
        </is>
      </c>
      <c r="B127" s="1" t="n">
        <v>45425.96285879629</v>
      </c>
      <c r="C127" s="1" t="n">
        <v>46036</v>
      </c>
      <c r="D127" t="inlineStr">
        <is>
          <t>JÄMTLANDS LÄN</t>
        </is>
      </c>
      <c r="E127" t="inlineStr">
        <is>
          <t>RAGUNDA</t>
        </is>
      </c>
      <c r="F127" t="inlineStr">
        <is>
          <t>SCA</t>
        </is>
      </c>
      <c r="G127" t="n">
        <v>3.4</v>
      </c>
      <c r="H127" t="n">
        <v>0</v>
      </c>
      <c r="I127" t="n">
        <v>0</v>
      </c>
      <c r="J127" t="n">
        <v>3</v>
      </c>
      <c r="K127" t="n">
        <v>0</v>
      </c>
      <c r="L127" t="n">
        <v>0</v>
      </c>
      <c r="M127" t="n">
        <v>0</v>
      </c>
      <c r="N127" t="n">
        <v>0</v>
      </c>
      <c r="O127" t="n">
        <v>3</v>
      </c>
      <c r="P127" t="n">
        <v>0</v>
      </c>
      <c r="Q127" t="n">
        <v>3</v>
      </c>
      <c r="R127" s="2" t="inlineStr">
        <is>
          <t>Granticka
Orange taggsvamp
Ullticka</t>
        </is>
      </c>
      <c r="S127">
        <f>HYPERLINK("https://klasma.github.io/Logging_2303/artfynd/A 18616-2024 artfynd.xlsx", "A 18616-2024")</f>
        <v/>
      </c>
      <c r="T127">
        <f>HYPERLINK("https://klasma.github.io/Logging_2303/kartor/A 18616-2024 karta.png", "A 18616-2024")</f>
        <v/>
      </c>
      <c r="V127">
        <f>HYPERLINK("https://klasma.github.io/Logging_2303/klagomål/A 18616-2024 FSC-klagomål.docx", "A 18616-2024")</f>
        <v/>
      </c>
      <c r="W127">
        <f>HYPERLINK("https://klasma.github.io/Logging_2303/klagomålsmail/A 18616-2024 FSC-klagomål mail.docx", "A 18616-2024")</f>
        <v/>
      </c>
      <c r="X127">
        <f>HYPERLINK("https://klasma.github.io/Logging_2303/tillsyn/A 18616-2024 tillsynsbegäran.docx", "A 18616-2024")</f>
        <v/>
      </c>
      <c r="Y127">
        <f>HYPERLINK("https://klasma.github.io/Logging_2303/tillsynsmail/A 18616-2024 tillsynsbegäran mail.docx", "A 18616-2024")</f>
        <v/>
      </c>
    </row>
    <row r="128" ht="15" customHeight="1">
      <c r="A128" t="inlineStr">
        <is>
          <t>A 58368-2024</t>
        </is>
      </c>
      <c r="B128" s="1" t="n">
        <v>45632.69822916666</v>
      </c>
      <c r="C128" s="1" t="n">
        <v>46036</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52345-2024</t>
        </is>
      </c>
      <c r="B129" s="1" t="n">
        <v>45609.34412037037</v>
      </c>
      <c r="C129" s="1" t="n">
        <v>46036</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46036</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30470-2024</t>
        </is>
      </c>
      <c r="B131" s="1" t="n">
        <v>45491.94715277778</v>
      </c>
      <c r="C131" s="1" t="n">
        <v>46036</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58737-2022</t>
        </is>
      </c>
      <c r="B132" s="1" t="n">
        <v>44902</v>
      </c>
      <c r="C132" s="1" t="n">
        <v>46036</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46036</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34585-2025</t>
        </is>
      </c>
      <c r="B134" s="1" t="n">
        <v>45847.61498842593</v>
      </c>
      <c r="C134" s="1" t="n">
        <v>46036</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34585-2025 artfynd.xlsx", "A 34585-2025")</f>
        <v/>
      </c>
      <c r="T134">
        <f>HYPERLINK("https://klasma.github.io/Logging_2303/kartor/A 34585-2025 karta.png", "A 34585-2025")</f>
        <v/>
      </c>
      <c r="V134">
        <f>HYPERLINK("https://klasma.github.io/Logging_2303/klagomål/A 34585-2025 FSC-klagomål.docx", "A 34585-2025")</f>
        <v/>
      </c>
      <c r="W134">
        <f>HYPERLINK("https://klasma.github.io/Logging_2303/klagomålsmail/A 34585-2025 FSC-klagomål mail.docx", "A 34585-2025")</f>
        <v/>
      </c>
      <c r="X134">
        <f>HYPERLINK("https://klasma.github.io/Logging_2303/tillsyn/A 34585-2025 tillsynsbegäran.docx", "A 34585-2025")</f>
        <v/>
      </c>
      <c r="Y134">
        <f>HYPERLINK("https://klasma.github.io/Logging_2303/tillsynsmail/A 34585-2025 tillsynsbegäran mail.docx", "A 34585-2025")</f>
        <v/>
      </c>
    </row>
    <row r="135" ht="15" customHeight="1">
      <c r="A135" t="inlineStr">
        <is>
          <t>A 28178-2023</t>
        </is>
      </c>
      <c r="B135" s="1" t="n">
        <v>45093</v>
      </c>
      <c r="C135" s="1" t="n">
        <v>46036</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32416-2025</t>
        </is>
      </c>
      <c r="B136" s="1" t="n">
        <v>45838</v>
      </c>
      <c r="C136" s="1" t="n">
        <v>46036</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49047-2023</t>
        </is>
      </c>
      <c r="B137" s="1" t="n">
        <v>45209</v>
      </c>
      <c r="C137" s="1" t="n">
        <v>46036</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14814-2024</t>
        </is>
      </c>
      <c r="B138" s="1" t="n">
        <v>45397.95748842593</v>
      </c>
      <c r="C138" s="1" t="n">
        <v>46036</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46036</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46036</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46036</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61954-2025</t>
        </is>
      </c>
      <c r="B142" s="1" t="n">
        <v>46003.57381944444</v>
      </c>
      <c r="C142" s="1" t="n">
        <v>46036</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57941-2024</t>
        </is>
      </c>
      <c r="B143" s="1" t="n">
        <v>45631</v>
      </c>
      <c r="C143" s="1" t="n">
        <v>46036</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5048-2025</t>
        </is>
      </c>
      <c r="B144" s="1" t="n">
        <v>45691.44769675926</v>
      </c>
      <c r="C144" s="1" t="n">
        <v>46036</v>
      </c>
      <c r="D144" t="inlineStr">
        <is>
          <t>JÄMTLANDS LÄN</t>
        </is>
      </c>
      <c r="E144" t="inlineStr">
        <is>
          <t>RAGUNDA</t>
        </is>
      </c>
      <c r="F144" t="inlineStr">
        <is>
          <t>SCA</t>
        </is>
      </c>
      <c r="G144" t="n">
        <v>1.8</v>
      </c>
      <c r="H144" t="n">
        <v>3</v>
      </c>
      <c r="I144" t="n">
        <v>2</v>
      </c>
      <c r="J144" t="n">
        <v>0</v>
      </c>
      <c r="K144" t="n">
        <v>0</v>
      </c>
      <c r="L144" t="n">
        <v>0</v>
      </c>
      <c r="M144" t="n">
        <v>0</v>
      </c>
      <c r="N144" t="n">
        <v>0</v>
      </c>
      <c r="O144" t="n">
        <v>0</v>
      </c>
      <c r="P144" t="n">
        <v>0</v>
      </c>
      <c r="Q144" t="n">
        <v>3</v>
      </c>
      <c r="R144" s="2" t="inlineStr">
        <is>
          <t>Guckusko
Tvåblad
Fläcknycklar</t>
        </is>
      </c>
      <c r="S144">
        <f>HYPERLINK("https://klasma.github.io/Logging_2303/artfynd/A 5048-2025 artfynd.xlsx", "A 5048-2025")</f>
        <v/>
      </c>
      <c r="T144">
        <f>HYPERLINK("https://klasma.github.io/Logging_2303/kartor/A 5048-2025 karta.png", "A 5048-2025")</f>
        <v/>
      </c>
      <c r="V144">
        <f>HYPERLINK("https://klasma.github.io/Logging_2303/klagomål/A 5048-2025 FSC-klagomål.docx", "A 5048-2025")</f>
        <v/>
      </c>
      <c r="W144">
        <f>HYPERLINK("https://klasma.github.io/Logging_2303/klagomålsmail/A 5048-2025 FSC-klagomål mail.docx", "A 5048-2025")</f>
        <v/>
      </c>
      <c r="X144">
        <f>HYPERLINK("https://klasma.github.io/Logging_2303/tillsyn/A 5048-2025 tillsynsbegäran.docx", "A 5048-2025")</f>
        <v/>
      </c>
      <c r="Y144">
        <f>HYPERLINK("https://klasma.github.io/Logging_2303/tillsynsmail/A 5048-2025 tillsynsbegäran mail.docx", "A 5048-2025")</f>
        <v/>
      </c>
    </row>
    <row r="145" ht="15" customHeight="1">
      <c r="A145" t="inlineStr">
        <is>
          <t>A 57667-2025</t>
        </is>
      </c>
      <c r="B145" s="1" t="n">
        <v>45981.42767361111</v>
      </c>
      <c r="C145" s="1" t="n">
        <v>46036</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61790-2023</t>
        </is>
      </c>
      <c r="B146" s="1" t="n">
        <v>45265</v>
      </c>
      <c r="C146" s="1" t="n">
        <v>46036</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59179-2025</t>
        </is>
      </c>
      <c r="B147" s="1" t="n">
        <v>45988.57350694444</v>
      </c>
      <c r="C147" s="1" t="n">
        <v>46036</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48054-2022</t>
        </is>
      </c>
      <c r="B148" s="1" t="n">
        <v>44855</v>
      </c>
      <c r="C148" s="1" t="n">
        <v>46036</v>
      </c>
      <c r="D148" t="inlineStr">
        <is>
          <t>JÄMTLANDS LÄN</t>
        </is>
      </c>
      <c r="E148" t="inlineStr">
        <is>
          <t>RAGUNDA</t>
        </is>
      </c>
      <c r="F148" t="inlineStr">
        <is>
          <t>SCA</t>
        </is>
      </c>
      <c r="G148" t="n">
        <v>1.5</v>
      </c>
      <c r="H148" t="n">
        <v>2</v>
      </c>
      <c r="I148" t="n">
        <v>0</v>
      </c>
      <c r="J148" t="n">
        <v>1</v>
      </c>
      <c r="K148" t="n">
        <v>1</v>
      </c>
      <c r="L148" t="n">
        <v>0</v>
      </c>
      <c r="M148" t="n">
        <v>0</v>
      </c>
      <c r="N148" t="n">
        <v>0</v>
      </c>
      <c r="O148" t="n">
        <v>2</v>
      </c>
      <c r="P148" t="n">
        <v>1</v>
      </c>
      <c r="Q148" t="n">
        <v>3</v>
      </c>
      <c r="R148" s="2" t="inlineStr">
        <is>
          <t>Knärot
Lunglav
Blåsippa</t>
        </is>
      </c>
      <c r="S148">
        <f>HYPERLINK("https://klasma.github.io/Logging_2303/artfynd/A 48054-2022 artfynd.xlsx", "A 48054-2022")</f>
        <v/>
      </c>
      <c r="T148">
        <f>HYPERLINK("https://klasma.github.io/Logging_2303/kartor/A 48054-2022 karta.png", "A 48054-2022")</f>
        <v/>
      </c>
      <c r="U148">
        <f>HYPERLINK("https://klasma.github.io/Logging_2303/knärot/A 48054-2022 karta knärot.png", "A 48054-2022")</f>
        <v/>
      </c>
      <c r="V148">
        <f>HYPERLINK("https://klasma.github.io/Logging_2303/klagomål/A 48054-2022 FSC-klagomål.docx", "A 48054-2022")</f>
        <v/>
      </c>
      <c r="W148">
        <f>HYPERLINK("https://klasma.github.io/Logging_2303/klagomålsmail/A 48054-2022 FSC-klagomål mail.docx", "A 48054-2022")</f>
        <v/>
      </c>
      <c r="X148">
        <f>HYPERLINK("https://klasma.github.io/Logging_2303/tillsyn/A 48054-2022 tillsynsbegäran.docx", "A 48054-2022")</f>
        <v/>
      </c>
      <c r="Y148">
        <f>HYPERLINK("https://klasma.github.io/Logging_2303/tillsynsmail/A 48054-2022 tillsynsbegäran mail.docx", "A 48054-2022")</f>
        <v/>
      </c>
    </row>
    <row r="149" ht="15" customHeight="1">
      <c r="A149" t="inlineStr">
        <is>
          <t>A 20776-2024</t>
        </is>
      </c>
      <c r="B149" s="1" t="n">
        <v>45436.94686342592</v>
      </c>
      <c r="C149" s="1" t="n">
        <v>46036</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36504-2023</t>
        </is>
      </c>
      <c r="B150" s="1" t="n">
        <v>45152</v>
      </c>
      <c r="C150" s="1" t="n">
        <v>46036</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16305-2025</t>
        </is>
      </c>
      <c r="B151" s="1" t="n">
        <v>45751.34650462963</v>
      </c>
      <c r="C151" s="1" t="n">
        <v>46036</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22730-2023</t>
        </is>
      </c>
      <c r="B152" s="1" t="n">
        <v>45071</v>
      </c>
      <c r="C152" s="1" t="n">
        <v>46036</v>
      </c>
      <c r="D152" t="inlineStr">
        <is>
          <t>JÄMTLANDS LÄN</t>
        </is>
      </c>
      <c r="E152" t="inlineStr">
        <is>
          <t>RAGUNDA</t>
        </is>
      </c>
      <c r="G152" t="n">
        <v>3.6</v>
      </c>
      <c r="H152" t="n">
        <v>0</v>
      </c>
      <c r="I152" t="n">
        <v>0</v>
      </c>
      <c r="J152" t="n">
        <v>3</v>
      </c>
      <c r="K152" t="n">
        <v>0</v>
      </c>
      <c r="L152" t="n">
        <v>0</v>
      </c>
      <c r="M152" t="n">
        <v>0</v>
      </c>
      <c r="N152" t="n">
        <v>0</v>
      </c>
      <c r="O152" t="n">
        <v>3</v>
      </c>
      <c r="P152" t="n">
        <v>0</v>
      </c>
      <c r="Q152" t="n">
        <v>3</v>
      </c>
      <c r="R152" s="2" t="inlineStr">
        <is>
          <t>Garnlav
Lunglav
Vitgrynig nållav</t>
        </is>
      </c>
      <c r="S152">
        <f>HYPERLINK("https://klasma.github.io/Logging_2303/artfynd/A 22730-2023 artfynd.xlsx", "A 22730-2023")</f>
        <v/>
      </c>
      <c r="T152">
        <f>HYPERLINK("https://klasma.github.io/Logging_2303/kartor/A 22730-2023 karta.png", "A 22730-2023")</f>
        <v/>
      </c>
      <c r="V152">
        <f>HYPERLINK("https://klasma.github.io/Logging_2303/klagomål/A 22730-2023 FSC-klagomål.docx", "A 22730-2023")</f>
        <v/>
      </c>
      <c r="W152">
        <f>HYPERLINK("https://klasma.github.io/Logging_2303/klagomålsmail/A 22730-2023 FSC-klagomål mail.docx", "A 22730-2023")</f>
        <v/>
      </c>
      <c r="X152">
        <f>HYPERLINK("https://klasma.github.io/Logging_2303/tillsyn/A 22730-2023 tillsynsbegäran.docx", "A 22730-2023")</f>
        <v/>
      </c>
      <c r="Y152">
        <f>HYPERLINK("https://klasma.github.io/Logging_2303/tillsynsmail/A 22730-2023 tillsynsbegäran mail.docx", "A 22730-2023")</f>
        <v/>
      </c>
    </row>
    <row r="153" ht="15" customHeight="1">
      <c r="A153" t="inlineStr">
        <is>
          <t>A 33432-2023</t>
        </is>
      </c>
      <c r="B153" s="1" t="n">
        <v>45128</v>
      </c>
      <c r="C153" s="1" t="n">
        <v>46036</v>
      </c>
      <c r="D153" t="inlineStr">
        <is>
          <t>JÄMTLANDS LÄN</t>
        </is>
      </c>
      <c r="E153" t="inlineStr">
        <is>
          <t>RAGUNDA</t>
        </is>
      </c>
      <c r="F153" t="inlineStr">
        <is>
          <t>SCA</t>
        </is>
      </c>
      <c r="G153" t="n">
        <v>10</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33432-2023 artfynd.xlsx", "A 33432-2023")</f>
        <v/>
      </c>
      <c r="T153">
        <f>HYPERLINK("https://klasma.github.io/Logging_2303/kartor/A 33432-2023 karta.png", "A 33432-2023")</f>
        <v/>
      </c>
      <c r="V153">
        <f>HYPERLINK("https://klasma.github.io/Logging_2303/klagomål/A 33432-2023 FSC-klagomål.docx", "A 33432-2023")</f>
        <v/>
      </c>
      <c r="W153">
        <f>HYPERLINK("https://klasma.github.io/Logging_2303/klagomålsmail/A 33432-2023 FSC-klagomål mail.docx", "A 33432-2023")</f>
        <v/>
      </c>
      <c r="X153">
        <f>HYPERLINK("https://klasma.github.io/Logging_2303/tillsyn/A 33432-2023 tillsynsbegäran.docx", "A 33432-2023")</f>
        <v/>
      </c>
      <c r="Y153">
        <f>HYPERLINK("https://klasma.github.io/Logging_2303/tillsynsmail/A 33432-2023 tillsynsbegäran mail.docx", "A 33432-2023")</f>
        <v/>
      </c>
      <c r="Z153">
        <f>HYPERLINK("https://klasma.github.io/Logging_2303/fåglar/A 33432-2023 prioriterade fågelarter.docx", "A 33432-2023")</f>
        <v/>
      </c>
    </row>
    <row r="154" ht="15" customHeight="1">
      <c r="A154" t="inlineStr">
        <is>
          <t>A 21248-2025</t>
        </is>
      </c>
      <c r="B154" s="1" t="n">
        <v>45779.57392361111</v>
      </c>
      <c r="C154" s="1" t="n">
        <v>46036</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25769-2025</t>
        </is>
      </c>
      <c r="B155" s="1" t="n">
        <v>45804.34474537037</v>
      </c>
      <c r="C155" s="1" t="n">
        <v>46036</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17043-2022</t>
        </is>
      </c>
      <c r="B156" s="1" t="n">
        <v>44676</v>
      </c>
      <c r="C156" s="1" t="n">
        <v>46036</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46036</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19384-2025</t>
        </is>
      </c>
      <c r="B158" s="1" t="n">
        <v>45769.65692129629</v>
      </c>
      <c r="C158" s="1" t="n">
        <v>46036</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32736-2023</t>
        </is>
      </c>
      <c r="B159" s="1" t="n">
        <v>45121</v>
      </c>
      <c r="C159" s="1" t="n">
        <v>46036</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55647-2023</t>
        </is>
      </c>
      <c r="B160" s="1" t="n">
        <v>45238</v>
      </c>
      <c r="C160" s="1" t="n">
        <v>46036</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47267-2022</t>
        </is>
      </c>
      <c r="B161" s="1" t="n">
        <v>44852</v>
      </c>
      <c r="C161" s="1" t="n">
        <v>46036</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45021-2023</t>
        </is>
      </c>
      <c r="B162" s="1" t="n">
        <v>45190</v>
      </c>
      <c r="C162" s="1" t="n">
        <v>46036</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48427-2023</t>
        </is>
      </c>
      <c r="B163" s="1" t="n">
        <v>45205</v>
      </c>
      <c r="C163" s="1" t="n">
        <v>46036</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31960-2025</t>
        </is>
      </c>
      <c r="B164" s="1" t="n">
        <v>45835.344375</v>
      </c>
      <c r="C164" s="1" t="n">
        <v>46036</v>
      </c>
      <c r="D164" t="inlineStr">
        <is>
          <t>JÄMTLANDS LÄN</t>
        </is>
      </c>
      <c r="E164" t="inlineStr">
        <is>
          <t>RAGUNDA</t>
        </is>
      </c>
      <c r="F164" t="inlineStr">
        <is>
          <t>SCA</t>
        </is>
      </c>
      <c r="G164" t="n">
        <v>1.6</v>
      </c>
      <c r="H164" t="n">
        <v>0</v>
      </c>
      <c r="I164" t="n">
        <v>0</v>
      </c>
      <c r="J164" t="n">
        <v>2</v>
      </c>
      <c r="K164" t="n">
        <v>0</v>
      </c>
      <c r="L164" t="n">
        <v>0</v>
      </c>
      <c r="M164" t="n">
        <v>0</v>
      </c>
      <c r="N164" t="n">
        <v>0</v>
      </c>
      <c r="O164" t="n">
        <v>2</v>
      </c>
      <c r="P164" t="n">
        <v>0</v>
      </c>
      <c r="Q164" t="n">
        <v>2</v>
      </c>
      <c r="R164" s="2" t="inlineStr">
        <is>
          <t>Gammelgransskål
Garnlav</t>
        </is>
      </c>
      <c r="S164">
        <f>HYPERLINK("https://klasma.github.io/Logging_2303/artfynd/A 31960-2025 artfynd.xlsx", "A 31960-2025")</f>
        <v/>
      </c>
      <c r="T164">
        <f>HYPERLINK("https://klasma.github.io/Logging_2303/kartor/A 31960-2025 karta.png", "A 31960-2025")</f>
        <v/>
      </c>
      <c r="V164">
        <f>HYPERLINK("https://klasma.github.io/Logging_2303/klagomål/A 31960-2025 FSC-klagomål.docx", "A 31960-2025")</f>
        <v/>
      </c>
      <c r="W164">
        <f>HYPERLINK("https://klasma.github.io/Logging_2303/klagomålsmail/A 31960-2025 FSC-klagomål mail.docx", "A 31960-2025")</f>
        <v/>
      </c>
      <c r="X164">
        <f>HYPERLINK("https://klasma.github.io/Logging_2303/tillsyn/A 31960-2025 tillsynsbegäran.docx", "A 31960-2025")</f>
        <v/>
      </c>
      <c r="Y164">
        <f>HYPERLINK("https://klasma.github.io/Logging_2303/tillsynsmail/A 31960-2025 tillsynsbegäran mail.docx", "A 31960-2025")</f>
        <v/>
      </c>
    </row>
    <row r="165" ht="15" customHeight="1">
      <c r="A165" t="inlineStr">
        <is>
          <t>A 35131-2025</t>
        </is>
      </c>
      <c r="B165" s="1" t="n">
        <v>45852.63597222222</v>
      </c>
      <c r="C165" s="1" t="n">
        <v>46036</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30053-2024</t>
        </is>
      </c>
      <c r="B166" s="1" t="n">
        <v>45488.94747685185</v>
      </c>
      <c r="C166" s="1" t="n">
        <v>46036</v>
      </c>
      <c r="D166" t="inlineStr">
        <is>
          <t>JÄMTLANDS LÄN</t>
        </is>
      </c>
      <c r="E166" t="inlineStr">
        <is>
          <t>RAGUNDA</t>
        </is>
      </c>
      <c r="F166" t="inlineStr">
        <is>
          <t>SCA</t>
        </is>
      </c>
      <c r="G166" t="n">
        <v>9.6</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30053-2024 artfynd.xlsx", "A 30053-2024")</f>
        <v/>
      </c>
      <c r="T166">
        <f>HYPERLINK("https://klasma.github.io/Logging_2303/kartor/A 30053-2024 karta.png", "A 30053-2024")</f>
        <v/>
      </c>
      <c r="V166">
        <f>HYPERLINK("https://klasma.github.io/Logging_2303/klagomål/A 30053-2024 FSC-klagomål.docx", "A 30053-2024")</f>
        <v/>
      </c>
      <c r="W166">
        <f>HYPERLINK("https://klasma.github.io/Logging_2303/klagomålsmail/A 30053-2024 FSC-klagomål mail.docx", "A 30053-2024")</f>
        <v/>
      </c>
      <c r="X166">
        <f>HYPERLINK("https://klasma.github.io/Logging_2303/tillsyn/A 30053-2024 tillsynsbegäran.docx", "A 30053-2024")</f>
        <v/>
      </c>
      <c r="Y166">
        <f>HYPERLINK("https://klasma.github.io/Logging_2303/tillsynsmail/A 30053-2024 tillsynsbegäran mail.docx", "A 30053-2024")</f>
        <v/>
      </c>
    </row>
    <row r="167" ht="15" customHeight="1">
      <c r="A167" t="inlineStr">
        <is>
          <t>A 50089-2022</t>
        </is>
      </c>
      <c r="B167" s="1" t="n">
        <v>44865</v>
      </c>
      <c r="C167" s="1" t="n">
        <v>46036</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47850-2025</t>
        </is>
      </c>
      <c r="B168" s="1" t="n">
        <v>45932.38626157407</v>
      </c>
      <c r="C168" s="1" t="n">
        <v>46036</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11086-2025</t>
        </is>
      </c>
      <c r="B169" s="1" t="n">
        <v>45723.57329861111</v>
      </c>
      <c r="C169" s="1" t="n">
        <v>46036</v>
      </c>
      <c r="D169" t="inlineStr">
        <is>
          <t>JÄMTLANDS LÄN</t>
        </is>
      </c>
      <c r="E169" t="inlineStr">
        <is>
          <t>RAGUNDA</t>
        </is>
      </c>
      <c r="F169" t="inlineStr">
        <is>
          <t>SCA</t>
        </is>
      </c>
      <c r="G169" t="n">
        <v>10.8</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HYPERLINK("https://klasma.github.io/Logging_2303/artfynd/A 11086-2025 artfynd.xlsx", "A 11086-2025")</f>
        <v/>
      </c>
      <c r="T169">
        <f>HYPERLINK("https://klasma.github.io/Logging_2303/kartor/A 11086-2025 karta.png", "A 11086-2025")</f>
        <v/>
      </c>
      <c r="V169">
        <f>HYPERLINK("https://klasma.github.io/Logging_2303/klagomål/A 11086-2025 FSC-klagomål.docx", "A 11086-2025")</f>
        <v/>
      </c>
      <c r="W169">
        <f>HYPERLINK("https://klasma.github.io/Logging_2303/klagomålsmail/A 11086-2025 FSC-klagomål mail.docx", "A 11086-2025")</f>
        <v/>
      </c>
      <c r="X169">
        <f>HYPERLINK("https://klasma.github.io/Logging_2303/tillsyn/A 11086-2025 tillsynsbegäran.docx", "A 11086-2025")</f>
        <v/>
      </c>
      <c r="Y169">
        <f>HYPERLINK("https://klasma.github.io/Logging_2303/tillsynsmail/A 11086-2025 tillsynsbegäran mail.docx", "A 11086-2025")</f>
        <v/>
      </c>
    </row>
    <row r="170" ht="15" customHeight="1">
      <c r="A170" t="inlineStr">
        <is>
          <t>A 40826-2023</t>
        </is>
      </c>
      <c r="B170" s="1" t="n">
        <v>45171</v>
      </c>
      <c r="C170" s="1" t="n">
        <v>46036</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41490-2022</t>
        </is>
      </c>
      <c r="B171" s="1" t="n">
        <v>44826.94976851852</v>
      </c>
      <c r="C171" s="1" t="n">
        <v>46036</v>
      </c>
      <c r="D171" t="inlineStr">
        <is>
          <t>JÄMTLANDS LÄN</t>
        </is>
      </c>
      <c r="E171" t="inlineStr">
        <is>
          <t>RAGUNDA</t>
        </is>
      </c>
      <c r="F171" t="inlineStr">
        <is>
          <t>SCA</t>
        </is>
      </c>
      <c r="G171" t="n">
        <v>2.7</v>
      </c>
      <c r="H171" t="n">
        <v>0</v>
      </c>
      <c r="I171" t="n">
        <v>1</v>
      </c>
      <c r="J171" t="n">
        <v>1</v>
      </c>
      <c r="K171" t="n">
        <v>0</v>
      </c>
      <c r="L171" t="n">
        <v>0</v>
      </c>
      <c r="M171" t="n">
        <v>0</v>
      </c>
      <c r="N171" t="n">
        <v>0</v>
      </c>
      <c r="O171" t="n">
        <v>1</v>
      </c>
      <c r="P171" t="n">
        <v>0</v>
      </c>
      <c r="Q171" t="n">
        <v>2</v>
      </c>
      <c r="R171" s="2" t="inlineStr">
        <is>
          <t>Lunglav
Skinnlav</t>
        </is>
      </c>
      <c r="S171">
        <f>HYPERLINK("https://klasma.github.io/Logging_2303/artfynd/A 41490-2022 artfynd.xlsx", "A 41490-2022")</f>
        <v/>
      </c>
      <c r="T171">
        <f>HYPERLINK("https://klasma.github.io/Logging_2303/kartor/A 41490-2022 karta.png", "A 41490-2022")</f>
        <v/>
      </c>
      <c r="V171">
        <f>HYPERLINK("https://klasma.github.io/Logging_2303/klagomål/A 41490-2022 FSC-klagomål.docx", "A 41490-2022")</f>
        <v/>
      </c>
      <c r="W171">
        <f>HYPERLINK("https://klasma.github.io/Logging_2303/klagomålsmail/A 41490-2022 FSC-klagomål mail.docx", "A 41490-2022")</f>
        <v/>
      </c>
      <c r="X171">
        <f>HYPERLINK("https://klasma.github.io/Logging_2303/tillsyn/A 41490-2022 tillsynsbegäran.docx", "A 41490-2022")</f>
        <v/>
      </c>
      <c r="Y171">
        <f>HYPERLINK("https://klasma.github.io/Logging_2303/tillsynsmail/A 41490-2022 tillsynsbegäran mail.docx", "A 41490-2022")</f>
        <v/>
      </c>
    </row>
    <row r="172" ht="15" customHeight="1">
      <c r="A172" t="inlineStr">
        <is>
          <t>A 14502-2024</t>
        </is>
      </c>
      <c r="B172" s="1" t="n">
        <v>45394</v>
      </c>
      <c r="C172" s="1" t="n">
        <v>46036</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57940-2024</t>
        </is>
      </c>
      <c r="B173" s="1" t="n">
        <v>45631</v>
      </c>
      <c r="C173" s="1" t="n">
        <v>46036</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46771-2024</t>
        </is>
      </c>
      <c r="B174" s="1" t="n">
        <v>45583.49642361111</v>
      </c>
      <c r="C174" s="1" t="n">
        <v>46036</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44409-2023</t>
        </is>
      </c>
      <c r="B175" s="1" t="n">
        <v>45188</v>
      </c>
      <c r="C175" s="1" t="n">
        <v>46036</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62636-2025</t>
        </is>
      </c>
      <c r="B176" s="1" t="n">
        <v>46008.3653587963</v>
      </c>
      <c r="C176" s="1" t="n">
        <v>46036</v>
      </c>
      <c r="D176" t="inlineStr">
        <is>
          <t>JÄMTLANDS LÄN</t>
        </is>
      </c>
      <c r="E176" t="inlineStr">
        <is>
          <t>RAGUNDA</t>
        </is>
      </c>
      <c r="G176" t="n">
        <v>3.1</v>
      </c>
      <c r="H176" t="n">
        <v>1</v>
      </c>
      <c r="I176" t="n">
        <v>0</v>
      </c>
      <c r="J176" t="n">
        <v>2</v>
      </c>
      <c r="K176" t="n">
        <v>0</v>
      </c>
      <c r="L176" t="n">
        <v>0</v>
      </c>
      <c r="M176" t="n">
        <v>0</v>
      </c>
      <c r="N176" t="n">
        <v>0</v>
      </c>
      <c r="O176" t="n">
        <v>2</v>
      </c>
      <c r="P176" t="n">
        <v>0</v>
      </c>
      <c r="Q176" t="n">
        <v>2</v>
      </c>
      <c r="R176" s="2" t="inlineStr">
        <is>
          <t>Garnlav
Talltita</t>
        </is>
      </c>
      <c r="S176">
        <f>HYPERLINK("https://klasma.github.io/Logging_2303/artfynd/A 62636-2025 artfynd.xlsx", "A 62636-2025")</f>
        <v/>
      </c>
      <c r="T176">
        <f>HYPERLINK("https://klasma.github.io/Logging_2303/kartor/A 62636-2025 karta.png", "A 62636-2025")</f>
        <v/>
      </c>
      <c r="V176">
        <f>HYPERLINK("https://klasma.github.io/Logging_2303/klagomål/A 62636-2025 FSC-klagomål.docx", "A 62636-2025")</f>
        <v/>
      </c>
      <c r="W176">
        <f>HYPERLINK("https://klasma.github.io/Logging_2303/klagomålsmail/A 62636-2025 FSC-klagomål mail.docx", "A 62636-2025")</f>
        <v/>
      </c>
      <c r="X176">
        <f>HYPERLINK("https://klasma.github.io/Logging_2303/tillsyn/A 62636-2025 tillsynsbegäran.docx", "A 62636-2025")</f>
        <v/>
      </c>
      <c r="Y176">
        <f>HYPERLINK("https://klasma.github.io/Logging_2303/tillsynsmail/A 62636-2025 tillsynsbegäran mail.docx", "A 62636-2025")</f>
        <v/>
      </c>
      <c r="Z176">
        <f>HYPERLINK("https://klasma.github.io/Logging_2303/fåglar/A 62636-2025 prioriterade fågelarter.docx", "A 62636-2025")</f>
        <v/>
      </c>
    </row>
    <row r="177" ht="15" customHeight="1">
      <c r="A177" t="inlineStr">
        <is>
          <t>A 12271-2024</t>
        </is>
      </c>
      <c r="B177" s="1" t="n">
        <v>45378</v>
      </c>
      <c r="C177" s="1" t="n">
        <v>46036</v>
      </c>
      <c r="D177" t="inlineStr">
        <is>
          <t>JÄMTLANDS LÄN</t>
        </is>
      </c>
      <c r="E177" t="inlineStr">
        <is>
          <t>RAGUNDA</t>
        </is>
      </c>
      <c r="F177" t="inlineStr">
        <is>
          <t>Kommuner</t>
        </is>
      </c>
      <c r="G177" t="n">
        <v>6.1</v>
      </c>
      <c r="H177" t="n">
        <v>0</v>
      </c>
      <c r="I177" t="n">
        <v>0</v>
      </c>
      <c r="J177" t="n">
        <v>2</v>
      </c>
      <c r="K177" t="n">
        <v>0</v>
      </c>
      <c r="L177" t="n">
        <v>0</v>
      </c>
      <c r="M177" t="n">
        <v>0</v>
      </c>
      <c r="N177" t="n">
        <v>0</v>
      </c>
      <c r="O177" t="n">
        <v>2</v>
      </c>
      <c r="P177" t="n">
        <v>0</v>
      </c>
      <c r="Q177" t="n">
        <v>2</v>
      </c>
      <c r="R177" s="2" t="inlineStr">
        <is>
          <t>Garnlav
Lunglav</t>
        </is>
      </c>
      <c r="S177">
        <f>HYPERLINK("https://klasma.github.io/Logging_2303/artfynd/A 12271-2024 artfynd.xlsx", "A 12271-2024")</f>
        <v/>
      </c>
      <c r="T177">
        <f>HYPERLINK("https://klasma.github.io/Logging_2303/kartor/A 12271-2024 karta.png", "A 12271-2024")</f>
        <v/>
      </c>
      <c r="V177">
        <f>HYPERLINK("https://klasma.github.io/Logging_2303/klagomål/A 12271-2024 FSC-klagomål.docx", "A 12271-2024")</f>
        <v/>
      </c>
      <c r="W177">
        <f>HYPERLINK("https://klasma.github.io/Logging_2303/klagomålsmail/A 12271-2024 FSC-klagomål mail.docx", "A 12271-2024")</f>
        <v/>
      </c>
      <c r="X177">
        <f>HYPERLINK("https://klasma.github.io/Logging_2303/tillsyn/A 12271-2024 tillsynsbegäran.docx", "A 12271-2024")</f>
        <v/>
      </c>
      <c r="Y177">
        <f>HYPERLINK("https://klasma.github.io/Logging_2303/tillsynsmail/A 12271-2024 tillsynsbegäran mail.docx", "A 12271-2024")</f>
        <v/>
      </c>
    </row>
    <row r="178" ht="15" customHeight="1">
      <c r="A178" t="inlineStr">
        <is>
          <t>A 34715-2024</t>
        </is>
      </c>
      <c r="B178" s="1" t="n">
        <v>45526.56393518519</v>
      </c>
      <c r="C178" s="1" t="n">
        <v>46036</v>
      </c>
      <c r="D178" t="inlineStr">
        <is>
          <t>JÄMTLANDS LÄN</t>
        </is>
      </c>
      <c r="E178" t="inlineStr">
        <is>
          <t>RAGUNDA</t>
        </is>
      </c>
      <c r="F178" t="inlineStr">
        <is>
          <t>SCA</t>
        </is>
      </c>
      <c r="G178" t="n">
        <v>3</v>
      </c>
      <c r="H178" t="n">
        <v>0</v>
      </c>
      <c r="I178" t="n">
        <v>1</v>
      </c>
      <c r="J178" t="n">
        <v>1</v>
      </c>
      <c r="K178" t="n">
        <v>0</v>
      </c>
      <c r="L178" t="n">
        <v>0</v>
      </c>
      <c r="M178" t="n">
        <v>0</v>
      </c>
      <c r="N178" t="n">
        <v>0</v>
      </c>
      <c r="O178" t="n">
        <v>1</v>
      </c>
      <c r="P178" t="n">
        <v>0</v>
      </c>
      <c r="Q178" t="n">
        <v>2</v>
      </c>
      <c r="R178" s="2" t="inlineStr">
        <is>
          <t>Garnlav
Vedticka</t>
        </is>
      </c>
      <c r="S178">
        <f>HYPERLINK("https://klasma.github.io/Logging_2303/artfynd/A 34715-2024 artfynd.xlsx", "A 34715-2024")</f>
        <v/>
      </c>
      <c r="T178">
        <f>HYPERLINK("https://klasma.github.io/Logging_2303/kartor/A 34715-2024 karta.png", "A 34715-2024")</f>
        <v/>
      </c>
      <c r="V178">
        <f>HYPERLINK("https://klasma.github.io/Logging_2303/klagomål/A 34715-2024 FSC-klagomål.docx", "A 34715-2024")</f>
        <v/>
      </c>
      <c r="W178">
        <f>HYPERLINK("https://klasma.github.io/Logging_2303/klagomålsmail/A 34715-2024 FSC-klagomål mail.docx", "A 34715-2024")</f>
        <v/>
      </c>
      <c r="X178">
        <f>HYPERLINK("https://klasma.github.io/Logging_2303/tillsyn/A 34715-2024 tillsynsbegäran.docx", "A 34715-2024")</f>
        <v/>
      </c>
      <c r="Y178">
        <f>HYPERLINK("https://klasma.github.io/Logging_2303/tillsynsmail/A 34715-2024 tillsynsbegäran mail.docx", "A 34715-2024")</f>
        <v/>
      </c>
    </row>
    <row r="179" ht="15" customHeight="1">
      <c r="A179" t="inlineStr">
        <is>
          <t>A 56634-2025</t>
        </is>
      </c>
      <c r="B179" s="1" t="n">
        <v>45975.61619212963</v>
      </c>
      <c r="C179" s="1" t="n">
        <v>46036</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10866-2025</t>
        </is>
      </c>
      <c r="B180" s="1" t="n">
        <v>45722.61543981481</v>
      </c>
      <c r="C180" s="1" t="n">
        <v>46036</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10884-2025</t>
        </is>
      </c>
      <c r="B181" s="1" t="n">
        <v>45722.65670138889</v>
      </c>
      <c r="C181" s="1" t="n">
        <v>46036</v>
      </c>
      <c r="D181" t="inlineStr">
        <is>
          <t>JÄMTLANDS LÄN</t>
        </is>
      </c>
      <c r="E181" t="inlineStr">
        <is>
          <t>RAGUNDA</t>
        </is>
      </c>
      <c r="F181" t="inlineStr">
        <is>
          <t>SCA</t>
        </is>
      </c>
      <c r="G181" t="n">
        <v>5.4</v>
      </c>
      <c r="H181" t="n">
        <v>0</v>
      </c>
      <c r="I181" t="n">
        <v>1</v>
      </c>
      <c r="J181" t="n">
        <v>1</v>
      </c>
      <c r="K181" t="n">
        <v>0</v>
      </c>
      <c r="L181" t="n">
        <v>0</v>
      </c>
      <c r="M181" t="n">
        <v>0</v>
      </c>
      <c r="N181" t="n">
        <v>0</v>
      </c>
      <c r="O181" t="n">
        <v>1</v>
      </c>
      <c r="P181" t="n">
        <v>0</v>
      </c>
      <c r="Q181" t="n">
        <v>2</v>
      </c>
      <c r="R181" s="2" t="inlineStr">
        <is>
          <t>Vitgrynig nållav
Dropptaggsvamp</t>
        </is>
      </c>
      <c r="S181">
        <f>HYPERLINK("https://klasma.github.io/Logging_2303/artfynd/A 10884-2025 artfynd.xlsx", "A 10884-2025")</f>
        <v/>
      </c>
      <c r="T181">
        <f>HYPERLINK("https://klasma.github.io/Logging_2303/kartor/A 10884-2025 karta.png", "A 10884-2025")</f>
        <v/>
      </c>
      <c r="V181">
        <f>HYPERLINK("https://klasma.github.io/Logging_2303/klagomål/A 10884-2025 FSC-klagomål.docx", "A 10884-2025")</f>
        <v/>
      </c>
      <c r="W181">
        <f>HYPERLINK("https://klasma.github.io/Logging_2303/klagomålsmail/A 10884-2025 FSC-klagomål mail.docx", "A 10884-2025")</f>
        <v/>
      </c>
      <c r="X181">
        <f>HYPERLINK("https://klasma.github.io/Logging_2303/tillsyn/A 10884-2025 tillsynsbegäran.docx", "A 10884-2025")</f>
        <v/>
      </c>
      <c r="Y181">
        <f>HYPERLINK("https://klasma.github.io/Logging_2303/tillsynsmail/A 10884-2025 tillsynsbegäran mail.docx", "A 10884-2025")</f>
        <v/>
      </c>
    </row>
    <row r="182" ht="15" customHeight="1">
      <c r="A182" t="inlineStr">
        <is>
          <t>A 3838-2024</t>
        </is>
      </c>
      <c r="B182" s="1" t="n">
        <v>45321</v>
      </c>
      <c r="C182" s="1" t="n">
        <v>46036</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36756-2023</t>
        </is>
      </c>
      <c r="B183" s="1" t="n">
        <v>45153</v>
      </c>
      <c r="C183" s="1" t="n">
        <v>46036</v>
      </c>
      <c r="D183" t="inlineStr">
        <is>
          <t>JÄMTLANDS LÄN</t>
        </is>
      </c>
      <c r="E183" t="inlineStr">
        <is>
          <t>RAGUNDA</t>
        </is>
      </c>
      <c r="G183" t="n">
        <v>3.5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HYPERLINK("https://klasma.github.io/Logging_2303/artfynd/A 36756-2023 artfynd.xlsx", "A 36756-2023")</f>
        <v/>
      </c>
      <c r="T183">
        <f>HYPERLINK("https://klasma.github.io/Logging_2303/kartor/A 36756-2023 karta.png", "A 36756-2023")</f>
        <v/>
      </c>
      <c r="V183">
        <f>HYPERLINK("https://klasma.github.io/Logging_2303/klagomål/A 36756-2023 FSC-klagomål.docx", "A 36756-2023")</f>
        <v/>
      </c>
      <c r="W183">
        <f>HYPERLINK("https://klasma.github.io/Logging_2303/klagomålsmail/A 36756-2023 FSC-klagomål mail.docx", "A 36756-2023")</f>
        <v/>
      </c>
      <c r="X183">
        <f>HYPERLINK("https://klasma.github.io/Logging_2303/tillsyn/A 36756-2023 tillsynsbegäran.docx", "A 36756-2023")</f>
        <v/>
      </c>
      <c r="Y183">
        <f>HYPERLINK("https://klasma.github.io/Logging_2303/tillsynsmail/A 36756-2023 tillsynsbegäran mail.docx", "A 36756-2023")</f>
        <v/>
      </c>
      <c r="Z183">
        <f>HYPERLINK("https://klasma.github.io/Logging_2303/fåglar/A 36756-2023 prioriterade fågelarter.docx", "A 36756-2023")</f>
        <v/>
      </c>
    </row>
    <row r="184" ht="15" customHeight="1">
      <c r="A184" t="inlineStr">
        <is>
          <t>A 56285-2023</t>
        </is>
      </c>
      <c r="B184" s="1" t="n">
        <v>45241</v>
      </c>
      <c r="C184" s="1" t="n">
        <v>46036</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39495-2024</t>
        </is>
      </c>
      <c r="B185" s="1" t="n">
        <v>45551.65726851852</v>
      </c>
      <c r="C185" s="1" t="n">
        <v>46036</v>
      </c>
      <c r="D185" t="inlineStr">
        <is>
          <t>JÄMTLANDS LÄN</t>
        </is>
      </c>
      <c r="E185" t="inlineStr">
        <is>
          <t>RAGUNDA</t>
        </is>
      </c>
      <c r="F185" t="inlineStr">
        <is>
          <t>SCA</t>
        </is>
      </c>
      <c r="G185" t="n">
        <v>6.6</v>
      </c>
      <c r="H185" t="n">
        <v>0</v>
      </c>
      <c r="I185" t="n">
        <v>0</v>
      </c>
      <c r="J185" t="n">
        <v>2</v>
      </c>
      <c r="K185" t="n">
        <v>0</v>
      </c>
      <c r="L185" t="n">
        <v>0</v>
      </c>
      <c r="M185" t="n">
        <v>0</v>
      </c>
      <c r="N185" t="n">
        <v>0</v>
      </c>
      <c r="O185" t="n">
        <v>2</v>
      </c>
      <c r="P185" t="n">
        <v>0</v>
      </c>
      <c r="Q185" t="n">
        <v>2</v>
      </c>
      <c r="R185" s="2" t="inlineStr">
        <is>
          <t>Garnlav
Ullticka</t>
        </is>
      </c>
      <c r="S185">
        <f>HYPERLINK("https://klasma.github.io/Logging_2303/artfynd/A 39495-2024 artfynd.xlsx", "A 39495-2024")</f>
        <v/>
      </c>
      <c r="T185">
        <f>HYPERLINK("https://klasma.github.io/Logging_2303/kartor/A 39495-2024 karta.png", "A 39495-2024")</f>
        <v/>
      </c>
      <c r="V185">
        <f>HYPERLINK("https://klasma.github.io/Logging_2303/klagomål/A 39495-2024 FSC-klagomål.docx", "A 39495-2024")</f>
        <v/>
      </c>
      <c r="W185">
        <f>HYPERLINK("https://klasma.github.io/Logging_2303/klagomålsmail/A 39495-2024 FSC-klagomål mail.docx", "A 39495-2024")</f>
        <v/>
      </c>
      <c r="X185">
        <f>HYPERLINK("https://klasma.github.io/Logging_2303/tillsyn/A 39495-2024 tillsynsbegäran.docx", "A 39495-2024")</f>
        <v/>
      </c>
      <c r="Y185">
        <f>HYPERLINK("https://klasma.github.io/Logging_2303/tillsynsmail/A 39495-2024 tillsynsbegäran mail.docx", "A 39495-2024")</f>
        <v/>
      </c>
    </row>
    <row r="186" ht="15" customHeight="1">
      <c r="A186" t="inlineStr">
        <is>
          <t>A 19728-2025</t>
        </is>
      </c>
      <c r="B186" s="1" t="n">
        <v>45771.36548611111</v>
      </c>
      <c r="C186" s="1" t="n">
        <v>46036</v>
      </c>
      <c r="D186" t="inlineStr">
        <is>
          <t>JÄMTLANDS LÄN</t>
        </is>
      </c>
      <c r="E186" t="inlineStr">
        <is>
          <t>RAGUNDA</t>
        </is>
      </c>
      <c r="F186" t="inlineStr">
        <is>
          <t>SCA</t>
        </is>
      </c>
      <c r="G186" t="n">
        <v>6.2</v>
      </c>
      <c r="H186" t="n">
        <v>1</v>
      </c>
      <c r="I186" t="n">
        <v>0</v>
      </c>
      <c r="J186" t="n">
        <v>2</v>
      </c>
      <c r="K186" t="n">
        <v>0</v>
      </c>
      <c r="L186" t="n">
        <v>0</v>
      </c>
      <c r="M186" t="n">
        <v>0</v>
      </c>
      <c r="N186" t="n">
        <v>0</v>
      </c>
      <c r="O186" t="n">
        <v>2</v>
      </c>
      <c r="P186" t="n">
        <v>0</v>
      </c>
      <c r="Q186" t="n">
        <v>2</v>
      </c>
      <c r="R186" s="2" t="inlineStr">
        <is>
          <t>Stjärntagging
Tretåig hackspett</t>
        </is>
      </c>
      <c r="S186">
        <f>HYPERLINK("https://klasma.github.io/Logging_2303/artfynd/A 19728-2025 artfynd.xlsx", "A 19728-2025")</f>
        <v/>
      </c>
      <c r="T186">
        <f>HYPERLINK("https://klasma.github.io/Logging_2303/kartor/A 19728-2025 karta.png", "A 19728-2025")</f>
        <v/>
      </c>
      <c r="V186">
        <f>HYPERLINK("https://klasma.github.io/Logging_2303/klagomål/A 19728-2025 FSC-klagomål.docx", "A 19728-2025")</f>
        <v/>
      </c>
      <c r="W186">
        <f>HYPERLINK("https://klasma.github.io/Logging_2303/klagomålsmail/A 19728-2025 FSC-klagomål mail.docx", "A 19728-2025")</f>
        <v/>
      </c>
      <c r="X186">
        <f>HYPERLINK("https://klasma.github.io/Logging_2303/tillsyn/A 19728-2025 tillsynsbegäran.docx", "A 19728-2025")</f>
        <v/>
      </c>
      <c r="Y186">
        <f>HYPERLINK("https://klasma.github.io/Logging_2303/tillsynsmail/A 19728-2025 tillsynsbegäran mail.docx", "A 19728-2025")</f>
        <v/>
      </c>
      <c r="Z186">
        <f>HYPERLINK("https://klasma.github.io/Logging_2303/fåglar/A 19728-2025 prioriterade fågelarter.docx", "A 19728-2025")</f>
        <v/>
      </c>
    </row>
    <row r="187" ht="15" customHeight="1">
      <c r="A187" t="inlineStr">
        <is>
          <t>A 45035-2023</t>
        </is>
      </c>
      <c r="B187" s="1" t="n">
        <v>45191</v>
      </c>
      <c r="C187" s="1" t="n">
        <v>46036</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11544-2024</t>
        </is>
      </c>
      <c r="B188" s="1" t="n">
        <v>45372.95680555556</v>
      </c>
      <c r="C188" s="1" t="n">
        <v>46036</v>
      </c>
      <c r="D188" t="inlineStr">
        <is>
          <t>JÄMTLANDS LÄN</t>
        </is>
      </c>
      <c r="E188" t="inlineStr">
        <is>
          <t>RAGUNDA</t>
        </is>
      </c>
      <c r="F188" t="inlineStr">
        <is>
          <t>SCA</t>
        </is>
      </c>
      <c r="G188" t="n">
        <v>15.5</v>
      </c>
      <c r="H188" t="n">
        <v>0</v>
      </c>
      <c r="I188" t="n">
        <v>0</v>
      </c>
      <c r="J188" t="n">
        <v>2</v>
      </c>
      <c r="K188" t="n">
        <v>0</v>
      </c>
      <c r="L188" t="n">
        <v>0</v>
      </c>
      <c r="M188" t="n">
        <v>0</v>
      </c>
      <c r="N188" t="n">
        <v>0</v>
      </c>
      <c r="O188" t="n">
        <v>2</v>
      </c>
      <c r="P188" t="n">
        <v>0</v>
      </c>
      <c r="Q188" t="n">
        <v>2</v>
      </c>
      <c r="R188" s="2" t="inlineStr">
        <is>
          <t>Granticka
Mörk kolflarnlav</t>
        </is>
      </c>
      <c r="S188">
        <f>HYPERLINK("https://klasma.github.io/Logging_2303/artfynd/A 11544-2024 artfynd.xlsx", "A 11544-2024")</f>
        <v/>
      </c>
      <c r="T188">
        <f>HYPERLINK("https://klasma.github.io/Logging_2303/kartor/A 11544-2024 karta.png", "A 11544-2024")</f>
        <v/>
      </c>
      <c r="V188">
        <f>HYPERLINK("https://klasma.github.io/Logging_2303/klagomål/A 11544-2024 FSC-klagomål.docx", "A 11544-2024")</f>
        <v/>
      </c>
      <c r="W188">
        <f>HYPERLINK("https://klasma.github.io/Logging_2303/klagomålsmail/A 11544-2024 FSC-klagomål mail.docx", "A 11544-2024")</f>
        <v/>
      </c>
      <c r="X188">
        <f>HYPERLINK("https://klasma.github.io/Logging_2303/tillsyn/A 11544-2024 tillsynsbegäran.docx", "A 11544-2024")</f>
        <v/>
      </c>
      <c r="Y188">
        <f>HYPERLINK("https://klasma.github.io/Logging_2303/tillsynsmail/A 11544-2024 tillsynsbegäran mail.docx", "A 11544-2024")</f>
        <v/>
      </c>
    </row>
    <row r="189" ht="15" customHeight="1">
      <c r="A189" t="inlineStr">
        <is>
          <t>A 11843-2023</t>
        </is>
      </c>
      <c r="B189" s="1" t="n">
        <v>44993</v>
      </c>
      <c r="C189" s="1" t="n">
        <v>46036</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17733-2022</t>
        </is>
      </c>
      <c r="B190" s="1" t="n">
        <v>44680</v>
      </c>
      <c r="C190" s="1" t="n">
        <v>46036</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26482-2023</t>
        </is>
      </c>
      <c r="B191" s="1" t="n">
        <v>45089</v>
      </c>
      <c r="C191" s="1" t="n">
        <v>46036</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46036</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46036</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21245-2025</t>
        </is>
      </c>
      <c r="B194" s="1" t="n">
        <v>45779.57350694444</v>
      </c>
      <c r="C194" s="1" t="n">
        <v>46036</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25155-2025</t>
        </is>
      </c>
      <c r="B195" s="1" t="n">
        <v>45800.42782407408</v>
      </c>
      <c r="C195" s="1" t="n">
        <v>46036</v>
      </c>
      <c r="D195" t="inlineStr">
        <is>
          <t>JÄMTLANDS LÄN</t>
        </is>
      </c>
      <c r="E195" t="inlineStr">
        <is>
          <t>RAGUNDA</t>
        </is>
      </c>
      <c r="F195" t="inlineStr">
        <is>
          <t>SCA</t>
        </is>
      </c>
      <c r="G195" t="n">
        <v>1.7</v>
      </c>
      <c r="H195" t="n">
        <v>1</v>
      </c>
      <c r="I195" t="n">
        <v>0</v>
      </c>
      <c r="J195" t="n">
        <v>1</v>
      </c>
      <c r="K195" t="n">
        <v>0</v>
      </c>
      <c r="L195" t="n">
        <v>0</v>
      </c>
      <c r="M195" t="n">
        <v>0</v>
      </c>
      <c r="N195" t="n">
        <v>0</v>
      </c>
      <c r="O195" t="n">
        <v>1</v>
      </c>
      <c r="P195" t="n">
        <v>0</v>
      </c>
      <c r="Q195" t="n">
        <v>2</v>
      </c>
      <c r="R195" s="2" t="inlineStr">
        <is>
          <t>Leptoporus mollis
Fläcknycklar</t>
        </is>
      </c>
      <c r="S195">
        <f>HYPERLINK("https://klasma.github.io/Logging_2303/artfynd/A 25155-2025 artfynd.xlsx", "A 25155-2025")</f>
        <v/>
      </c>
      <c r="T195">
        <f>HYPERLINK("https://klasma.github.io/Logging_2303/kartor/A 25155-2025 karta.png", "A 25155-2025")</f>
        <v/>
      </c>
      <c r="V195">
        <f>HYPERLINK("https://klasma.github.io/Logging_2303/klagomål/A 25155-2025 FSC-klagomål.docx", "A 25155-2025")</f>
        <v/>
      </c>
      <c r="W195">
        <f>HYPERLINK("https://klasma.github.io/Logging_2303/klagomålsmail/A 25155-2025 FSC-klagomål mail.docx", "A 25155-2025")</f>
        <v/>
      </c>
      <c r="X195">
        <f>HYPERLINK("https://klasma.github.io/Logging_2303/tillsyn/A 25155-2025 tillsynsbegäran.docx", "A 25155-2025")</f>
        <v/>
      </c>
      <c r="Y195">
        <f>HYPERLINK("https://klasma.github.io/Logging_2303/tillsynsmail/A 25155-2025 tillsynsbegäran mail.docx", "A 25155-2025")</f>
        <v/>
      </c>
    </row>
    <row r="196" ht="15" customHeight="1">
      <c r="A196" t="inlineStr">
        <is>
          <t>A 51916-2021</t>
        </is>
      </c>
      <c r="B196" s="1" t="n">
        <v>44462</v>
      </c>
      <c r="C196" s="1" t="n">
        <v>46036</v>
      </c>
      <c r="D196" t="inlineStr">
        <is>
          <t>JÄMTLANDS LÄN</t>
        </is>
      </c>
      <c r="E196" t="inlineStr">
        <is>
          <t>RAGUNDA</t>
        </is>
      </c>
      <c r="F196" t="inlineStr">
        <is>
          <t>SCA</t>
        </is>
      </c>
      <c r="G196" t="n">
        <v>3</v>
      </c>
      <c r="H196" t="n">
        <v>1</v>
      </c>
      <c r="I196" t="n">
        <v>0</v>
      </c>
      <c r="J196" t="n">
        <v>1</v>
      </c>
      <c r="K196" t="n">
        <v>0</v>
      </c>
      <c r="L196" t="n">
        <v>0</v>
      </c>
      <c r="M196" t="n">
        <v>0</v>
      </c>
      <c r="N196" t="n">
        <v>0</v>
      </c>
      <c r="O196" t="n">
        <v>1</v>
      </c>
      <c r="P196" t="n">
        <v>0</v>
      </c>
      <c r="Q196" t="n">
        <v>1</v>
      </c>
      <c r="R196" s="2" t="inlineStr">
        <is>
          <t>Varglav</t>
        </is>
      </c>
      <c r="S196">
        <f>HYPERLINK("https://klasma.github.io/Logging_2303/artfynd/A 51916-2021 artfynd.xlsx", "A 51916-2021")</f>
        <v/>
      </c>
      <c r="T196">
        <f>HYPERLINK("https://klasma.github.io/Logging_2303/kartor/A 51916-2021 karta.png", "A 51916-2021")</f>
        <v/>
      </c>
      <c r="V196">
        <f>HYPERLINK("https://klasma.github.io/Logging_2303/klagomål/A 51916-2021 FSC-klagomål.docx", "A 51916-2021")</f>
        <v/>
      </c>
      <c r="W196">
        <f>HYPERLINK("https://klasma.github.io/Logging_2303/klagomålsmail/A 51916-2021 FSC-klagomål mail.docx", "A 51916-2021")</f>
        <v/>
      </c>
      <c r="X196">
        <f>HYPERLINK("https://klasma.github.io/Logging_2303/tillsyn/A 51916-2021 tillsynsbegäran.docx", "A 51916-2021")</f>
        <v/>
      </c>
      <c r="Y196">
        <f>HYPERLINK("https://klasma.github.io/Logging_2303/tillsynsmail/A 51916-2021 tillsynsbegäran mail.docx", "A 51916-2021")</f>
        <v/>
      </c>
    </row>
    <row r="197" ht="15" customHeight="1">
      <c r="A197" t="inlineStr">
        <is>
          <t>A 21275-2022</t>
        </is>
      </c>
      <c r="B197" s="1" t="n">
        <v>44705</v>
      </c>
      <c r="C197" s="1" t="n">
        <v>46036</v>
      </c>
      <c r="D197" t="inlineStr">
        <is>
          <t>JÄMTLANDS LÄN</t>
        </is>
      </c>
      <c r="E197" t="inlineStr">
        <is>
          <t>RAGUNDA</t>
        </is>
      </c>
      <c r="G197" t="n">
        <v>2.2</v>
      </c>
      <c r="H197" t="n">
        <v>0</v>
      </c>
      <c r="I197" t="n">
        <v>1</v>
      </c>
      <c r="J197" t="n">
        <v>0</v>
      </c>
      <c r="K197" t="n">
        <v>0</v>
      </c>
      <c r="L197" t="n">
        <v>0</v>
      </c>
      <c r="M197" t="n">
        <v>0</v>
      </c>
      <c r="N197" t="n">
        <v>0</v>
      </c>
      <c r="O197" t="n">
        <v>0</v>
      </c>
      <c r="P197" t="n">
        <v>0</v>
      </c>
      <c r="Q197" t="n">
        <v>1</v>
      </c>
      <c r="R197" s="2" t="inlineStr">
        <is>
          <t>Kransrams</t>
        </is>
      </c>
      <c r="S197">
        <f>HYPERLINK("https://klasma.github.io/Logging_2303/artfynd/A 21275-2022 artfynd.xlsx", "A 21275-2022")</f>
        <v/>
      </c>
      <c r="T197">
        <f>HYPERLINK("https://klasma.github.io/Logging_2303/kartor/A 21275-2022 karta.png", "A 21275-2022")</f>
        <v/>
      </c>
      <c r="V197">
        <f>HYPERLINK("https://klasma.github.io/Logging_2303/klagomål/A 21275-2022 FSC-klagomål.docx", "A 21275-2022")</f>
        <v/>
      </c>
      <c r="W197">
        <f>HYPERLINK("https://klasma.github.io/Logging_2303/klagomålsmail/A 21275-2022 FSC-klagomål mail.docx", "A 21275-2022")</f>
        <v/>
      </c>
      <c r="X197">
        <f>HYPERLINK("https://klasma.github.io/Logging_2303/tillsyn/A 21275-2022 tillsynsbegäran.docx", "A 21275-2022")</f>
        <v/>
      </c>
      <c r="Y197">
        <f>HYPERLINK("https://klasma.github.io/Logging_2303/tillsynsmail/A 21275-2022 tillsynsbegäran mail.docx", "A 21275-2022")</f>
        <v/>
      </c>
    </row>
    <row r="198" ht="15" customHeight="1">
      <c r="A198" t="inlineStr">
        <is>
          <t>A 27273-2022</t>
        </is>
      </c>
      <c r="B198" s="1" t="n">
        <v>44741</v>
      </c>
      <c r="C198" s="1" t="n">
        <v>46036</v>
      </c>
      <c r="D198" t="inlineStr">
        <is>
          <t>JÄMTLANDS LÄN</t>
        </is>
      </c>
      <c r="E198" t="inlineStr">
        <is>
          <t>RAGUNDA</t>
        </is>
      </c>
      <c r="G198" t="n">
        <v>1.2</v>
      </c>
      <c r="H198" t="n">
        <v>0</v>
      </c>
      <c r="I198" t="n">
        <v>1</v>
      </c>
      <c r="J198" t="n">
        <v>0</v>
      </c>
      <c r="K198" t="n">
        <v>0</v>
      </c>
      <c r="L198" t="n">
        <v>0</v>
      </c>
      <c r="M198" t="n">
        <v>0</v>
      </c>
      <c r="N198" t="n">
        <v>0</v>
      </c>
      <c r="O198" t="n">
        <v>0</v>
      </c>
      <c r="P198" t="n">
        <v>0</v>
      </c>
      <c r="Q198" t="n">
        <v>1</v>
      </c>
      <c r="R198" s="2" t="inlineStr">
        <is>
          <t>Svart trolldruva</t>
        </is>
      </c>
      <c r="S198">
        <f>HYPERLINK("https://klasma.github.io/Logging_2303/artfynd/A 27273-2022 artfynd.xlsx", "A 27273-2022")</f>
        <v/>
      </c>
      <c r="T198">
        <f>HYPERLINK("https://klasma.github.io/Logging_2303/kartor/A 27273-2022 karta.png", "A 27273-2022")</f>
        <v/>
      </c>
      <c r="V198">
        <f>HYPERLINK("https://klasma.github.io/Logging_2303/klagomål/A 27273-2022 FSC-klagomål.docx", "A 27273-2022")</f>
        <v/>
      </c>
      <c r="W198">
        <f>HYPERLINK("https://klasma.github.io/Logging_2303/klagomålsmail/A 27273-2022 FSC-klagomål mail.docx", "A 27273-2022")</f>
        <v/>
      </c>
      <c r="X198">
        <f>HYPERLINK("https://klasma.github.io/Logging_2303/tillsyn/A 27273-2022 tillsynsbegäran.docx", "A 27273-2022")</f>
        <v/>
      </c>
      <c r="Y198">
        <f>HYPERLINK("https://klasma.github.io/Logging_2303/tillsynsmail/A 27273-2022 tillsynsbegäran mail.docx", "A 27273-2022")</f>
        <v/>
      </c>
    </row>
    <row r="199" ht="15" customHeight="1">
      <c r="A199" t="inlineStr">
        <is>
          <t>A 31477-2022</t>
        </is>
      </c>
      <c r="B199" s="1" t="n">
        <v>44774.94347222222</v>
      </c>
      <c r="C199" s="1" t="n">
        <v>46036</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27286-2022</t>
        </is>
      </c>
      <c r="B200" s="1" t="n">
        <v>44741</v>
      </c>
      <c r="C200" s="1" t="n">
        <v>46036</v>
      </c>
      <c r="D200" t="inlineStr">
        <is>
          <t>JÄMTLANDS LÄN</t>
        </is>
      </c>
      <c r="E200" t="inlineStr">
        <is>
          <t>RAGUNDA</t>
        </is>
      </c>
      <c r="F200" t="inlineStr">
        <is>
          <t>SCA</t>
        </is>
      </c>
      <c r="G200" t="n">
        <v>3.1</v>
      </c>
      <c r="H200" t="n">
        <v>0</v>
      </c>
      <c r="I200" t="n">
        <v>0</v>
      </c>
      <c r="J200" t="n">
        <v>1</v>
      </c>
      <c r="K200" t="n">
        <v>0</v>
      </c>
      <c r="L200" t="n">
        <v>0</v>
      </c>
      <c r="M200" t="n">
        <v>0</v>
      </c>
      <c r="N200" t="n">
        <v>0</v>
      </c>
      <c r="O200" t="n">
        <v>1</v>
      </c>
      <c r="P200" t="n">
        <v>0</v>
      </c>
      <c r="Q200" t="n">
        <v>1</v>
      </c>
      <c r="R200" s="2" t="inlineStr">
        <is>
          <t>Harticka</t>
        </is>
      </c>
      <c r="S200">
        <f>HYPERLINK("https://klasma.github.io/Logging_2303/artfynd/A 27286-2022 artfynd.xlsx", "A 27286-2022")</f>
        <v/>
      </c>
      <c r="T200">
        <f>HYPERLINK("https://klasma.github.io/Logging_2303/kartor/A 27286-2022 karta.png", "A 27286-2022")</f>
        <v/>
      </c>
      <c r="V200">
        <f>HYPERLINK("https://klasma.github.io/Logging_2303/klagomål/A 27286-2022 FSC-klagomål.docx", "A 27286-2022")</f>
        <v/>
      </c>
      <c r="W200">
        <f>HYPERLINK("https://klasma.github.io/Logging_2303/klagomålsmail/A 27286-2022 FSC-klagomål mail.docx", "A 27286-2022")</f>
        <v/>
      </c>
      <c r="X200">
        <f>HYPERLINK("https://klasma.github.io/Logging_2303/tillsyn/A 27286-2022 tillsynsbegäran.docx", "A 27286-2022")</f>
        <v/>
      </c>
      <c r="Y200">
        <f>HYPERLINK("https://klasma.github.io/Logging_2303/tillsynsmail/A 27286-2022 tillsynsbegäran mail.docx", "A 27286-2022")</f>
        <v/>
      </c>
    </row>
    <row r="201" ht="15" customHeight="1">
      <c r="A201" t="inlineStr">
        <is>
          <t>A 42899-2022</t>
        </is>
      </c>
      <c r="B201" s="1" t="n">
        <v>44832</v>
      </c>
      <c r="C201" s="1" t="n">
        <v>46036</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6703-2024</t>
        </is>
      </c>
      <c r="B202" s="1" t="n">
        <v>45341</v>
      </c>
      <c r="C202" s="1" t="n">
        <v>46036</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20575-2025</t>
        </is>
      </c>
      <c r="B203" s="1" t="n">
        <v>45775.67769675926</v>
      </c>
      <c r="C203" s="1" t="n">
        <v>46036</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59104-2023</t>
        </is>
      </c>
      <c r="B204" s="1" t="n">
        <v>45252</v>
      </c>
      <c r="C204" s="1" t="n">
        <v>46036</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25694-2023</t>
        </is>
      </c>
      <c r="B205" s="1" t="n">
        <v>45089</v>
      </c>
      <c r="C205" s="1" t="n">
        <v>46036</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11040-2023</t>
        </is>
      </c>
      <c r="B206" s="1" t="n">
        <v>44991</v>
      </c>
      <c r="C206" s="1" t="n">
        <v>46036</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36975-2023</t>
        </is>
      </c>
      <c r="B207" s="1" t="n">
        <v>45154</v>
      </c>
      <c r="C207" s="1" t="n">
        <v>46036</v>
      </c>
      <c r="D207" t="inlineStr">
        <is>
          <t>JÄMTLANDS LÄN</t>
        </is>
      </c>
      <c r="E207" t="inlineStr">
        <is>
          <t>RAGUNDA</t>
        </is>
      </c>
      <c r="F207" t="inlineStr">
        <is>
          <t>SCA</t>
        </is>
      </c>
      <c r="G207" t="n">
        <v>3.8</v>
      </c>
      <c r="H207" t="n">
        <v>0</v>
      </c>
      <c r="I207" t="n">
        <v>0</v>
      </c>
      <c r="J207" t="n">
        <v>0</v>
      </c>
      <c r="K207" t="n">
        <v>1</v>
      </c>
      <c r="L207" t="n">
        <v>0</v>
      </c>
      <c r="M207" t="n">
        <v>0</v>
      </c>
      <c r="N207" t="n">
        <v>0</v>
      </c>
      <c r="O207" t="n">
        <v>1</v>
      </c>
      <c r="P207" t="n">
        <v>1</v>
      </c>
      <c r="Q207" t="n">
        <v>1</v>
      </c>
      <c r="R207" s="2" t="inlineStr">
        <is>
          <t>Gräddporing</t>
        </is>
      </c>
      <c r="S207">
        <f>HYPERLINK("https://klasma.github.io/Logging_2303/artfynd/A 36975-2023 artfynd.xlsx", "A 36975-2023")</f>
        <v/>
      </c>
      <c r="T207">
        <f>HYPERLINK("https://klasma.github.io/Logging_2303/kartor/A 36975-2023 karta.png", "A 36975-2023")</f>
        <v/>
      </c>
      <c r="V207">
        <f>HYPERLINK("https://klasma.github.io/Logging_2303/klagomål/A 36975-2023 FSC-klagomål.docx", "A 36975-2023")</f>
        <v/>
      </c>
      <c r="W207">
        <f>HYPERLINK("https://klasma.github.io/Logging_2303/klagomålsmail/A 36975-2023 FSC-klagomål mail.docx", "A 36975-2023")</f>
        <v/>
      </c>
      <c r="X207">
        <f>HYPERLINK("https://klasma.github.io/Logging_2303/tillsyn/A 36975-2023 tillsynsbegäran.docx", "A 36975-2023")</f>
        <v/>
      </c>
      <c r="Y207">
        <f>HYPERLINK("https://klasma.github.io/Logging_2303/tillsynsmail/A 36975-2023 tillsynsbegäran mail.docx", "A 36975-2023")</f>
        <v/>
      </c>
    </row>
    <row r="208" ht="15" customHeight="1">
      <c r="A208" t="inlineStr">
        <is>
          <t>A 50233-2024</t>
        </is>
      </c>
      <c r="B208" s="1" t="n">
        <v>45600.55265046296</v>
      </c>
      <c r="C208" s="1" t="n">
        <v>46036</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16316-2025</t>
        </is>
      </c>
      <c r="B209" s="1" t="n">
        <v>45751.34795138889</v>
      </c>
      <c r="C209" s="1" t="n">
        <v>46036</v>
      </c>
      <c r="D209" t="inlineStr">
        <is>
          <t>JÄMTLANDS LÄN</t>
        </is>
      </c>
      <c r="E209" t="inlineStr">
        <is>
          <t>RAGUNDA</t>
        </is>
      </c>
      <c r="F209" t="inlineStr">
        <is>
          <t>SCA</t>
        </is>
      </c>
      <c r="G209" t="n">
        <v>1.7</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HYPERLINK("https://klasma.github.io/Logging_2303/artfynd/A 16316-2025 artfynd.xlsx", "A 16316-2025")</f>
        <v/>
      </c>
      <c r="T209">
        <f>HYPERLINK("https://klasma.github.io/Logging_2303/kartor/A 16316-2025 karta.png", "A 16316-2025")</f>
        <v/>
      </c>
      <c r="V209">
        <f>HYPERLINK("https://klasma.github.io/Logging_2303/klagomål/A 16316-2025 FSC-klagomål.docx", "A 16316-2025")</f>
        <v/>
      </c>
      <c r="W209">
        <f>HYPERLINK("https://klasma.github.io/Logging_2303/klagomålsmail/A 16316-2025 FSC-klagomål mail.docx", "A 16316-2025")</f>
        <v/>
      </c>
      <c r="X209">
        <f>HYPERLINK("https://klasma.github.io/Logging_2303/tillsyn/A 16316-2025 tillsynsbegäran.docx", "A 16316-2025")</f>
        <v/>
      </c>
      <c r="Y209">
        <f>HYPERLINK("https://klasma.github.io/Logging_2303/tillsynsmail/A 16316-2025 tillsynsbegäran mail.docx", "A 16316-2025")</f>
        <v/>
      </c>
    </row>
    <row r="210" ht="15" customHeight="1">
      <c r="A210" t="inlineStr">
        <is>
          <t>A 36224-2023</t>
        </is>
      </c>
      <c r="B210" s="1" t="n">
        <v>45149</v>
      </c>
      <c r="C210" s="1" t="n">
        <v>46036</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43404-2023</t>
        </is>
      </c>
      <c r="B211" s="1" t="n">
        <v>45183</v>
      </c>
      <c r="C211" s="1" t="n">
        <v>46036</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23930-2024</t>
        </is>
      </c>
      <c r="B212" s="1" t="n">
        <v>45455.96184027778</v>
      </c>
      <c r="C212" s="1" t="n">
        <v>46036</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24443-2024</t>
        </is>
      </c>
      <c r="B213" s="1" t="n">
        <v>45457.9640625</v>
      </c>
      <c r="C213" s="1" t="n">
        <v>46036</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27573-2025</t>
        </is>
      </c>
      <c r="B214" s="1" t="n">
        <v>45813.49061342593</v>
      </c>
      <c r="C214" s="1" t="n">
        <v>46036</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30390-2025</t>
        </is>
      </c>
      <c r="B215" s="1" t="n">
        <v>45827.57371527778</v>
      </c>
      <c r="C215" s="1" t="n">
        <v>46036</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22054-2025</t>
        </is>
      </c>
      <c r="B216" s="1" t="n">
        <v>45785.36525462963</v>
      </c>
      <c r="C216" s="1" t="n">
        <v>46036</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40841-2025</t>
        </is>
      </c>
      <c r="B217" s="1" t="n">
        <v>45897.531875</v>
      </c>
      <c r="C217" s="1" t="n">
        <v>46036</v>
      </c>
      <c r="D217" t="inlineStr">
        <is>
          <t>JÄMTLANDS LÄN</t>
        </is>
      </c>
      <c r="E217" t="inlineStr">
        <is>
          <t>RAGUNDA</t>
        </is>
      </c>
      <c r="F217" t="inlineStr">
        <is>
          <t>SCA</t>
        </is>
      </c>
      <c r="G217" t="n">
        <v>1.1</v>
      </c>
      <c r="H217" t="n">
        <v>0</v>
      </c>
      <c r="I217" t="n">
        <v>0</v>
      </c>
      <c r="J217" t="n">
        <v>1</v>
      </c>
      <c r="K217" t="n">
        <v>0</v>
      </c>
      <c r="L217" t="n">
        <v>0</v>
      </c>
      <c r="M217" t="n">
        <v>0</v>
      </c>
      <c r="N217" t="n">
        <v>0</v>
      </c>
      <c r="O217" t="n">
        <v>1</v>
      </c>
      <c r="P217" t="n">
        <v>0</v>
      </c>
      <c r="Q217" t="n">
        <v>1</v>
      </c>
      <c r="R217" s="2" t="inlineStr">
        <is>
          <t>Garnlav</t>
        </is>
      </c>
      <c r="S217">
        <f>HYPERLINK("https://klasma.github.io/Logging_2303/artfynd/A 40841-2025 artfynd.xlsx", "A 40841-2025")</f>
        <v/>
      </c>
      <c r="T217">
        <f>HYPERLINK("https://klasma.github.io/Logging_2303/kartor/A 40841-2025 karta.png", "A 40841-2025")</f>
        <v/>
      </c>
      <c r="V217">
        <f>HYPERLINK("https://klasma.github.io/Logging_2303/klagomål/A 40841-2025 FSC-klagomål.docx", "A 40841-2025")</f>
        <v/>
      </c>
      <c r="W217">
        <f>HYPERLINK("https://klasma.github.io/Logging_2303/klagomålsmail/A 40841-2025 FSC-klagomål mail.docx", "A 40841-2025")</f>
        <v/>
      </c>
      <c r="X217">
        <f>HYPERLINK("https://klasma.github.io/Logging_2303/tillsyn/A 40841-2025 tillsynsbegäran.docx", "A 40841-2025")</f>
        <v/>
      </c>
      <c r="Y217">
        <f>HYPERLINK("https://klasma.github.io/Logging_2303/tillsynsmail/A 40841-2025 tillsynsbegäran mail.docx", "A 40841-2025")</f>
        <v/>
      </c>
    </row>
    <row r="218" ht="15" customHeight="1">
      <c r="A218" t="inlineStr">
        <is>
          <t>A 978-2024</t>
        </is>
      </c>
      <c r="B218" s="1" t="n">
        <v>45301</v>
      </c>
      <c r="C218" s="1" t="n">
        <v>46036</v>
      </c>
      <c r="D218" t="inlineStr">
        <is>
          <t>JÄMTLANDS LÄN</t>
        </is>
      </c>
      <c r="E218" t="inlineStr">
        <is>
          <t>RAGUNDA</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978-2024 artfynd.xlsx", "A 978-2024")</f>
        <v/>
      </c>
      <c r="T218">
        <f>HYPERLINK("https://klasma.github.io/Logging_2303/kartor/A 978-2024 karta.png", "A 978-2024")</f>
        <v/>
      </c>
      <c r="V218">
        <f>HYPERLINK("https://klasma.github.io/Logging_2303/klagomål/A 978-2024 FSC-klagomål.docx", "A 978-2024")</f>
        <v/>
      </c>
      <c r="W218">
        <f>HYPERLINK("https://klasma.github.io/Logging_2303/klagomålsmail/A 978-2024 FSC-klagomål mail.docx", "A 978-2024")</f>
        <v/>
      </c>
      <c r="X218">
        <f>HYPERLINK("https://klasma.github.io/Logging_2303/tillsyn/A 978-2024 tillsynsbegäran.docx", "A 978-2024")</f>
        <v/>
      </c>
      <c r="Y218">
        <f>HYPERLINK("https://klasma.github.io/Logging_2303/tillsynsmail/A 978-2024 tillsynsbegäran mail.docx", "A 978-2024")</f>
        <v/>
      </c>
      <c r="Z218">
        <f>HYPERLINK("https://klasma.github.io/Logging_2303/fåglar/A 978-2024 prioriterade fågelarter.docx", "A 978-2024")</f>
        <v/>
      </c>
    </row>
    <row r="219" ht="15" customHeight="1">
      <c r="A219" t="inlineStr">
        <is>
          <t>A 1057-2024</t>
        </is>
      </c>
      <c r="B219" s="1" t="n">
        <v>45301</v>
      </c>
      <c r="C219" s="1" t="n">
        <v>46036</v>
      </c>
      <c r="D219" t="inlineStr">
        <is>
          <t>JÄMTLANDS LÄN</t>
        </is>
      </c>
      <c r="E219" t="inlineStr">
        <is>
          <t>RAGUNDA</t>
        </is>
      </c>
      <c r="F219" t="inlineStr">
        <is>
          <t>SCA</t>
        </is>
      </c>
      <c r="G219" t="n">
        <v>6.8</v>
      </c>
      <c r="H219" t="n">
        <v>0</v>
      </c>
      <c r="I219" t="n">
        <v>1</v>
      </c>
      <c r="J219" t="n">
        <v>0</v>
      </c>
      <c r="K219" t="n">
        <v>0</v>
      </c>
      <c r="L219" t="n">
        <v>0</v>
      </c>
      <c r="M219" t="n">
        <v>0</v>
      </c>
      <c r="N219" t="n">
        <v>0</v>
      </c>
      <c r="O219" t="n">
        <v>0</v>
      </c>
      <c r="P219" t="n">
        <v>0</v>
      </c>
      <c r="Q219" t="n">
        <v>1</v>
      </c>
      <c r="R219" s="2" t="inlineStr">
        <is>
          <t>Stor aspticka</t>
        </is>
      </c>
      <c r="S219">
        <f>HYPERLINK("https://klasma.github.io/Logging_2303/artfynd/A 1057-2024 artfynd.xlsx", "A 1057-2024")</f>
        <v/>
      </c>
      <c r="T219">
        <f>HYPERLINK("https://klasma.github.io/Logging_2303/kartor/A 1057-2024 karta.png", "A 1057-2024")</f>
        <v/>
      </c>
      <c r="V219">
        <f>HYPERLINK("https://klasma.github.io/Logging_2303/klagomål/A 1057-2024 FSC-klagomål.docx", "A 1057-2024")</f>
        <v/>
      </c>
      <c r="W219">
        <f>HYPERLINK("https://klasma.github.io/Logging_2303/klagomålsmail/A 1057-2024 FSC-klagomål mail.docx", "A 1057-2024")</f>
        <v/>
      </c>
      <c r="X219">
        <f>HYPERLINK("https://klasma.github.io/Logging_2303/tillsyn/A 1057-2024 tillsynsbegäran.docx", "A 1057-2024")</f>
        <v/>
      </c>
      <c r="Y219">
        <f>HYPERLINK("https://klasma.github.io/Logging_2303/tillsynsmail/A 1057-2024 tillsynsbegäran mail.docx", "A 1057-2024")</f>
        <v/>
      </c>
    </row>
    <row r="220" ht="15" customHeight="1">
      <c r="A220" t="inlineStr">
        <is>
          <t>A 32445-2025</t>
        </is>
      </c>
      <c r="B220" s="1" t="n">
        <v>45838.38627314815</v>
      </c>
      <c r="C220" s="1" t="n">
        <v>46036</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31773-2021</t>
        </is>
      </c>
      <c r="B221" s="1" t="n">
        <v>44369</v>
      </c>
      <c r="C221" s="1" t="n">
        <v>46036</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34474-2025</t>
        </is>
      </c>
      <c r="B222" s="1" t="n">
        <v>45847.36528935185</v>
      </c>
      <c r="C222" s="1" t="n">
        <v>46036</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43526-2025</t>
        </is>
      </c>
      <c r="B223" s="1" t="n">
        <v>45911</v>
      </c>
      <c r="C223" s="1" t="n">
        <v>46036</v>
      </c>
      <c r="D223" t="inlineStr">
        <is>
          <t>JÄMTLANDS LÄN</t>
        </is>
      </c>
      <c r="E223" t="inlineStr">
        <is>
          <t>RAGUNDA</t>
        </is>
      </c>
      <c r="G223" t="n">
        <v>5.5</v>
      </c>
      <c r="H223" t="n">
        <v>0</v>
      </c>
      <c r="I223" t="n">
        <v>0</v>
      </c>
      <c r="J223" t="n">
        <v>1</v>
      </c>
      <c r="K223" t="n">
        <v>0</v>
      </c>
      <c r="L223" t="n">
        <v>0</v>
      </c>
      <c r="M223" t="n">
        <v>0</v>
      </c>
      <c r="N223" t="n">
        <v>0</v>
      </c>
      <c r="O223" t="n">
        <v>1</v>
      </c>
      <c r="P223" t="n">
        <v>0</v>
      </c>
      <c r="Q223" t="n">
        <v>1</v>
      </c>
      <c r="R223" s="2" t="inlineStr">
        <is>
          <t>Lunglav</t>
        </is>
      </c>
      <c r="S223">
        <f>HYPERLINK("https://klasma.github.io/Logging_2303/artfynd/A 43526-2025 artfynd.xlsx", "A 43526-2025")</f>
        <v/>
      </c>
      <c r="T223">
        <f>HYPERLINK("https://klasma.github.io/Logging_2303/kartor/A 43526-2025 karta.png", "A 43526-2025")</f>
        <v/>
      </c>
      <c r="V223">
        <f>HYPERLINK("https://klasma.github.io/Logging_2303/klagomål/A 43526-2025 FSC-klagomål.docx", "A 43526-2025")</f>
        <v/>
      </c>
      <c r="W223">
        <f>HYPERLINK("https://klasma.github.io/Logging_2303/klagomålsmail/A 43526-2025 FSC-klagomål mail.docx", "A 43526-2025")</f>
        <v/>
      </c>
      <c r="X223">
        <f>HYPERLINK("https://klasma.github.io/Logging_2303/tillsyn/A 43526-2025 tillsynsbegäran.docx", "A 43526-2025")</f>
        <v/>
      </c>
      <c r="Y223">
        <f>HYPERLINK("https://klasma.github.io/Logging_2303/tillsynsmail/A 43526-2025 tillsynsbegäran mail.docx", "A 43526-2025")</f>
        <v/>
      </c>
    </row>
    <row r="224" ht="15" customHeight="1">
      <c r="A224" t="inlineStr">
        <is>
          <t>A 26317-2024</t>
        </is>
      </c>
      <c r="B224" s="1" t="n">
        <v>45468</v>
      </c>
      <c r="C224" s="1" t="n">
        <v>46036</v>
      </c>
      <c r="D224" t="inlineStr">
        <is>
          <t>JÄMTLANDS LÄN</t>
        </is>
      </c>
      <c r="E224" t="inlineStr">
        <is>
          <t>RAGUNDA</t>
        </is>
      </c>
      <c r="F224" t="inlineStr">
        <is>
          <t>SCA</t>
        </is>
      </c>
      <c r="G224" t="n">
        <v>3.8</v>
      </c>
      <c r="H224" t="n">
        <v>0</v>
      </c>
      <c r="I224" t="n">
        <v>0</v>
      </c>
      <c r="J224" t="n">
        <v>1</v>
      </c>
      <c r="K224" t="n">
        <v>0</v>
      </c>
      <c r="L224" t="n">
        <v>0</v>
      </c>
      <c r="M224" t="n">
        <v>0</v>
      </c>
      <c r="N224" t="n">
        <v>0</v>
      </c>
      <c r="O224" t="n">
        <v>1</v>
      </c>
      <c r="P224" t="n">
        <v>0</v>
      </c>
      <c r="Q224" t="n">
        <v>1</v>
      </c>
      <c r="R224" s="2" t="inlineStr">
        <is>
          <t>Kortskaftad ärgspik</t>
        </is>
      </c>
      <c r="S224">
        <f>HYPERLINK("https://klasma.github.io/Logging_2303/artfynd/A 26317-2024 artfynd.xlsx", "A 26317-2024")</f>
        <v/>
      </c>
      <c r="T224">
        <f>HYPERLINK("https://klasma.github.io/Logging_2303/kartor/A 26317-2024 karta.png", "A 26317-2024")</f>
        <v/>
      </c>
      <c r="V224">
        <f>HYPERLINK("https://klasma.github.io/Logging_2303/klagomål/A 26317-2024 FSC-klagomål.docx", "A 26317-2024")</f>
        <v/>
      </c>
      <c r="W224">
        <f>HYPERLINK("https://klasma.github.io/Logging_2303/klagomålsmail/A 26317-2024 FSC-klagomål mail.docx", "A 26317-2024")</f>
        <v/>
      </c>
      <c r="X224">
        <f>HYPERLINK("https://klasma.github.io/Logging_2303/tillsyn/A 26317-2024 tillsynsbegäran.docx", "A 26317-2024")</f>
        <v/>
      </c>
      <c r="Y224">
        <f>HYPERLINK("https://klasma.github.io/Logging_2303/tillsynsmail/A 26317-2024 tillsynsbegäran mail.docx", "A 26317-2024")</f>
        <v/>
      </c>
    </row>
    <row r="225" ht="15" customHeight="1">
      <c r="A225" t="inlineStr">
        <is>
          <t>A 49091-2022</t>
        </is>
      </c>
      <c r="B225" s="1" t="n">
        <v>44860</v>
      </c>
      <c r="C225" s="1" t="n">
        <v>46036</v>
      </c>
      <c r="D225" t="inlineStr">
        <is>
          <t>JÄMTLANDS LÄN</t>
        </is>
      </c>
      <c r="E225" t="inlineStr">
        <is>
          <t>RAGUNDA</t>
        </is>
      </c>
      <c r="G225" t="n">
        <v>3.5</v>
      </c>
      <c r="H225" t="n">
        <v>1</v>
      </c>
      <c r="I225" t="n">
        <v>0</v>
      </c>
      <c r="J225" t="n">
        <v>0</v>
      </c>
      <c r="K225" t="n">
        <v>1</v>
      </c>
      <c r="L225" t="n">
        <v>0</v>
      </c>
      <c r="M225" t="n">
        <v>0</v>
      </c>
      <c r="N225" t="n">
        <v>0</v>
      </c>
      <c r="O225" t="n">
        <v>1</v>
      </c>
      <c r="P225" t="n">
        <v>1</v>
      </c>
      <c r="Q225" t="n">
        <v>1</v>
      </c>
      <c r="R225" s="2" t="inlineStr">
        <is>
          <t>Doftticka</t>
        </is>
      </c>
      <c r="S225">
        <f>HYPERLINK("https://klasma.github.io/Logging_2303/artfynd/A 49091-2022 artfynd.xlsx", "A 49091-2022")</f>
        <v/>
      </c>
      <c r="T225">
        <f>HYPERLINK("https://klasma.github.io/Logging_2303/kartor/A 49091-2022 karta.png", "A 49091-2022")</f>
        <v/>
      </c>
      <c r="V225">
        <f>HYPERLINK("https://klasma.github.io/Logging_2303/klagomål/A 49091-2022 FSC-klagomål.docx", "A 49091-2022")</f>
        <v/>
      </c>
      <c r="W225">
        <f>HYPERLINK("https://klasma.github.io/Logging_2303/klagomålsmail/A 49091-2022 FSC-klagomål mail.docx", "A 49091-2022")</f>
        <v/>
      </c>
      <c r="X225">
        <f>HYPERLINK("https://klasma.github.io/Logging_2303/tillsyn/A 49091-2022 tillsynsbegäran.docx", "A 49091-2022")</f>
        <v/>
      </c>
      <c r="Y225">
        <f>HYPERLINK("https://klasma.github.io/Logging_2303/tillsynsmail/A 49091-2022 tillsynsbegäran mail.docx", "A 49091-2022")</f>
        <v/>
      </c>
    </row>
    <row r="226" ht="15" customHeight="1">
      <c r="A226" t="inlineStr">
        <is>
          <t>A 49053-2025</t>
        </is>
      </c>
      <c r="B226" s="1" t="n">
        <v>45937.64009259259</v>
      </c>
      <c r="C226" s="1" t="n">
        <v>46036</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48429-2023</t>
        </is>
      </c>
      <c r="B227" s="1" t="n">
        <v>45205</v>
      </c>
      <c r="C227" s="1" t="n">
        <v>46036</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48429-2023 artfynd.xlsx", "A 48429-2023")</f>
        <v/>
      </c>
      <c r="T227">
        <f>HYPERLINK("https://klasma.github.io/Logging_2303/kartor/A 48429-2023 karta.png", "A 48429-2023")</f>
        <v/>
      </c>
      <c r="V227">
        <f>HYPERLINK("https://klasma.github.io/Logging_2303/klagomål/A 48429-2023 FSC-klagomål.docx", "A 48429-2023")</f>
        <v/>
      </c>
      <c r="W227">
        <f>HYPERLINK("https://klasma.github.io/Logging_2303/klagomålsmail/A 48429-2023 FSC-klagomål mail.docx", "A 48429-2023")</f>
        <v/>
      </c>
      <c r="X227">
        <f>HYPERLINK("https://klasma.github.io/Logging_2303/tillsyn/A 48429-2023 tillsynsbegäran.docx", "A 48429-2023")</f>
        <v/>
      </c>
      <c r="Y227">
        <f>HYPERLINK("https://klasma.github.io/Logging_2303/tillsynsmail/A 48429-2023 tillsynsbegäran mail.docx", "A 48429-2023")</f>
        <v/>
      </c>
    </row>
    <row r="228" ht="15" customHeight="1">
      <c r="A228" t="inlineStr">
        <is>
          <t>A 51912-2025</t>
        </is>
      </c>
      <c r="B228" s="1" t="n">
        <v>45952.46939814815</v>
      </c>
      <c r="C228" s="1" t="n">
        <v>46036</v>
      </c>
      <c r="D228" t="inlineStr">
        <is>
          <t>JÄMTLANDS LÄN</t>
        </is>
      </c>
      <c r="E228" t="inlineStr">
        <is>
          <t>RAGUNDA</t>
        </is>
      </c>
      <c r="F228" t="inlineStr">
        <is>
          <t>SCA</t>
        </is>
      </c>
      <c r="G228" t="n">
        <v>24.2</v>
      </c>
      <c r="H228" t="n">
        <v>1</v>
      </c>
      <c r="I228" t="n">
        <v>0</v>
      </c>
      <c r="J228" t="n">
        <v>0</v>
      </c>
      <c r="K228" t="n">
        <v>1</v>
      </c>
      <c r="L228" t="n">
        <v>0</v>
      </c>
      <c r="M228" t="n">
        <v>0</v>
      </c>
      <c r="N228" t="n">
        <v>0</v>
      </c>
      <c r="O228" t="n">
        <v>1</v>
      </c>
      <c r="P228" t="n">
        <v>1</v>
      </c>
      <c r="Q228" t="n">
        <v>1</v>
      </c>
      <c r="R228" s="2" t="inlineStr">
        <is>
          <t>Norna</t>
        </is>
      </c>
      <c r="S228">
        <f>HYPERLINK("https://klasma.github.io/Logging_2303/artfynd/A 51912-2025 artfynd.xlsx", "A 51912-2025")</f>
        <v/>
      </c>
      <c r="T228">
        <f>HYPERLINK("https://klasma.github.io/Logging_2303/kartor/A 51912-2025 karta.png", "A 51912-2025")</f>
        <v/>
      </c>
      <c r="V228">
        <f>HYPERLINK("https://klasma.github.io/Logging_2303/klagomål/A 51912-2025 FSC-klagomål.docx", "A 51912-2025")</f>
        <v/>
      </c>
      <c r="W228">
        <f>HYPERLINK("https://klasma.github.io/Logging_2303/klagomålsmail/A 51912-2025 FSC-klagomål mail.docx", "A 51912-2025")</f>
        <v/>
      </c>
      <c r="X228">
        <f>HYPERLINK("https://klasma.github.io/Logging_2303/tillsyn/A 51912-2025 tillsynsbegäran.docx", "A 51912-2025")</f>
        <v/>
      </c>
      <c r="Y228">
        <f>HYPERLINK("https://klasma.github.io/Logging_2303/tillsynsmail/A 51912-2025 tillsynsbegäran mail.docx", "A 51912-2025")</f>
        <v/>
      </c>
    </row>
    <row r="229" ht="15" customHeight="1">
      <c r="A229" t="inlineStr">
        <is>
          <t>A 17340-2023</t>
        </is>
      </c>
      <c r="B229" s="1" t="n">
        <v>45033</v>
      </c>
      <c r="C229" s="1" t="n">
        <v>46036</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26322-2024</t>
        </is>
      </c>
      <c r="B230" s="1" t="n">
        <v>45468.97461805555</v>
      </c>
      <c r="C230" s="1" t="n">
        <v>46036</v>
      </c>
      <c r="D230" t="inlineStr">
        <is>
          <t>JÄMTLANDS LÄN</t>
        </is>
      </c>
      <c r="E230" t="inlineStr">
        <is>
          <t>RAGUNDA</t>
        </is>
      </c>
      <c r="F230" t="inlineStr">
        <is>
          <t>SCA</t>
        </is>
      </c>
      <c r="G230" t="n">
        <v>9.6</v>
      </c>
      <c r="H230" t="n">
        <v>0</v>
      </c>
      <c r="I230" t="n">
        <v>0</v>
      </c>
      <c r="J230" t="n">
        <v>1</v>
      </c>
      <c r="K230" t="n">
        <v>0</v>
      </c>
      <c r="L230" t="n">
        <v>0</v>
      </c>
      <c r="M230" t="n">
        <v>0</v>
      </c>
      <c r="N230" t="n">
        <v>0</v>
      </c>
      <c r="O230" t="n">
        <v>1</v>
      </c>
      <c r="P230" t="n">
        <v>0</v>
      </c>
      <c r="Q230" t="n">
        <v>1</v>
      </c>
      <c r="R230" s="2" t="inlineStr">
        <is>
          <t>Rosenticka</t>
        </is>
      </c>
      <c r="S230">
        <f>HYPERLINK("https://klasma.github.io/Logging_2303/artfynd/A 26322-2024 artfynd.xlsx", "A 26322-2024")</f>
        <v/>
      </c>
      <c r="T230">
        <f>HYPERLINK("https://klasma.github.io/Logging_2303/kartor/A 26322-2024 karta.png", "A 26322-2024")</f>
        <v/>
      </c>
      <c r="U230">
        <f>HYPERLINK("https://klasma.github.io/Logging_2303/knärot/A 26322-2024 karta knärot.png", "A 26322-2024")</f>
        <v/>
      </c>
      <c r="V230">
        <f>HYPERLINK("https://klasma.github.io/Logging_2303/klagomål/A 26322-2024 FSC-klagomål.docx", "A 26322-2024")</f>
        <v/>
      </c>
      <c r="W230">
        <f>HYPERLINK("https://klasma.github.io/Logging_2303/klagomålsmail/A 26322-2024 FSC-klagomål mail.docx", "A 26322-2024")</f>
        <v/>
      </c>
      <c r="X230">
        <f>HYPERLINK("https://klasma.github.io/Logging_2303/tillsyn/A 26322-2024 tillsynsbegäran.docx", "A 26322-2024")</f>
        <v/>
      </c>
      <c r="Y230">
        <f>HYPERLINK("https://klasma.github.io/Logging_2303/tillsynsmail/A 26322-2024 tillsynsbegäran mail.docx", "A 26322-2024")</f>
        <v/>
      </c>
    </row>
    <row r="231" ht="15" customHeight="1">
      <c r="A231" t="inlineStr">
        <is>
          <t>A 48477-2023</t>
        </is>
      </c>
      <c r="B231" s="1" t="n">
        <v>45206</v>
      </c>
      <c r="C231" s="1" t="n">
        <v>46036</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16724-2025</t>
        </is>
      </c>
      <c r="B232" s="1" t="n">
        <v>45754.51064814815</v>
      </c>
      <c r="C232" s="1" t="n">
        <v>46036</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50164-2023</t>
        </is>
      </c>
      <c r="B233" s="1" t="n">
        <v>45208</v>
      </c>
      <c r="C233" s="1" t="n">
        <v>46036</v>
      </c>
      <c r="D233" t="inlineStr">
        <is>
          <t>JÄMTLANDS LÄN</t>
        </is>
      </c>
      <c r="E233" t="inlineStr">
        <is>
          <t>RAGUNDA</t>
        </is>
      </c>
      <c r="G233" t="n">
        <v>2.9</v>
      </c>
      <c r="H233" t="n">
        <v>0</v>
      </c>
      <c r="I233" t="n">
        <v>0</v>
      </c>
      <c r="J233" t="n">
        <v>0</v>
      </c>
      <c r="K233" t="n">
        <v>1</v>
      </c>
      <c r="L233" t="n">
        <v>0</v>
      </c>
      <c r="M233" t="n">
        <v>0</v>
      </c>
      <c r="N233" t="n">
        <v>0</v>
      </c>
      <c r="O233" t="n">
        <v>1</v>
      </c>
      <c r="P233" t="n">
        <v>1</v>
      </c>
      <c r="Q233" t="n">
        <v>1</v>
      </c>
      <c r="R233" s="2" t="inlineStr">
        <is>
          <t>Mindre barkplattbagge</t>
        </is>
      </c>
      <c r="S233">
        <f>HYPERLINK("https://klasma.github.io/Logging_2303/artfynd/A 50164-2023 artfynd.xlsx", "A 50164-2023")</f>
        <v/>
      </c>
      <c r="T233">
        <f>HYPERLINK("https://klasma.github.io/Logging_2303/kartor/A 50164-2023 karta.png", "A 50164-2023")</f>
        <v/>
      </c>
      <c r="V233">
        <f>HYPERLINK("https://klasma.github.io/Logging_2303/klagomål/A 50164-2023 FSC-klagomål.docx", "A 50164-2023")</f>
        <v/>
      </c>
      <c r="W233">
        <f>HYPERLINK("https://klasma.github.io/Logging_2303/klagomålsmail/A 50164-2023 FSC-klagomål mail.docx", "A 50164-2023")</f>
        <v/>
      </c>
      <c r="X233">
        <f>HYPERLINK("https://klasma.github.io/Logging_2303/tillsyn/A 50164-2023 tillsynsbegäran.docx", "A 50164-2023")</f>
        <v/>
      </c>
      <c r="Y233">
        <f>HYPERLINK("https://klasma.github.io/Logging_2303/tillsynsmail/A 50164-2023 tillsynsbegäran mail.docx", "A 50164-2023")</f>
        <v/>
      </c>
    </row>
    <row r="234" ht="15" customHeight="1">
      <c r="A234" t="inlineStr">
        <is>
          <t>A 49770-2024</t>
        </is>
      </c>
      <c r="B234" s="1" t="n">
        <v>45597.34461805555</v>
      </c>
      <c r="C234" s="1" t="n">
        <v>46036</v>
      </c>
      <c r="D234" t="inlineStr">
        <is>
          <t>JÄMTLANDS LÄN</t>
        </is>
      </c>
      <c r="E234" t="inlineStr">
        <is>
          <t>RAGUNDA</t>
        </is>
      </c>
      <c r="F234" t="inlineStr">
        <is>
          <t>Naturvårdsverket</t>
        </is>
      </c>
      <c r="G234" t="n">
        <v>8.9</v>
      </c>
      <c r="H234" t="n">
        <v>1</v>
      </c>
      <c r="I234" t="n">
        <v>0</v>
      </c>
      <c r="J234" t="n">
        <v>0</v>
      </c>
      <c r="K234" t="n">
        <v>1</v>
      </c>
      <c r="L234" t="n">
        <v>0</v>
      </c>
      <c r="M234" t="n">
        <v>0</v>
      </c>
      <c r="N234" t="n">
        <v>0</v>
      </c>
      <c r="O234" t="n">
        <v>1</v>
      </c>
      <c r="P234" t="n">
        <v>1</v>
      </c>
      <c r="Q234" t="n">
        <v>1</v>
      </c>
      <c r="R234" s="2" t="inlineStr">
        <is>
          <t>Doftticka</t>
        </is>
      </c>
      <c r="S234">
        <f>HYPERLINK("https://klasma.github.io/Logging_2303/artfynd/A 49770-2024 artfynd.xlsx", "A 49770-2024")</f>
        <v/>
      </c>
      <c r="T234">
        <f>HYPERLINK("https://klasma.github.io/Logging_2303/kartor/A 49770-2024 karta.png", "A 49770-2024")</f>
        <v/>
      </c>
      <c r="V234">
        <f>HYPERLINK("https://klasma.github.io/Logging_2303/klagomål/A 49770-2024 FSC-klagomål.docx", "A 49770-2024")</f>
        <v/>
      </c>
      <c r="W234">
        <f>HYPERLINK("https://klasma.github.io/Logging_2303/klagomålsmail/A 49770-2024 FSC-klagomål mail.docx", "A 49770-2024")</f>
        <v/>
      </c>
      <c r="X234">
        <f>HYPERLINK("https://klasma.github.io/Logging_2303/tillsyn/A 49770-2024 tillsynsbegäran.docx", "A 49770-2024")</f>
        <v/>
      </c>
      <c r="Y234">
        <f>HYPERLINK("https://klasma.github.io/Logging_2303/tillsynsmail/A 49770-2024 tillsynsbegäran mail.docx", "A 49770-2024")</f>
        <v/>
      </c>
    </row>
    <row r="235" ht="15" customHeight="1">
      <c r="A235" t="inlineStr">
        <is>
          <t>A 55756-2025</t>
        </is>
      </c>
      <c r="B235" s="1" t="n">
        <v>45972.59438657408</v>
      </c>
      <c r="C235" s="1" t="n">
        <v>46036</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HYPERLINK("https://klasma.github.io/Logging_2303/artfynd/A 55756-2025 artfynd.xlsx", "A 55756-2025")</f>
        <v/>
      </c>
      <c r="T235">
        <f>HYPERLINK("https://klasma.github.io/Logging_2303/kartor/A 55756-2025 karta.png", "A 55756-2025")</f>
        <v/>
      </c>
      <c r="V235">
        <f>HYPERLINK("https://klasma.github.io/Logging_2303/klagomål/A 55756-2025 FSC-klagomål.docx", "A 55756-2025")</f>
        <v/>
      </c>
      <c r="W235">
        <f>HYPERLINK("https://klasma.github.io/Logging_2303/klagomålsmail/A 55756-2025 FSC-klagomål mail.docx", "A 55756-2025")</f>
        <v/>
      </c>
      <c r="X235">
        <f>HYPERLINK("https://klasma.github.io/Logging_2303/tillsyn/A 55756-2025 tillsynsbegäran.docx", "A 55756-2025")</f>
        <v/>
      </c>
      <c r="Y235">
        <f>HYPERLINK("https://klasma.github.io/Logging_2303/tillsynsmail/A 55756-2025 tillsynsbegäran mail.docx", "A 55756-2025")</f>
        <v/>
      </c>
    </row>
    <row r="236" ht="15" customHeight="1">
      <c r="A236" t="inlineStr">
        <is>
          <t>A 56599-2025</t>
        </is>
      </c>
      <c r="B236" s="1" t="n">
        <v>45975.5734837963</v>
      </c>
      <c r="C236" s="1" t="n">
        <v>46036</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57253-2025</t>
        </is>
      </c>
      <c r="B237" s="1" t="n">
        <v>45979.64381944444</v>
      </c>
      <c r="C237" s="1" t="n">
        <v>46036</v>
      </c>
      <c r="D237" t="inlineStr">
        <is>
          <t>JÄMTLANDS LÄN</t>
        </is>
      </c>
      <c r="E237" t="inlineStr">
        <is>
          <t>RAGUNDA</t>
        </is>
      </c>
      <c r="G237" t="n">
        <v>1.2</v>
      </c>
      <c r="H237" t="n">
        <v>0</v>
      </c>
      <c r="I237" t="n">
        <v>1</v>
      </c>
      <c r="J237" t="n">
        <v>0</v>
      </c>
      <c r="K237" t="n">
        <v>0</v>
      </c>
      <c r="L237" t="n">
        <v>0</v>
      </c>
      <c r="M237" t="n">
        <v>0</v>
      </c>
      <c r="N237" t="n">
        <v>0</v>
      </c>
      <c r="O237" t="n">
        <v>0</v>
      </c>
      <c r="P237" t="n">
        <v>0</v>
      </c>
      <c r="Q237" t="n">
        <v>1</v>
      </c>
      <c r="R237" s="2" t="inlineStr">
        <is>
          <t>Skinnlav</t>
        </is>
      </c>
      <c r="S237">
        <f>HYPERLINK("https://klasma.github.io/Logging_2303/artfynd/A 57253-2025 artfynd.xlsx", "A 57253-2025")</f>
        <v/>
      </c>
      <c r="T237">
        <f>HYPERLINK("https://klasma.github.io/Logging_2303/kartor/A 57253-2025 karta.png", "A 57253-2025")</f>
        <v/>
      </c>
      <c r="V237">
        <f>HYPERLINK("https://klasma.github.io/Logging_2303/klagomål/A 57253-2025 FSC-klagomål.docx", "A 57253-2025")</f>
        <v/>
      </c>
      <c r="W237">
        <f>HYPERLINK("https://klasma.github.io/Logging_2303/klagomålsmail/A 57253-2025 FSC-klagomål mail.docx", "A 57253-2025")</f>
        <v/>
      </c>
      <c r="X237">
        <f>HYPERLINK("https://klasma.github.io/Logging_2303/tillsyn/A 57253-2025 tillsynsbegäran.docx", "A 57253-2025")</f>
        <v/>
      </c>
      <c r="Y237">
        <f>HYPERLINK("https://klasma.github.io/Logging_2303/tillsynsmail/A 57253-2025 tillsynsbegäran mail.docx", "A 57253-2025")</f>
        <v/>
      </c>
    </row>
    <row r="238" ht="15" customHeight="1">
      <c r="A238" t="inlineStr">
        <is>
          <t>A 57479-2025</t>
        </is>
      </c>
      <c r="B238" s="1" t="n">
        <v>45980.5737037037</v>
      </c>
      <c r="C238" s="1" t="n">
        <v>46036</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46036</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61324-2024</t>
        </is>
      </c>
      <c r="B240" s="1" t="n">
        <v>45646.34438657408</v>
      </c>
      <c r="C240" s="1" t="n">
        <v>46036</v>
      </c>
      <c r="D240" t="inlineStr">
        <is>
          <t>JÄMTLANDS LÄN</t>
        </is>
      </c>
      <c r="E240" t="inlineStr">
        <is>
          <t>RAGUNDA</t>
        </is>
      </c>
      <c r="F240" t="inlineStr">
        <is>
          <t>SCA</t>
        </is>
      </c>
      <c r="G240" t="n">
        <v>11.2</v>
      </c>
      <c r="H240" t="n">
        <v>1</v>
      </c>
      <c r="I240" t="n">
        <v>0</v>
      </c>
      <c r="J240" t="n">
        <v>0</v>
      </c>
      <c r="K240" t="n">
        <v>0</v>
      </c>
      <c r="L240" t="n">
        <v>0</v>
      </c>
      <c r="M240" t="n">
        <v>0</v>
      </c>
      <c r="N240" t="n">
        <v>0</v>
      </c>
      <c r="O240" t="n">
        <v>0</v>
      </c>
      <c r="P240" t="n">
        <v>0</v>
      </c>
      <c r="Q240" t="n">
        <v>1</v>
      </c>
      <c r="R240" s="2" t="inlineStr">
        <is>
          <t>Trana</t>
        </is>
      </c>
      <c r="S240">
        <f>HYPERLINK("https://klasma.github.io/Logging_2303/artfynd/A 61324-2024 artfynd.xlsx", "A 61324-2024")</f>
        <v/>
      </c>
      <c r="T240">
        <f>HYPERLINK("https://klasma.github.io/Logging_2303/kartor/A 61324-2024 karta.png", "A 61324-2024")</f>
        <v/>
      </c>
      <c r="V240">
        <f>HYPERLINK("https://klasma.github.io/Logging_2303/klagomål/A 61324-2024 FSC-klagomål.docx", "A 61324-2024")</f>
        <v/>
      </c>
      <c r="W240">
        <f>HYPERLINK("https://klasma.github.io/Logging_2303/klagomålsmail/A 61324-2024 FSC-klagomål mail.docx", "A 61324-2024")</f>
        <v/>
      </c>
      <c r="X240">
        <f>HYPERLINK("https://klasma.github.io/Logging_2303/tillsyn/A 61324-2024 tillsynsbegäran.docx", "A 61324-2024")</f>
        <v/>
      </c>
      <c r="Y240">
        <f>HYPERLINK("https://klasma.github.io/Logging_2303/tillsynsmail/A 61324-2024 tillsynsbegäran mail.docx", "A 61324-2024")</f>
        <v/>
      </c>
      <c r="Z240">
        <f>HYPERLINK("https://klasma.github.io/Logging_2303/fåglar/A 61324-2024 prioriterade fågelarter.docx", "A 61324-2024")</f>
        <v/>
      </c>
    </row>
    <row r="241" ht="15" customHeight="1">
      <c r="A241" t="inlineStr">
        <is>
          <t>A 58990-2025</t>
        </is>
      </c>
      <c r="B241" s="1" t="n">
        <v>45987</v>
      </c>
      <c r="C241" s="1" t="n">
        <v>46036</v>
      </c>
      <c r="D241" t="inlineStr">
        <is>
          <t>JÄMTLANDS LÄN</t>
        </is>
      </c>
      <c r="E241" t="inlineStr">
        <is>
          <t>RAGUNDA</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58990-2025 artfynd.xlsx", "A 58990-2025")</f>
        <v/>
      </c>
      <c r="T241">
        <f>HYPERLINK("https://klasma.github.io/Logging_2303/kartor/A 58990-2025 karta.png", "A 58990-2025")</f>
        <v/>
      </c>
      <c r="V241">
        <f>HYPERLINK("https://klasma.github.io/Logging_2303/klagomål/A 58990-2025 FSC-klagomål.docx", "A 58990-2025")</f>
        <v/>
      </c>
      <c r="W241">
        <f>HYPERLINK("https://klasma.github.io/Logging_2303/klagomålsmail/A 58990-2025 FSC-klagomål mail.docx", "A 58990-2025")</f>
        <v/>
      </c>
      <c r="X241">
        <f>HYPERLINK("https://klasma.github.io/Logging_2303/tillsyn/A 58990-2025 tillsynsbegäran.docx", "A 58990-2025")</f>
        <v/>
      </c>
      <c r="Y241">
        <f>HYPERLINK("https://klasma.github.io/Logging_2303/tillsynsmail/A 58990-2025 tillsynsbegäran mail.docx", "A 58990-2025")</f>
        <v/>
      </c>
      <c r="Z241">
        <f>HYPERLINK("https://klasma.github.io/Logging_2303/fåglar/A 58990-2025 prioriterade fågelarter.docx", "A 58990-2025")</f>
        <v/>
      </c>
    </row>
    <row r="242" ht="15" customHeight="1">
      <c r="A242" t="inlineStr">
        <is>
          <t>A 29921-2024</t>
        </is>
      </c>
      <c r="B242" s="1" t="n">
        <v>45487.92863425926</v>
      </c>
      <c r="C242" s="1" t="n">
        <v>46036</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46036</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32069-2024</t>
        </is>
      </c>
      <c r="B244" s="1" t="n">
        <v>45510</v>
      </c>
      <c r="C244" s="1" t="n">
        <v>46036</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Lunglav</t>
        </is>
      </c>
      <c r="S244">
        <f>HYPERLINK("https://klasma.github.io/Logging_2303/artfynd/A 32069-2024 artfynd.xlsx", "A 32069-2024")</f>
        <v/>
      </c>
      <c r="T244">
        <f>HYPERLINK("https://klasma.github.io/Logging_2303/kartor/A 32069-2024 karta.png", "A 32069-2024")</f>
        <v/>
      </c>
      <c r="V244">
        <f>HYPERLINK("https://klasma.github.io/Logging_2303/klagomål/A 32069-2024 FSC-klagomål.docx", "A 32069-2024")</f>
        <v/>
      </c>
      <c r="W244">
        <f>HYPERLINK("https://klasma.github.io/Logging_2303/klagomålsmail/A 32069-2024 FSC-klagomål mail.docx", "A 32069-2024")</f>
        <v/>
      </c>
      <c r="X244">
        <f>HYPERLINK("https://klasma.github.io/Logging_2303/tillsyn/A 32069-2024 tillsynsbegäran.docx", "A 32069-2024")</f>
        <v/>
      </c>
      <c r="Y244">
        <f>HYPERLINK("https://klasma.github.io/Logging_2303/tillsynsmail/A 32069-2024 tillsynsbegäran mail.docx", "A 32069-2024")</f>
        <v/>
      </c>
    </row>
    <row r="245" ht="15" customHeight="1">
      <c r="A245" t="inlineStr">
        <is>
          <t>A 19751-2025</t>
        </is>
      </c>
      <c r="B245" s="1" t="n">
        <v>45771.3859837963</v>
      </c>
      <c r="C245" s="1" t="n">
        <v>46036</v>
      </c>
      <c r="D245" t="inlineStr">
        <is>
          <t>JÄMTLANDS LÄN</t>
        </is>
      </c>
      <c r="E245" t="inlineStr">
        <is>
          <t>RAGUNDA</t>
        </is>
      </c>
      <c r="F245" t="inlineStr">
        <is>
          <t>SCA</t>
        </is>
      </c>
      <c r="G245" t="n">
        <v>1.1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19751-2025 artfynd.xlsx", "A 19751-2025")</f>
        <v/>
      </c>
      <c r="T245">
        <f>HYPERLINK("https://klasma.github.io/Logging_2303/kartor/A 19751-2025 karta.png", "A 19751-2025")</f>
        <v/>
      </c>
      <c r="V245">
        <f>HYPERLINK("https://klasma.github.io/Logging_2303/klagomål/A 19751-2025 FSC-klagomål.docx", "A 19751-2025")</f>
        <v/>
      </c>
      <c r="W245">
        <f>HYPERLINK("https://klasma.github.io/Logging_2303/klagomålsmail/A 19751-2025 FSC-klagomål mail.docx", "A 19751-2025")</f>
        <v/>
      </c>
      <c r="X245">
        <f>HYPERLINK("https://klasma.github.io/Logging_2303/tillsyn/A 19751-2025 tillsynsbegäran.docx", "A 19751-2025")</f>
        <v/>
      </c>
      <c r="Y245">
        <f>HYPERLINK("https://klasma.github.io/Logging_2303/tillsynsmail/A 19751-2025 tillsynsbegäran mail.docx", "A 19751-2025")</f>
        <v/>
      </c>
      <c r="Z245">
        <f>HYPERLINK("https://klasma.github.io/Logging_2303/fåglar/A 19751-2025 prioriterade fågelarter.docx", "A 19751-2025")</f>
        <v/>
      </c>
    </row>
    <row r="246" ht="15" customHeight="1">
      <c r="A246" t="inlineStr">
        <is>
          <t>A 19387-2025</t>
        </is>
      </c>
      <c r="B246" s="1" t="n">
        <v>45769.65736111111</v>
      </c>
      <c r="C246" s="1" t="n">
        <v>46036</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2929-2024</t>
        </is>
      </c>
      <c r="B247" s="1" t="n">
        <v>45315</v>
      </c>
      <c r="C247" s="1" t="n">
        <v>46036</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58846-2024</t>
        </is>
      </c>
      <c r="B248" s="1" t="n">
        <v>45636.3863425926</v>
      </c>
      <c r="C248" s="1" t="n">
        <v>46036</v>
      </c>
      <c r="D248" t="inlineStr">
        <is>
          <t>JÄMTLANDS LÄN</t>
        </is>
      </c>
      <c r="E248" t="inlineStr">
        <is>
          <t>RAGUNDA</t>
        </is>
      </c>
      <c r="F248" t="inlineStr">
        <is>
          <t>SCA</t>
        </is>
      </c>
      <c r="G248" t="n">
        <v>1.5</v>
      </c>
      <c r="H248" t="n">
        <v>0</v>
      </c>
      <c r="I248" t="n">
        <v>0</v>
      </c>
      <c r="J248" t="n">
        <v>0</v>
      </c>
      <c r="K248" t="n">
        <v>1</v>
      </c>
      <c r="L248" t="n">
        <v>0</v>
      </c>
      <c r="M248" t="n">
        <v>0</v>
      </c>
      <c r="N248" t="n">
        <v>0</v>
      </c>
      <c r="O248" t="n">
        <v>1</v>
      </c>
      <c r="P248" t="n">
        <v>1</v>
      </c>
      <c r="Q248" t="n">
        <v>1</v>
      </c>
      <c r="R248" s="2" t="inlineStr">
        <is>
          <t>Rynkskinn</t>
        </is>
      </c>
      <c r="S248">
        <f>HYPERLINK("https://klasma.github.io/Logging_2303/artfynd/A 58846-2024 artfynd.xlsx", "A 58846-2024")</f>
        <v/>
      </c>
      <c r="T248">
        <f>HYPERLINK("https://klasma.github.io/Logging_2303/kartor/A 58846-2024 karta.png", "A 58846-2024")</f>
        <v/>
      </c>
      <c r="V248">
        <f>HYPERLINK("https://klasma.github.io/Logging_2303/klagomål/A 58846-2024 FSC-klagomål.docx", "A 58846-2024")</f>
        <v/>
      </c>
      <c r="W248">
        <f>HYPERLINK("https://klasma.github.io/Logging_2303/klagomålsmail/A 58846-2024 FSC-klagomål mail.docx", "A 58846-2024")</f>
        <v/>
      </c>
      <c r="X248">
        <f>HYPERLINK("https://klasma.github.io/Logging_2303/tillsyn/A 58846-2024 tillsynsbegäran.docx", "A 58846-2024")</f>
        <v/>
      </c>
      <c r="Y248">
        <f>HYPERLINK("https://klasma.github.io/Logging_2303/tillsynsmail/A 58846-2024 tillsynsbegäran mail.docx", "A 58846-2024")</f>
        <v/>
      </c>
    </row>
    <row r="249" ht="15" customHeight="1">
      <c r="A249" t="inlineStr">
        <is>
          <t>A 36854-2023</t>
        </is>
      </c>
      <c r="B249" s="1" t="n">
        <v>45153</v>
      </c>
      <c r="C249" s="1" t="n">
        <v>46036</v>
      </c>
      <c r="D249" t="inlineStr">
        <is>
          <t>JÄMTLANDS LÄN</t>
        </is>
      </c>
      <c r="E249" t="inlineStr">
        <is>
          <t>RAGUNDA</t>
        </is>
      </c>
      <c r="G249" t="n">
        <v>4</v>
      </c>
      <c r="H249" t="n">
        <v>1</v>
      </c>
      <c r="I249" t="n">
        <v>0</v>
      </c>
      <c r="J249" t="n">
        <v>1</v>
      </c>
      <c r="K249" t="n">
        <v>0</v>
      </c>
      <c r="L249" t="n">
        <v>0</v>
      </c>
      <c r="M249" t="n">
        <v>0</v>
      </c>
      <c r="N249" t="n">
        <v>0</v>
      </c>
      <c r="O249" t="n">
        <v>1</v>
      </c>
      <c r="P249" t="n">
        <v>0</v>
      </c>
      <c r="Q249" t="n">
        <v>1</v>
      </c>
      <c r="R249" s="2" t="inlineStr">
        <is>
          <t>Talltita</t>
        </is>
      </c>
      <c r="S249">
        <f>HYPERLINK("https://klasma.github.io/Logging_2303/artfynd/A 36854-2023 artfynd.xlsx", "A 36854-2023")</f>
        <v/>
      </c>
      <c r="T249">
        <f>HYPERLINK("https://klasma.github.io/Logging_2303/kartor/A 36854-2023 karta.png", "A 36854-2023")</f>
        <v/>
      </c>
      <c r="V249">
        <f>HYPERLINK("https://klasma.github.io/Logging_2303/klagomål/A 36854-2023 FSC-klagomål.docx", "A 36854-2023")</f>
        <v/>
      </c>
      <c r="W249">
        <f>HYPERLINK("https://klasma.github.io/Logging_2303/klagomålsmail/A 36854-2023 FSC-klagomål mail.docx", "A 36854-2023")</f>
        <v/>
      </c>
      <c r="X249">
        <f>HYPERLINK("https://klasma.github.io/Logging_2303/tillsyn/A 36854-2023 tillsynsbegäran.docx", "A 36854-2023")</f>
        <v/>
      </c>
      <c r="Y249">
        <f>HYPERLINK("https://klasma.github.io/Logging_2303/tillsynsmail/A 36854-2023 tillsynsbegäran mail.docx", "A 36854-2023")</f>
        <v/>
      </c>
      <c r="Z249">
        <f>HYPERLINK("https://klasma.github.io/Logging_2303/fåglar/A 36854-2023 prioriterade fågelarter.docx", "A 36854-2023")</f>
        <v/>
      </c>
    </row>
    <row r="250" ht="15" customHeight="1">
      <c r="A250" t="inlineStr">
        <is>
          <t>A 18985-2023</t>
        </is>
      </c>
      <c r="B250" s="1" t="n">
        <v>45044</v>
      </c>
      <c r="C250" s="1" t="n">
        <v>46036</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35750-2023</t>
        </is>
      </c>
      <c r="B251" s="1" t="n">
        <v>45147</v>
      </c>
      <c r="C251" s="1" t="n">
        <v>46036</v>
      </c>
      <c r="D251" t="inlineStr">
        <is>
          <t>JÄMTLANDS LÄN</t>
        </is>
      </c>
      <c r="E251" t="inlineStr">
        <is>
          <t>RAGUNDA</t>
        </is>
      </c>
      <c r="F251" t="inlineStr">
        <is>
          <t>SCA</t>
        </is>
      </c>
      <c r="G251" t="n">
        <v>4.8</v>
      </c>
      <c r="H251" t="n">
        <v>0</v>
      </c>
      <c r="I251" t="n">
        <v>0</v>
      </c>
      <c r="J251" t="n">
        <v>1</v>
      </c>
      <c r="K251" t="n">
        <v>0</v>
      </c>
      <c r="L251" t="n">
        <v>0</v>
      </c>
      <c r="M251" t="n">
        <v>0</v>
      </c>
      <c r="N251" t="n">
        <v>0</v>
      </c>
      <c r="O251" t="n">
        <v>1</v>
      </c>
      <c r="P251" t="n">
        <v>0</v>
      </c>
      <c r="Q251" t="n">
        <v>1</v>
      </c>
      <c r="R251" s="2" t="inlineStr">
        <is>
          <t>Grantaggsvamp</t>
        </is>
      </c>
      <c r="S251">
        <f>HYPERLINK("https://klasma.github.io/Logging_2303/artfynd/A 35750-2023 artfynd.xlsx", "A 35750-2023")</f>
        <v/>
      </c>
      <c r="T251">
        <f>HYPERLINK("https://klasma.github.io/Logging_2303/kartor/A 35750-2023 karta.png", "A 35750-2023")</f>
        <v/>
      </c>
      <c r="V251">
        <f>HYPERLINK("https://klasma.github.io/Logging_2303/klagomål/A 35750-2023 FSC-klagomål.docx", "A 35750-2023")</f>
        <v/>
      </c>
      <c r="W251">
        <f>HYPERLINK("https://klasma.github.io/Logging_2303/klagomålsmail/A 35750-2023 FSC-klagomål mail.docx", "A 35750-2023")</f>
        <v/>
      </c>
      <c r="X251">
        <f>HYPERLINK("https://klasma.github.io/Logging_2303/tillsyn/A 35750-2023 tillsynsbegäran.docx", "A 35750-2023")</f>
        <v/>
      </c>
      <c r="Y251">
        <f>HYPERLINK("https://klasma.github.io/Logging_2303/tillsynsmail/A 35750-2023 tillsynsbegäran mail.docx", "A 35750-2023")</f>
        <v/>
      </c>
    </row>
    <row r="252" ht="15" customHeight="1">
      <c r="A252" t="inlineStr">
        <is>
          <t>A 62072-2023</t>
        </is>
      </c>
      <c r="B252" s="1" t="n">
        <v>45266</v>
      </c>
      <c r="C252" s="1" t="n">
        <v>46036</v>
      </c>
      <c r="D252" t="inlineStr">
        <is>
          <t>JÄMTLANDS LÄN</t>
        </is>
      </c>
      <c r="E252" t="inlineStr">
        <is>
          <t>RAGUNDA</t>
        </is>
      </c>
      <c r="G252" t="n">
        <v>4.5</v>
      </c>
      <c r="H252" t="n">
        <v>1</v>
      </c>
      <c r="I252" t="n">
        <v>0</v>
      </c>
      <c r="J252" t="n">
        <v>0</v>
      </c>
      <c r="K252" t="n">
        <v>1</v>
      </c>
      <c r="L252" t="n">
        <v>0</v>
      </c>
      <c r="M252" t="n">
        <v>0</v>
      </c>
      <c r="N252" t="n">
        <v>0</v>
      </c>
      <c r="O252" t="n">
        <v>1</v>
      </c>
      <c r="P252" t="n">
        <v>1</v>
      </c>
      <c r="Q252" t="n">
        <v>1</v>
      </c>
      <c r="R252" s="2" t="inlineStr">
        <is>
          <t>Lappuggla</t>
        </is>
      </c>
      <c r="S252">
        <f>HYPERLINK("https://klasma.github.io/Logging_2303/artfynd/A 62072-2023 artfynd.xlsx", "A 62072-2023")</f>
        <v/>
      </c>
      <c r="T252">
        <f>HYPERLINK("https://klasma.github.io/Logging_2303/kartor/A 62072-2023 karta.png", "A 62072-2023")</f>
        <v/>
      </c>
      <c r="V252">
        <f>HYPERLINK("https://klasma.github.io/Logging_2303/klagomål/A 62072-2023 FSC-klagomål.docx", "A 62072-2023")</f>
        <v/>
      </c>
      <c r="W252">
        <f>HYPERLINK("https://klasma.github.io/Logging_2303/klagomålsmail/A 62072-2023 FSC-klagomål mail.docx", "A 62072-2023")</f>
        <v/>
      </c>
      <c r="X252">
        <f>HYPERLINK("https://klasma.github.io/Logging_2303/tillsyn/A 62072-2023 tillsynsbegäran.docx", "A 62072-2023")</f>
        <v/>
      </c>
      <c r="Y252">
        <f>HYPERLINK("https://klasma.github.io/Logging_2303/tillsynsmail/A 62072-2023 tillsynsbegäran mail.docx", "A 62072-2023")</f>
        <v/>
      </c>
      <c r="Z252">
        <f>HYPERLINK("https://klasma.github.io/Logging_2303/fåglar/A 62072-2023 prioriterade fågelarter.docx", "A 62072-2023")</f>
        <v/>
      </c>
    </row>
    <row r="253" ht="15" customHeight="1">
      <c r="A253" t="inlineStr">
        <is>
          <t>A 20774-2024</t>
        </is>
      </c>
      <c r="B253" s="1" t="n">
        <v>45436.94644675926</v>
      </c>
      <c r="C253" s="1" t="n">
        <v>46036</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36757-2023</t>
        </is>
      </c>
      <c r="B254" s="1" t="n">
        <v>45153</v>
      </c>
      <c r="C254" s="1" t="n">
        <v>46036</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21212-2025</t>
        </is>
      </c>
      <c r="B255" s="1" t="n">
        <v>45779.48993055556</v>
      </c>
      <c r="C255" s="1" t="n">
        <v>46036</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Garnlav</t>
        </is>
      </c>
      <c r="S255">
        <f>HYPERLINK("https://klasma.github.io/Logging_2303/artfynd/A 21212-2025 artfynd.xlsx", "A 21212-2025")</f>
        <v/>
      </c>
      <c r="T255">
        <f>HYPERLINK("https://klasma.github.io/Logging_2303/kartor/A 21212-2025 karta.png", "A 21212-2025")</f>
        <v/>
      </c>
      <c r="V255">
        <f>HYPERLINK("https://klasma.github.io/Logging_2303/klagomål/A 21212-2025 FSC-klagomål.docx", "A 21212-2025")</f>
        <v/>
      </c>
      <c r="W255">
        <f>HYPERLINK("https://klasma.github.io/Logging_2303/klagomålsmail/A 21212-2025 FSC-klagomål mail.docx", "A 21212-2025")</f>
        <v/>
      </c>
      <c r="X255">
        <f>HYPERLINK("https://klasma.github.io/Logging_2303/tillsyn/A 21212-2025 tillsynsbegäran.docx", "A 21212-2025")</f>
        <v/>
      </c>
      <c r="Y255">
        <f>HYPERLINK("https://klasma.github.io/Logging_2303/tillsynsmail/A 21212-2025 tillsynsbegäran mail.docx", "A 21212-2025")</f>
        <v/>
      </c>
    </row>
    <row r="256" ht="15" customHeight="1">
      <c r="A256" t="inlineStr">
        <is>
          <t>A 44066-2024</t>
        </is>
      </c>
      <c r="B256" s="1" t="n">
        <v>45572.60363425926</v>
      </c>
      <c r="C256" s="1" t="n">
        <v>46036</v>
      </c>
      <c r="D256" t="inlineStr">
        <is>
          <t>JÄMTLANDS LÄN</t>
        </is>
      </c>
      <c r="E256" t="inlineStr">
        <is>
          <t>RAGUNDA</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44066-2024 artfynd.xlsx", "A 44066-2024")</f>
        <v/>
      </c>
      <c r="T256">
        <f>HYPERLINK("https://klasma.github.io/Logging_2303/kartor/A 44066-2024 karta.png", "A 44066-2024")</f>
        <v/>
      </c>
      <c r="V256">
        <f>HYPERLINK("https://klasma.github.io/Logging_2303/klagomål/A 44066-2024 FSC-klagomål.docx", "A 44066-2024")</f>
        <v/>
      </c>
      <c r="W256">
        <f>HYPERLINK("https://klasma.github.io/Logging_2303/klagomålsmail/A 44066-2024 FSC-klagomål mail.docx", "A 44066-2024")</f>
        <v/>
      </c>
      <c r="X256">
        <f>HYPERLINK("https://klasma.github.io/Logging_2303/tillsyn/A 44066-2024 tillsynsbegäran.docx", "A 44066-2024")</f>
        <v/>
      </c>
      <c r="Y256">
        <f>HYPERLINK("https://klasma.github.io/Logging_2303/tillsynsmail/A 44066-2024 tillsynsbegäran mail.docx", "A 44066-2024")</f>
        <v/>
      </c>
      <c r="Z256">
        <f>HYPERLINK("https://klasma.github.io/Logging_2303/fåglar/A 44066-2024 prioriterade fågelarter.docx", "A 44066-2024")</f>
        <v/>
      </c>
    </row>
    <row r="257" ht="15" customHeight="1">
      <c r="A257" t="inlineStr">
        <is>
          <t>A 2469-2021</t>
        </is>
      </c>
      <c r="B257" s="1" t="n">
        <v>44214</v>
      </c>
      <c r="C257" s="1" t="n">
        <v>46036</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46036</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46036</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46036</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48053-2022</t>
        </is>
      </c>
      <c r="B261" s="1" t="n">
        <v>44855.94125</v>
      </c>
      <c r="C261" s="1" t="n">
        <v>46036</v>
      </c>
      <c r="D261" t="inlineStr">
        <is>
          <t>JÄMTLANDS LÄN</t>
        </is>
      </c>
      <c r="E261" t="inlineStr">
        <is>
          <t>RAGUNDA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46036</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46036</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46036</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46036</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46036</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46036</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46036</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46036</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46036</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46036</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46036</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46036</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46036</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46036</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46036</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46036</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46036</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46036</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46036</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46036</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46036</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46036</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46036</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46036</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46036</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46036</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46036</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46036</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46036</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46036</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46036</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46036</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46036</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46036</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46036</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46036</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46036</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46036</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46036</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46036</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46036</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46036</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46036</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46036</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46036</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46036</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46036</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46036</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46036</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46036</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46036</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46036</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46036</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46036</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46036</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46036</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46036</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46036</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46036</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46036</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46036</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46036</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55932-2021</t>
        </is>
      </c>
      <c r="B324" s="1" t="n">
        <v>44476</v>
      </c>
      <c r="C324" s="1" t="n">
        <v>46036</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46036</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46036</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46036</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46036</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46036</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46036</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46036</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46036</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46036</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46036</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46036</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46036</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46036</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46036</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46036</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46036</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46036</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46036</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46036</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46036</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46036</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46036</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46036</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46036</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46036</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46036</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46036</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46036</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46036</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46036</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46036</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46036</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46036</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46036</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46036</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46036</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46036</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46036</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46036</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46036</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46036</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46036</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46036</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46036</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46036</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46036</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46036</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46036</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46036</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46036</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46036</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46036</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46036</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46036</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46036</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46036</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46036</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46036</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46036</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46036</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46036</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46036</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46036</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46036</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46036</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46036</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13964-2022</t>
        </is>
      </c>
      <c r="B391" s="1" t="n">
        <v>44650</v>
      </c>
      <c r="C391" s="1" t="n">
        <v>46036</v>
      </c>
      <c r="D391" t="inlineStr">
        <is>
          <t>JÄMTLANDS LÄN</t>
        </is>
      </c>
      <c r="E391" t="inlineStr">
        <is>
          <t>RAGUNDA</t>
        </is>
      </c>
      <c r="G391" t="n">
        <v>2.6</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46036</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46036</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46036</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46036</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46036</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46036</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46036</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46036</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46036</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46036</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46036</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46036</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58537-2022</t>
        </is>
      </c>
      <c r="B404" s="1" t="n">
        <v>44894</v>
      </c>
      <c r="C404" s="1" t="n">
        <v>46036</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46036</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35153-2024</t>
        </is>
      </c>
      <c r="B406" s="1" t="n">
        <v>45530</v>
      </c>
      <c r="C406" s="1" t="n">
        <v>46036</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46036</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46036</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24196-2024</t>
        </is>
      </c>
      <c r="B409" s="1" t="n">
        <v>45456.96569444444</v>
      </c>
      <c r="C409" s="1" t="n">
        <v>46036</v>
      </c>
      <c r="D409" t="inlineStr">
        <is>
          <t>JÄMTLANDS LÄN</t>
        </is>
      </c>
      <c r="E409" t="inlineStr">
        <is>
          <t>RAGUNDA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46036</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11558-2023</t>
        </is>
      </c>
      <c r="B411" s="1" t="n">
        <v>44993.94958333333</v>
      </c>
      <c r="C411" s="1" t="n">
        <v>46036</v>
      </c>
      <c r="D411" t="inlineStr">
        <is>
          <t>JÄMTLANDS LÄN</t>
        </is>
      </c>
      <c r="E411" t="inlineStr">
        <is>
          <t>RAGUNDA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14156-2024</t>
        </is>
      </c>
      <c r="B412" s="1" t="n">
        <v>45392</v>
      </c>
      <c r="C412" s="1" t="n">
        <v>46036</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14157-2024</t>
        </is>
      </c>
      <c r="B413" s="1" t="n">
        <v>45392.92903935185</v>
      </c>
      <c r="C413" s="1" t="n">
        <v>46036</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20088-2023</t>
        </is>
      </c>
      <c r="B414" s="1" t="n">
        <v>45054</v>
      </c>
      <c r="C414" s="1" t="n">
        <v>46036</v>
      </c>
      <c r="D414" t="inlineStr">
        <is>
          <t>JÄMTLANDS LÄN</t>
        </is>
      </c>
      <c r="E414" t="inlineStr">
        <is>
          <t>RAGUNDA</t>
        </is>
      </c>
      <c r="F414" t="inlineStr">
        <is>
          <t>SCA</t>
        </is>
      </c>
      <c r="G414" t="n">
        <v>23.4</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46036</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15554-2025</t>
        </is>
      </c>
      <c r="B416" s="1" t="n">
        <v>45747.67739583334</v>
      </c>
      <c r="C416" s="1" t="n">
        <v>46036</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65216-2023</t>
        </is>
      </c>
      <c r="B417" s="1" t="n">
        <v>45289</v>
      </c>
      <c r="C417" s="1" t="n">
        <v>46036</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52148-2024</t>
        </is>
      </c>
      <c r="B418" s="1" t="n">
        <v>45608.52354166667</v>
      </c>
      <c r="C418" s="1" t="n">
        <v>46036</v>
      </c>
      <c r="D418" t="inlineStr">
        <is>
          <t>JÄMTLANDS LÄN</t>
        </is>
      </c>
      <c r="E418" t="inlineStr">
        <is>
          <t>RAGUNDA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13767-2022</t>
        </is>
      </c>
      <c r="B419" s="1" t="n">
        <v>44649.47048611111</v>
      </c>
      <c r="C419" s="1" t="n">
        <v>46036</v>
      </c>
      <c r="D419" t="inlineStr">
        <is>
          <t>JÄMTLANDS LÄN</t>
        </is>
      </c>
      <c r="E419" t="inlineStr">
        <is>
          <t>RAGUNDA</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46036</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46036</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46036</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1308-2025</t>
        </is>
      </c>
      <c r="B423" s="1" t="n">
        <v>45667.55239583334</v>
      </c>
      <c r="C423" s="1" t="n">
        <v>46036</v>
      </c>
      <c r="D423" t="inlineStr">
        <is>
          <t>JÄMTLANDS LÄN</t>
        </is>
      </c>
      <c r="E423" t="inlineStr">
        <is>
          <t>RAGUNDA</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11252-2025</t>
        </is>
      </c>
      <c r="B424" s="1" t="n">
        <v>45726.38615740741</v>
      </c>
      <c r="C424" s="1" t="n">
        <v>46036</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22569-2023</t>
        </is>
      </c>
      <c r="B425" s="1" t="n">
        <v>45069</v>
      </c>
      <c r="C425" s="1" t="n">
        <v>46036</v>
      </c>
      <c r="D425" t="inlineStr">
        <is>
          <t>JÄMTLANDS LÄN</t>
        </is>
      </c>
      <c r="E425" t="inlineStr">
        <is>
          <t>RAGUNDA</t>
        </is>
      </c>
      <c r="G425" t="n">
        <v>6.6</v>
      </c>
      <c r="H425" t="n">
        <v>0</v>
      </c>
      <c r="I425" t="n">
        <v>0</v>
      </c>
      <c r="J425" t="n">
        <v>0</v>
      </c>
      <c r="K425" t="n">
        <v>0</v>
      </c>
      <c r="L425" t="n">
        <v>0</v>
      </c>
      <c r="M425" t="n">
        <v>0</v>
      </c>
      <c r="N425" t="n">
        <v>0</v>
      </c>
      <c r="O425" t="n">
        <v>0</v>
      </c>
      <c r="P425" t="n">
        <v>0</v>
      </c>
      <c r="Q425" t="n">
        <v>0</v>
      </c>
      <c r="R425" s="2" t="inlineStr"/>
    </row>
    <row r="426" ht="15" customHeight="1">
      <c r="A426" t="inlineStr">
        <is>
          <t>A 45335-2023</t>
        </is>
      </c>
      <c r="B426" s="1" t="n">
        <v>45191</v>
      </c>
      <c r="C426" s="1" t="n">
        <v>46036</v>
      </c>
      <c r="D426" t="inlineStr">
        <is>
          <t>JÄMTLANDS LÄN</t>
        </is>
      </c>
      <c r="E426" t="inlineStr">
        <is>
          <t>RAGUNDA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46036</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46036</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46036</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55524-2024</t>
        </is>
      </c>
      <c r="B430" s="1" t="n">
        <v>45622.47435185185</v>
      </c>
      <c r="C430" s="1" t="n">
        <v>46036</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7280-2024</t>
        </is>
      </c>
      <c r="B431" s="1" t="n">
        <v>45344</v>
      </c>
      <c r="C431" s="1" t="n">
        <v>46036</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25332-2023</t>
        </is>
      </c>
      <c r="B432" s="1" t="n">
        <v>45086.94010416666</v>
      </c>
      <c r="C432" s="1" t="n">
        <v>46036</v>
      </c>
      <c r="D432" t="inlineStr">
        <is>
          <t>JÄMTLANDS LÄN</t>
        </is>
      </c>
      <c r="E432" t="inlineStr">
        <is>
          <t>RAGUNDA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29920-2024</t>
        </is>
      </c>
      <c r="B433" s="1" t="n">
        <v>45487.92856481481</v>
      </c>
      <c r="C433" s="1" t="n">
        <v>46036</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57064-2024</t>
        </is>
      </c>
      <c r="B434" s="1" t="n">
        <v>45629.35326388889</v>
      </c>
      <c r="C434" s="1" t="n">
        <v>46036</v>
      </c>
      <c r="D434" t="inlineStr">
        <is>
          <t>JÄMTLANDS LÄN</t>
        </is>
      </c>
      <c r="E434" t="inlineStr">
        <is>
          <t>RAGUNDA</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44778-2024</t>
        </is>
      </c>
      <c r="B435" s="1" t="n">
        <v>45574.63355324074</v>
      </c>
      <c r="C435" s="1" t="n">
        <v>46036</v>
      </c>
      <c r="D435" t="inlineStr">
        <is>
          <t>JÄMTLANDS LÄN</t>
        </is>
      </c>
      <c r="E435" t="inlineStr">
        <is>
          <t>RAGUNDA</t>
        </is>
      </c>
      <c r="G435" t="n">
        <v>5.5</v>
      </c>
      <c r="H435" t="n">
        <v>0</v>
      </c>
      <c r="I435" t="n">
        <v>0</v>
      </c>
      <c r="J435" t="n">
        <v>0</v>
      </c>
      <c r="K435" t="n">
        <v>0</v>
      </c>
      <c r="L435" t="n">
        <v>0</v>
      </c>
      <c r="M435" t="n">
        <v>0</v>
      </c>
      <c r="N435" t="n">
        <v>0</v>
      </c>
      <c r="O435" t="n">
        <v>0</v>
      </c>
      <c r="P435" t="n">
        <v>0</v>
      </c>
      <c r="Q435" t="n">
        <v>0</v>
      </c>
      <c r="R435" s="2" t="inlineStr"/>
    </row>
    <row r="436" ht="15" customHeight="1">
      <c r="A436" t="inlineStr">
        <is>
          <t>A 2673-2024</t>
        </is>
      </c>
      <c r="B436" s="1" t="n">
        <v>45314</v>
      </c>
      <c r="C436" s="1" t="n">
        <v>46036</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3767-2025</t>
        </is>
      </c>
      <c r="B437" s="1" t="n">
        <v>45681.60203703704</v>
      </c>
      <c r="C437" s="1" t="n">
        <v>46036</v>
      </c>
      <c r="D437" t="inlineStr">
        <is>
          <t>JÄMTLANDS LÄN</t>
        </is>
      </c>
      <c r="E437" t="inlineStr">
        <is>
          <t>RAGUNDA</t>
        </is>
      </c>
      <c r="G437" t="n">
        <v>4.9</v>
      </c>
      <c r="H437" t="n">
        <v>0</v>
      </c>
      <c r="I437" t="n">
        <v>0</v>
      </c>
      <c r="J437" t="n">
        <v>0</v>
      </c>
      <c r="K437" t="n">
        <v>0</v>
      </c>
      <c r="L437" t="n">
        <v>0</v>
      </c>
      <c r="M437" t="n">
        <v>0</v>
      </c>
      <c r="N437" t="n">
        <v>0</v>
      </c>
      <c r="O437" t="n">
        <v>0</v>
      </c>
      <c r="P437" t="n">
        <v>0</v>
      </c>
      <c r="Q437" t="n">
        <v>0</v>
      </c>
      <c r="R437" s="2" t="inlineStr"/>
    </row>
    <row r="438" ht="15" customHeight="1">
      <c r="A438" t="inlineStr">
        <is>
          <t>A 64492-2023</t>
        </is>
      </c>
      <c r="B438" s="1" t="n">
        <v>45280.92645833334</v>
      </c>
      <c r="C438" s="1" t="n">
        <v>46036</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12783-2023</t>
        </is>
      </c>
      <c r="B439" s="1" t="n">
        <v>45000</v>
      </c>
      <c r="C439" s="1" t="n">
        <v>46036</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14368-2024</t>
        </is>
      </c>
      <c r="B440" s="1" t="n">
        <v>45393.94431712963</v>
      </c>
      <c r="C440" s="1" t="n">
        <v>46036</v>
      </c>
      <c r="D440" t="inlineStr">
        <is>
          <t>JÄMTLANDS LÄN</t>
        </is>
      </c>
      <c r="E440" t="inlineStr">
        <is>
          <t>RAGUNDA</t>
        </is>
      </c>
      <c r="F440" t="inlineStr">
        <is>
          <t>Naturvårdsverket</t>
        </is>
      </c>
      <c r="G440" t="n">
        <v>1.6</v>
      </c>
      <c r="H440" t="n">
        <v>0</v>
      </c>
      <c r="I440" t="n">
        <v>0</v>
      </c>
      <c r="J440" t="n">
        <v>0</v>
      </c>
      <c r="K440" t="n">
        <v>0</v>
      </c>
      <c r="L440" t="n">
        <v>0</v>
      </c>
      <c r="M440" t="n">
        <v>0</v>
      </c>
      <c r="N440" t="n">
        <v>0</v>
      </c>
      <c r="O440" t="n">
        <v>0</v>
      </c>
      <c r="P440" t="n">
        <v>0</v>
      </c>
      <c r="Q440" t="n">
        <v>0</v>
      </c>
      <c r="R440" s="2" t="inlineStr"/>
    </row>
    <row r="441" ht="15" customHeight="1">
      <c r="A441" t="inlineStr">
        <is>
          <t>A 53171-2024</t>
        </is>
      </c>
      <c r="B441" s="1" t="n">
        <v>45611.65679398148</v>
      </c>
      <c r="C441" s="1" t="n">
        <v>46036</v>
      </c>
      <c r="D441" t="inlineStr">
        <is>
          <t>JÄMTLANDS LÄN</t>
        </is>
      </c>
      <c r="E441" t="inlineStr">
        <is>
          <t>RAGUNDA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24197-2024</t>
        </is>
      </c>
      <c r="B442" s="1" t="n">
        <v>45456.96601851852</v>
      </c>
      <c r="C442" s="1" t="n">
        <v>46036</v>
      </c>
      <c r="D442" t="inlineStr">
        <is>
          <t>JÄMTLANDS LÄN</t>
        </is>
      </c>
      <c r="E442" t="inlineStr">
        <is>
          <t>RAGUNDA</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7279-2024</t>
        </is>
      </c>
      <c r="B443" s="1" t="n">
        <v>45344.92822916667</v>
      </c>
      <c r="C443" s="1" t="n">
        <v>46036</v>
      </c>
      <c r="D443" t="inlineStr">
        <is>
          <t>JÄMTLANDS LÄN</t>
        </is>
      </c>
      <c r="E443" t="inlineStr">
        <is>
          <t>RAGUNDA</t>
        </is>
      </c>
      <c r="G443" t="n">
        <v>2.1</v>
      </c>
      <c r="H443" t="n">
        <v>0</v>
      </c>
      <c r="I443" t="n">
        <v>0</v>
      </c>
      <c r="J443" t="n">
        <v>0</v>
      </c>
      <c r="K443" t="n">
        <v>0</v>
      </c>
      <c r="L443" t="n">
        <v>0</v>
      </c>
      <c r="M443" t="n">
        <v>0</v>
      </c>
      <c r="N443" t="n">
        <v>0</v>
      </c>
      <c r="O443" t="n">
        <v>0</v>
      </c>
      <c r="P443" t="n">
        <v>0</v>
      </c>
      <c r="Q443" t="n">
        <v>0</v>
      </c>
      <c r="R443" s="2" t="inlineStr"/>
    </row>
    <row r="444" ht="15" customHeight="1">
      <c r="A444" t="inlineStr">
        <is>
          <t>A 12660-2024</t>
        </is>
      </c>
      <c r="B444" s="1" t="n">
        <v>45384</v>
      </c>
      <c r="C444" s="1" t="n">
        <v>46036</v>
      </c>
      <c r="D444" t="inlineStr">
        <is>
          <t>JÄMTLANDS LÄN</t>
        </is>
      </c>
      <c r="E444" t="inlineStr">
        <is>
          <t>RAGUNDA</t>
        </is>
      </c>
      <c r="G444" t="n">
        <v>1.3</v>
      </c>
      <c r="H444" t="n">
        <v>0</v>
      </c>
      <c r="I444" t="n">
        <v>0</v>
      </c>
      <c r="J444" t="n">
        <v>0</v>
      </c>
      <c r="K444" t="n">
        <v>0</v>
      </c>
      <c r="L444" t="n">
        <v>0</v>
      </c>
      <c r="M444" t="n">
        <v>0</v>
      </c>
      <c r="N444" t="n">
        <v>0</v>
      </c>
      <c r="O444" t="n">
        <v>0</v>
      </c>
      <c r="P444" t="n">
        <v>0</v>
      </c>
      <c r="Q444" t="n">
        <v>0</v>
      </c>
      <c r="R444" s="2" t="inlineStr"/>
    </row>
    <row r="445" ht="15" customHeight="1">
      <c r="A445" t="inlineStr">
        <is>
          <t>A 54599-2023</t>
        </is>
      </c>
      <c r="B445" s="1" t="n">
        <v>45233.92591435185</v>
      </c>
      <c r="C445" s="1" t="n">
        <v>46036</v>
      </c>
      <c r="D445" t="inlineStr">
        <is>
          <t>JÄMTLANDS LÄN</t>
        </is>
      </c>
      <c r="E445" t="inlineStr">
        <is>
          <t>RAGUNDA</t>
        </is>
      </c>
      <c r="G445" t="n">
        <v>3.7</v>
      </c>
      <c r="H445" t="n">
        <v>0</v>
      </c>
      <c r="I445" t="n">
        <v>0</v>
      </c>
      <c r="J445" t="n">
        <v>0</v>
      </c>
      <c r="K445" t="n">
        <v>0</v>
      </c>
      <c r="L445" t="n">
        <v>0</v>
      </c>
      <c r="M445" t="n">
        <v>0</v>
      </c>
      <c r="N445" t="n">
        <v>0</v>
      </c>
      <c r="O445" t="n">
        <v>0</v>
      </c>
      <c r="P445" t="n">
        <v>0</v>
      </c>
      <c r="Q445" t="n">
        <v>0</v>
      </c>
      <c r="R445" s="2" t="inlineStr"/>
    </row>
    <row r="446" ht="15" customHeight="1">
      <c r="A446" t="inlineStr">
        <is>
          <t>A 55649-2023</t>
        </is>
      </c>
      <c r="B446" s="1" t="n">
        <v>45238</v>
      </c>
      <c r="C446" s="1" t="n">
        <v>46036</v>
      </c>
      <c r="D446" t="inlineStr">
        <is>
          <t>JÄMTLANDS LÄN</t>
        </is>
      </c>
      <c r="E446" t="inlineStr">
        <is>
          <t>RAGUNDA</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12521-2023</t>
        </is>
      </c>
      <c r="B447" s="1" t="n">
        <v>45000</v>
      </c>
      <c r="C447" s="1" t="n">
        <v>46036</v>
      </c>
      <c r="D447" t="inlineStr">
        <is>
          <t>JÄMTLANDS LÄN</t>
        </is>
      </c>
      <c r="E447" t="inlineStr">
        <is>
          <t>RAGUNDA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464-2023</t>
        </is>
      </c>
      <c r="B448" s="1" t="n">
        <v>44929.92489583333</v>
      </c>
      <c r="C448" s="1" t="n">
        <v>46036</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53769-2023</t>
        </is>
      </c>
      <c r="B449" s="1" t="n">
        <v>45230</v>
      </c>
      <c r="C449" s="1" t="n">
        <v>46036</v>
      </c>
      <c r="D449" t="inlineStr">
        <is>
          <t>JÄMTLANDS LÄN</t>
        </is>
      </c>
      <c r="E449" t="inlineStr">
        <is>
          <t>RAGUNDA</t>
        </is>
      </c>
      <c r="F449" t="inlineStr">
        <is>
          <t>SCA</t>
        </is>
      </c>
      <c r="G449" t="n">
        <v>11.6</v>
      </c>
      <c r="H449" t="n">
        <v>0</v>
      </c>
      <c r="I449" t="n">
        <v>0</v>
      </c>
      <c r="J449" t="n">
        <v>0</v>
      </c>
      <c r="K449" t="n">
        <v>0</v>
      </c>
      <c r="L449" t="n">
        <v>0</v>
      </c>
      <c r="M449" t="n">
        <v>0</v>
      </c>
      <c r="N449" t="n">
        <v>0</v>
      </c>
      <c r="O449" t="n">
        <v>0</v>
      </c>
      <c r="P449" t="n">
        <v>0</v>
      </c>
      <c r="Q449" t="n">
        <v>0</v>
      </c>
      <c r="R449" s="2" t="inlineStr"/>
    </row>
    <row r="450" ht="15" customHeight="1">
      <c r="A450" t="inlineStr">
        <is>
          <t>A 52228-2024</t>
        </is>
      </c>
      <c r="B450" s="1" t="n">
        <v>45608.6078587963</v>
      </c>
      <c r="C450" s="1" t="n">
        <v>46036</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29319-2023</t>
        </is>
      </c>
      <c r="B451" s="1" t="n">
        <v>45105</v>
      </c>
      <c r="C451" s="1" t="n">
        <v>46036</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18612-2024</t>
        </is>
      </c>
      <c r="B452" s="1" t="n">
        <v>45425.96239583333</v>
      </c>
      <c r="C452" s="1" t="n">
        <v>46036</v>
      </c>
      <c r="D452" t="inlineStr">
        <is>
          <t>JÄMTLANDS LÄN</t>
        </is>
      </c>
      <c r="E452" t="inlineStr">
        <is>
          <t>RAGUNDA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19264-2025</t>
        </is>
      </c>
      <c r="B453" s="1" t="n">
        <v>45769.51087962963</v>
      </c>
      <c r="C453" s="1" t="n">
        <v>46036</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29265-2024</t>
        </is>
      </c>
      <c r="B454" s="1" t="n">
        <v>45482.9491087963</v>
      </c>
      <c r="C454" s="1" t="n">
        <v>46036</v>
      </c>
      <c r="D454" t="inlineStr">
        <is>
          <t>JÄMTLANDS LÄN</t>
        </is>
      </c>
      <c r="E454" t="inlineStr">
        <is>
          <t>RAGUNDA</t>
        </is>
      </c>
      <c r="F454" t="inlineStr">
        <is>
          <t>SCA</t>
        </is>
      </c>
      <c r="G454" t="n">
        <v>11.6</v>
      </c>
      <c r="H454" t="n">
        <v>0</v>
      </c>
      <c r="I454" t="n">
        <v>0</v>
      </c>
      <c r="J454" t="n">
        <v>0</v>
      </c>
      <c r="K454" t="n">
        <v>0</v>
      </c>
      <c r="L454" t="n">
        <v>0</v>
      </c>
      <c r="M454" t="n">
        <v>0</v>
      </c>
      <c r="N454" t="n">
        <v>0</v>
      </c>
      <c r="O454" t="n">
        <v>0</v>
      </c>
      <c r="P454" t="n">
        <v>0</v>
      </c>
      <c r="Q454" t="n">
        <v>0</v>
      </c>
      <c r="R454" s="2" t="inlineStr"/>
    </row>
    <row r="455" ht="15" customHeight="1">
      <c r="A455" t="inlineStr">
        <is>
          <t>A 2242-2024</t>
        </is>
      </c>
      <c r="B455" s="1" t="n">
        <v>45309</v>
      </c>
      <c r="C455" s="1" t="n">
        <v>46036</v>
      </c>
      <c r="D455" t="inlineStr">
        <is>
          <t>JÄMTLANDS LÄN</t>
        </is>
      </c>
      <c r="E455" t="inlineStr">
        <is>
          <t>RAGUNDA</t>
        </is>
      </c>
      <c r="G455" t="n">
        <v>0.9</v>
      </c>
      <c r="H455" t="n">
        <v>0</v>
      </c>
      <c r="I455" t="n">
        <v>0</v>
      </c>
      <c r="J455" t="n">
        <v>0</v>
      </c>
      <c r="K455" t="n">
        <v>0</v>
      </c>
      <c r="L455" t="n">
        <v>0</v>
      </c>
      <c r="M455" t="n">
        <v>0</v>
      </c>
      <c r="N455" t="n">
        <v>0</v>
      </c>
      <c r="O455" t="n">
        <v>0</v>
      </c>
      <c r="P455" t="n">
        <v>0</v>
      </c>
      <c r="Q455" t="n">
        <v>0</v>
      </c>
      <c r="R455" s="2" t="inlineStr"/>
    </row>
    <row r="456" ht="15" customHeight="1">
      <c r="A456" t="inlineStr">
        <is>
          <t>A 2248-2024</t>
        </is>
      </c>
      <c r="B456" s="1" t="n">
        <v>45309</v>
      </c>
      <c r="C456" s="1" t="n">
        <v>46036</v>
      </c>
      <c r="D456" t="inlineStr">
        <is>
          <t>JÄMTLANDS LÄN</t>
        </is>
      </c>
      <c r="E456" t="inlineStr">
        <is>
          <t>RAGUNDA</t>
        </is>
      </c>
      <c r="G456" t="n">
        <v>4.2</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46036</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27291-2022</t>
        </is>
      </c>
      <c r="B458" s="1" t="n">
        <v>44741.94070601852</v>
      </c>
      <c r="C458" s="1" t="n">
        <v>46036</v>
      </c>
      <c r="D458" t="inlineStr">
        <is>
          <t>JÄMTLANDS LÄN</t>
        </is>
      </c>
      <c r="E458" t="inlineStr">
        <is>
          <t>RAGUNDA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46036</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8776-2025</t>
        </is>
      </c>
      <c r="B460" s="1" t="n">
        <v>45712.61510416667</v>
      </c>
      <c r="C460" s="1" t="n">
        <v>46036</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14821-2025</t>
        </is>
      </c>
      <c r="B461" s="1" t="n">
        <v>45743.36</v>
      </c>
      <c r="C461" s="1" t="n">
        <v>46036</v>
      </c>
      <c r="D461" t="inlineStr">
        <is>
          <t>JÄMTLANDS LÄN</t>
        </is>
      </c>
      <c r="E461" t="inlineStr">
        <is>
          <t>RAGUNDA</t>
        </is>
      </c>
      <c r="F461" t="inlineStr">
        <is>
          <t>Kyrkan</t>
        </is>
      </c>
      <c r="G461" t="n">
        <v>6.4</v>
      </c>
      <c r="H461" t="n">
        <v>0</v>
      </c>
      <c r="I461" t="n">
        <v>0</v>
      </c>
      <c r="J461" t="n">
        <v>0</v>
      </c>
      <c r="K461" t="n">
        <v>0</v>
      </c>
      <c r="L461" t="n">
        <v>0</v>
      </c>
      <c r="M461" t="n">
        <v>0</v>
      </c>
      <c r="N461" t="n">
        <v>0</v>
      </c>
      <c r="O461" t="n">
        <v>0</v>
      </c>
      <c r="P461" t="n">
        <v>0</v>
      </c>
      <c r="Q461" t="n">
        <v>0</v>
      </c>
      <c r="R461" s="2" t="inlineStr"/>
    </row>
    <row r="462" ht="15" customHeight="1">
      <c r="A462" t="inlineStr">
        <is>
          <t>A 9325-2024</t>
        </is>
      </c>
      <c r="B462" s="1" t="n">
        <v>45358.95813657407</v>
      </c>
      <c r="C462" s="1" t="n">
        <v>46036</v>
      </c>
      <c r="D462" t="inlineStr">
        <is>
          <t>JÄMTLANDS LÄN</t>
        </is>
      </c>
      <c r="E462" t="inlineStr">
        <is>
          <t>RAGUNDA</t>
        </is>
      </c>
      <c r="G462" t="n">
        <v>3.1</v>
      </c>
      <c r="H462" t="n">
        <v>0</v>
      </c>
      <c r="I462" t="n">
        <v>0</v>
      </c>
      <c r="J462" t="n">
        <v>0</v>
      </c>
      <c r="K462" t="n">
        <v>0</v>
      </c>
      <c r="L462" t="n">
        <v>0</v>
      </c>
      <c r="M462" t="n">
        <v>0</v>
      </c>
      <c r="N462" t="n">
        <v>0</v>
      </c>
      <c r="O462" t="n">
        <v>0</v>
      </c>
      <c r="P462" t="n">
        <v>0</v>
      </c>
      <c r="Q462" t="n">
        <v>0</v>
      </c>
      <c r="R462" s="2" t="inlineStr"/>
    </row>
    <row r="463" ht="15" customHeight="1">
      <c r="A463" t="inlineStr">
        <is>
          <t>A 5930-2025</t>
        </is>
      </c>
      <c r="B463" s="1" t="n">
        <v>45695.44724537037</v>
      </c>
      <c r="C463" s="1" t="n">
        <v>46036</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36375-2022</t>
        </is>
      </c>
      <c r="B464" s="1" t="n">
        <v>44803.94351851852</v>
      </c>
      <c r="C464" s="1" t="n">
        <v>46036</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46036</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8679-2023</t>
        </is>
      </c>
      <c r="B466" s="1" t="n">
        <v>44977.98670138889</v>
      </c>
      <c r="C466" s="1" t="n">
        <v>46036</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35265-2023</t>
        </is>
      </c>
      <c r="B467" s="1" t="n">
        <v>45145.95326388889</v>
      </c>
      <c r="C467" s="1" t="n">
        <v>46036</v>
      </c>
      <c r="D467" t="inlineStr">
        <is>
          <t>JÄMTLANDS LÄN</t>
        </is>
      </c>
      <c r="E467" t="inlineStr">
        <is>
          <t>RAGUNDA</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5148-2023</t>
        </is>
      </c>
      <c r="B468" s="1" t="n">
        <v>44958</v>
      </c>
      <c r="C468" s="1" t="n">
        <v>46036</v>
      </c>
      <c r="D468" t="inlineStr">
        <is>
          <t>JÄMTLANDS LÄN</t>
        </is>
      </c>
      <c r="E468" t="inlineStr">
        <is>
          <t>RAGUNDA</t>
        </is>
      </c>
      <c r="G468" t="n">
        <v>2.9</v>
      </c>
      <c r="H468" t="n">
        <v>0</v>
      </c>
      <c r="I468" t="n">
        <v>0</v>
      </c>
      <c r="J468" t="n">
        <v>0</v>
      </c>
      <c r="K468" t="n">
        <v>0</v>
      </c>
      <c r="L468" t="n">
        <v>0</v>
      </c>
      <c r="M468" t="n">
        <v>0</v>
      </c>
      <c r="N468" t="n">
        <v>0</v>
      </c>
      <c r="O468" t="n">
        <v>0</v>
      </c>
      <c r="P468" t="n">
        <v>0</v>
      </c>
      <c r="Q468" t="n">
        <v>0</v>
      </c>
      <c r="R468" s="2" t="inlineStr"/>
    </row>
    <row r="469" ht="15" customHeight="1">
      <c r="A469" t="inlineStr">
        <is>
          <t>A 66471-2021</t>
        </is>
      </c>
      <c r="B469" s="1" t="n">
        <v>44518</v>
      </c>
      <c r="C469" s="1" t="n">
        <v>46036</v>
      </c>
      <c r="D469" t="inlineStr">
        <is>
          <t>JÄMTLANDS LÄN</t>
        </is>
      </c>
      <c r="E469" t="inlineStr">
        <is>
          <t>RAGUNDA</t>
        </is>
      </c>
      <c r="G469" t="n">
        <v>13.4</v>
      </c>
      <c r="H469" t="n">
        <v>0</v>
      </c>
      <c r="I469" t="n">
        <v>0</v>
      </c>
      <c r="J469" t="n">
        <v>0</v>
      </c>
      <c r="K469" t="n">
        <v>0</v>
      </c>
      <c r="L469" t="n">
        <v>0</v>
      </c>
      <c r="M469" t="n">
        <v>0</v>
      </c>
      <c r="N469" t="n">
        <v>0</v>
      </c>
      <c r="O469" t="n">
        <v>0</v>
      </c>
      <c r="P469" t="n">
        <v>0</v>
      </c>
      <c r="Q469" t="n">
        <v>0</v>
      </c>
      <c r="R469" s="2" t="inlineStr"/>
    </row>
    <row r="470" ht="15" customHeight="1">
      <c r="A470" t="inlineStr">
        <is>
          <t>A 18778-2024</t>
        </is>
      </c>
      <c r="B470" s="1" t="n">
        <v>45426</v>
      </c>
      <c r="C470" s="1" t="n">
        <v>46036</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59556-2024</t>
        </is>
      </c>
      <c r="B471" s="1" t="n">
        <v>45638.63600694444</v>
      </c>
      <c r="C471" s="1" t="n">
        <v>46036</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8678-2023</t>
        </is>
      </c>
      <c r="B472" s="1" t="n">
        <v>44977.98660879629</v>
      </c>
      <c r="C472" s="1" t="n">
        <v>46036</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16529-2022</t>
        </is>
      </c>
      <c r="B473" s="1" t="n">
        <v>44671</v>
      </c>
      <c r="C473" s="1" t="n">
        <v>46036</v>
      </c>
      <c r="D473" t="inlineStr">
        <is>
          <t>JÄMTLANDS LÄN</t>
        </is>
      </c>
      <c r="E473" t="inlineStr">
        <is>
          <t>RAGUNDA</t>
        </is>
      </c>
      <c r="G473" t="n">
        <v>1.5</v>
      </c>
      <c r="H473" t="n">
        <v>0</v>
      </c>
      <c r="I473" t="n">
        <v>0</v>
      </c>
      <c r="J473" t="n">
        <v>0</v>
      </c>
      <c r="K473" t="n">
        <v>0</v>
      </c>
      <c r="L473" t="n">
        <v>0</v>
      </c>
      <c r="M473" t="n">
        <v>0</v>
      </c>
      <c r="N473" t="n">
        <v>0</v>
      </c>
      <c r="O473" t="n">
        <v>0</v>
      </c>
      <c r="P473" t="n">
        <v>0</v>
      </c>
      <c r="Q473" t="n">
        <v>0</v>
      </c>
      <c r="R473" s="2" t="inlineStr"/>
    </row>
    <row r="474" ht="15" customHeight="1">
      <c r="A474" t="inlineStr">
        <is>
          <t>A 16364-2023</t>
        </is>
      </c>
      <c r="B474" s="1" t="n">
        <v>45028</v>
      </c>
      <c r="C474" s="1" t="n">
        <v>46036</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61934-2022</t>
        </is>
      </c>
      <c r="B475" s="1" t="n">
        <v>44917</v>
      </c>
      <c r="C475" s="1" t="n">
        <v>46036</v>
      </c>
      <c r="D475" t="inlineStr">
        <is>
          <t>JÄMTLANDS LÄN</t>
        </is>
      </c>
      <c r="E475" t="inlineStr">
        <is>
          <t>RAGUNDA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28742-2023</t>
        </is>
      </c>
      <c r="B476" s="1" t="n">
        <v>45103</v>
      </c>
      <c r="C476" s="1" t="n">
        <v>46036</v>
      </c>
      <c r="D476" t="inlineStr">
        <is>
          <t>JÄMTLANDS LÄN</t>
        </is>
      </c>
      <c r="E476" t="inlineStr">
        <is>
          <t>RAGUNDA</t>
        </is>
      </c>
      <c r="G476" t="n">
        <v>1.8</v>
      </c>
      <c r="H476" t="n">
        <v>0</v>
      </c>
      <c r="I476" t="n">
        <v>0</v>
      </c>
      <c r="J476" t="n">
        <v>0</v>
      </c>
      <c r="K476" t="n">
        <v>0</v>
      </c>
      <c r="L476" t="n">
        <v>0</v>
      </c>
      <c r="M476" t="n">
        <v>0</v>
      </c>
      <c r="N476" t="n">
        <v>0</v>
      </c>
      <c r="O476" t="n">
        <v>0</v>
      </c>
      <c r="P476" t="n">
        <v>0</v>
      </c>
      <c r="Q476" t="n">
        <v>0</v>
      </c>
      <c r="R476" s="2" t="inlineStr"/>
    </row>
    <row r="477" ht="15" customHeight="1">
      <c r="A477" t="inlineStr">
        <is>
          <t>A 59136-2023</t>
        </is>
      </c>
      <c r="B477" s="1" t="n">
        <v>45251</v>
      </c>
      <c r="C477" s="1" t="n">
        <v>46036</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17323-2025</t>
        </is>
      </c>
      <c r="B478" s="1" t="n">
        <v>45756.63601851852</v>
      </c>
      <c r="C478" s="1" t="n">
        <v>46036</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50521-2024</t>
        </is>
      </c>
      <c r="B479" s="1" t="n">
        <v>45601.55331018518</v>
      </c>
      <c r="C479" s="1" t="n">
        <v>46036</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33621-2023</t>
        </is>
      </c>
      <c r="B480" s="1" t="n">
        <v>45119</v>
      </c>
      <c r="C480" s="1" t="n">
        <v>46036</v>
      </c>
      <c r="D480" t="inlineStr">
        <is>
          <t>JÄMTLANDS LÄN</t>
        </is>
      </c>
      <c r="E480" t="inlineStr">
        <is>
          <t>RAGUNDA</t>
        </is>
      </c>
      <c r="G480" t="n">
        <v>0.5</v>
      </c>
      <c r="H480" t="n">
        <v>0</v>
      </c>
      <c r="I480" t="n">
        <v>0</v>
      </c>
      <c r="J480" t="n">
        <v>0</v>
      </c>
      <c r="K480" t="n">
        <v>0</v>
      </c>
      <c r="L480" t="n">
        <v>0</v>
      </c>
      <c r="M480" t="n">
        <v>0</v>
      </c>
      <c r="N480" t="n">
        <v>0</v>
      </c>
      <c r="O480" t="n">
        <v>0</v>
      </c>
      <c r="P480" t="n">
        <v>0</v>
      </c>
      <c r="Q480" t="n">
        <v>0</v>
      </c>
      <c r="R480" s="2" t="inlineStr"/>
    </row>
    <row r="481" ht="15" customHeight="1">
      <c r="A481" t="inlineStr">
        <is>
          <t>A 4916-2025</t>
        </is>
      </c>
      <c r="B481" s="1" t="n">
        <v>45688.68196759259</v>
      </c>
      <c r="C481" s="1" t="n">
        <v>46036</v>
      </c>
      <c r="D481" t="inlineStr">
        <is>
          <t>JÄMTLANDS LÄN</t>
        </is>
      </c>
      <c r="E481" t="inlineStr">
        <is>
          <t>RAGUNDA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6694-2024</t>
        </is>
      </c>
      <c r="B482" s="1" t="n">
        <v>45341.95381944445</v>
      </c>
      <c r="C482" s="1" t="n">
        <v>46036</v>
      </c>
      <c r="D482" t="inlineStr">
        <is>
          <t>JÄMTLANDS LÄN</t>
        </is>
      </c>
      <c r="E482" t="inlineStr">
        <is>
          <t>RAGUNDA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59557-2023</t>
        </is>
      </c>
      <c r="B483" s="1" t="n">
        <v>45253</v>
      </c>
      <c r="C483" s="1" t="n">
        <v>46036</v>
      </c>
      <c r="D483" t="inlineStr">
        <is>
          <t>JÄMTLANDS LÄN</t>
        </is>
      </c>
      <c r="E483" t="inlineStr">
        <is>
          <t>RAGUNDA</t>
        </is>
      </c>
      <c r="G483" t="n">
        <v>1</v>
      </c>
      <c r="H483" t="n">
        <v>0</v>
      </c>
      <c r="I483" t="n">
        <v>0</v>
      </c>
      <c r="J483" t="n">
        <v>0</v>
      </c>
      <c r="K483" t="n">
        <v>0</v>
      </c>
      <c r="L483" t="n">
        <v>0</v>
      </c>
      <c r="M483" t="n">
        <v>0</v>
      </c>
      <c r="N483" t="n">
        <v>0</v>
      </c>
      <c r="O483" t="n">
        <v>0</v>
      </c>
      <c r="P483" t="n">
        <v>0</v>
      </c>
      <c r="Q483" t="n">
        <v>0</v>
      </c>
      <c r="R483" s="2" t="inlineStr"/>
    </row>
    <row r="484" ht="15" customHeight="1">
      <c r="A484" t="inlineStr">
        <is>
          <t>A 49659-2023</t>
        </is>
      </c>
      <c r="B484" s="1" t="n">
        <v>45211.95134259259</v>
      </c>
      <c r="C484" s="1" t="n">
        <v>46036</v>
      </c>
      <c r="D484" t="inlineStr">
        <is>
          <t>JÄMTLANDS LÄN</t>
        </is>
      </c>
      <c r="E484" t="inlineStr">
        <is>
          <t>RAGUNDA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1537-2024</t>
        </is>
      </c>
      <c r="B485" s="1" t="n">
        <v>45306</v>
      </c>
      <c r="C485" s="1" t="n">
        <v>46036</v>
      </c>
      <c r="D485" t="inlineStr">
        <is>
          <t>JÄMTLANDS LÄN</t>
        </is>
      </c>
      <c r="E485" t="inlineStr">
        <is>
          <t>RAGUNDA</t>
        </is>
      </c>
      <c r="G485" t="n">
        <v>0.2</v>
      </c>
      <c r="H485" t="n">
        <v>0</v>
      </c>
      <c r="I485" t="n">
        <v>0</v>
      </c>
      <c r="J485" t="n">
        <v>0</v>
      </c>
      <c r="K485" t="n">
        <v>0</v>
      </c>
      <c r="L485" t="n">
        <v>0</v>
      </c>
      <c r="M485" t="n">
        <v>0</v>
      </c>
      <c r="N485" t="n">
        <v>0</v>
      </c>
      <c r="O485" t="n">
        <v>0</v>
      </c>
      <c r="P485" t="n">
        <v>0</v>
      </c>
      <c r="Q485" t="n">
        <v>0</v>
      </c>
      <c r="R485" s="2" t="inlineStr"/>
    </row>
    <row r="486" ht="15" customHeight="1">
      <c r="A486" t="inlineStr">
        <is>
          <t>A 60935-2024</t>
        </is>
      </c>
      <c r="B486" s="1" t="n">
        <v>45645.36740740741</v>
      </c>
      <c r="C486" s="1" t="n">
        <v>46036</v>
      </c>
      <c r="D486" t="inlineStr">
        <is>
          <t>JÄMTLANDS LÄN</t>
        </is>
      </c>
      <c r="E486" t="inlineStr">
        <is>
          <t>RAGUNDA</t>
        </is>
      </c>
      <c r="G486" t="n">
        <v>2.6</v>
      </c>
      <c r="H486" t="n">
        <v>0</v>
      </c>
      <c r="I486" t="n">
        <v>0</v>
      </c>
      <c r="J486" t="n">
        <v>0</v>
      </c>
      <c r="K486" t="n">
        <v>0</v>
      </c>
      <c r="L486" t="n">
        <v>0</v>
      </c>
      <c r="M486" t="n">
        <v>0</v>
      </c>
      <c r="N486" t="n">
        <v>0</v>
      </c>
      <c r="O486" t="n">
        <v>0</v>
      </c>
      <c r="P486" t="n">
        <v>0</v>
      </c>
      <c r="Q486" t="n">
        <v>0</v>
      </c>
      <c r="R486" s="2" t="inlineStr"/>
    </row>
    <row r="487" ht="15" customHeight="1">
      <c r="A487" t="inlineStr">
        <is>
          <t>A 57112-2024</t>
        </is>
      </c>
      <c r="B487" s="1" t="n">
        <v>45629.36486111111</v>
      </c>
      <c r="C487" s="1" t="n">
        <v>46036</v>
      </c>
      <c r="D487" t="inlineStr">
        <is>
          <t>JÄMTLANDS LÄN</t>
        </is>
      </c>
      <c r="E487" t="inlineStr">
        <is>
          <t>RAGUNDA</t>
        </is>
      </c>
      <c r="G487" t="n">
        <v>0.7</v>
      </c>
      <c r="H487" t="n">
        <v>0</v>
      </c>
      <c r="I487" t="n">
        <v>0</v>
      </c>
      <c r="J487" t="n">
        <v>0</v>
      </c>
      <c r="K487" t="n">
        <v>0</v>
      </c>
      <c r="L487" t="n">
        <v>0</v>
      </c>
      <c r="M487" t="n">
        <v>0</v>
      </c>
      <c r="N487" t="n">
        <v>0</v>
      </c>
      <c r="O487" t="n">
        <v>0</v>
      </c>
      <c r="P487" t="n">
        <v>0</v>
      </c>
      <c r="Q487" t="n">
        <v>0</v>
      </c>
      <c r="R487" s="2" t="inlineStr"/>
    </row>
    <row r="488" ht="15" customHeight="1">
      <c r="A488" t="inlineStr">
        <is>
          <t>A 53136-2024</t>
        </is>
      </c>
      <c r="B488" s="1" t="n">
        <v>45611.5953125</v>
      </c>
      <c r="C488" s="1" t="n">
        <v>46036</v>
      </c>
      <c r="D488" t="inlineStr">
        <is>
          <t>JÄMTLANDS LÄN</t>
        </is>
      </c>
      <c r="E488" t="inlineStr">
        <is>
          <t>RAGUNDA</t>
        </is>
      </c>
      <c r="G488" t="n">
        <v>3.8</v>
      </c>
      <c r="H488" t="n">
        <v>0</v>
      </c>
      <c r="I488" t="n">
        <v>0</v>
      </c>
      <c r="J488" t="n">
        <v>0</v>
      </c>
      <c r="K488" t="n">
        <v>0</v>
      </c>
      <c r="L488" t="n">
        <v>0</v>
      </c>
      <c r="M488" t="n">
        <v>0</v>
      </c>
      <c r="N488" t="n">
        <v>0</v>
      </c>
      <c r="O488" t="n">
        <v>0</v>
      </c>
      <c r="P488" t="n">
        <v>0</v>
      </c>
      <c r="Q488" t="n">
        <v>0</v>
      </c>
      <c r="R488" s="2" t="inlineStr"/>
    </row>
    <row r="489" ht="15" customHeight="1">
      <c r="A489" t="inlineStr">
        <is>
          <t>A 8795-2022</t>
        </is>
      </c>
      <c r="B489" s="1" t="n">
        <v>44614</v>
      </c>
      <c r="C489" s="1" t="n">
        <v>46036</v>
      </c>
      <c r="D489" t="inlineStr">
        <is>
          <t>JÄMTLANDS LÄN</t>
        </is>
      </c>
      <c r="E489" t="inlineStr">
        <is>
          <t>RAGUNDA</t>
        </is>
      </c>
      <c r="G489" t="n">
        <v>3.9</v>
      </c>
      <c r="H489" t="n">
        <v>0</v>
      </c>
      <c r="I489" t="n">
        <v>0</v>
      </c>
      <c r="J489" t="n">
        <v>0</v>
      </c>
      <c r="K489" t="n">
        <v>0</v>
      </c>
      <c r="L489" t="n">
        <v>0</v>
      </c>
      <c r="M489" t="n">
        <v>0</v>
      </c>
      <c r="N489" t="n">
        <v>0</v>
      </c>
      <c r="O489" t="n">
        <v>0</v>
      </c>
      <c r="P489" t="n">
        <v>0</v>
      </c>
      <c r="Q489" t="n">
        <v>0</v>
      </c>
      <c r="R489" s="2" t="inlineStr"/>
    </row>
    <row r="490" ht="15" customHeight="1">
      <c r="A490" t="inlineStr">
        <is>
          <t>A 19089-2024</t>
        </is>
      </c>
      <c r="B490" s="1" t="n">
        <v>45428.00471064815</v>
      </c>
      <c r="C490" s="1" t="n">
        <v>46036</v>
      </c>
      <c r="D490" t="inlineStr">
        <is>
          <t>JÄMTLANDS LÄN</t>
        </is>
      </c>
      <c r="E490" t="inlineStr">
        <is>
          <t>RAGUNDA</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6257-2025</t>
        </is>
      </c>
      <c r="B491" s="1" t="n">
        <v>45698.59409722222</v>
      </c>
      <c r="C491" s="1" t="n">
        <v>46036</v>
      </c>
      <c r="D491" t="inlineStr">
        <is>
          <t>JÄMTLANDS LÄN</t>
        </is>
      </c>
      <c r="E491" t="inlineStr">
        <is>
          <t>RAGUNDA</t>
        </is>
      </c>
      <c r="F491" t="inlineStr">
        <is>
          <t>SCA</t>
        </is>
      </c>
      <c r="G491" t="n">
        <v>7</v>
      </c>
      <c r="H491" t="n">
        <v>0</v>
      </c>
      <c r="I491" t="n">
        <v>0</v>
      </c>
      <c r="J491" t="n">
        <v>0</v>
      </c>
      <c r="K491" t="n">
        <v>0</v>
      </c>
      <c r="L491" t="n">
        <v>0</v>
      </c>
      <c r="M491" t="n">
        <v>0</v>
      </c>
      <c r="N491" t="n">
        <v>0</v>
      </c>
      <c r="O491" t="n">
        <v>0</v>
      </c>
      <c r="P491" t="n">
        <v>0</v>
      </c>
      <c r="Q491" t="n">
        <v>0</v>
      </c>
      <c r="R491" s="2" t="inlineStr"/>
    </row>
    <row r="492" ht="15" customHeight="1">
      <c r="A492" t="inlineStr">
        <is>
          <t>A 14074-2023</t>
        </is>
      </c>
      <c r="B492" s="1" t="n">
        <v>45009.089375</v>
      </c>
      <c r="C492" s="1" t="n">
        <v>46036</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37265-2024</t>
        </is>
      </c>
      <c r="B493" s="1" t="n">
        <v>45540.38564814815</v>
      </c>
      <c r="C493" s="1" t="n">
        <v>46036</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18777-2024</t>
        </is>
      </c>
      <c r="B494" s="1" t="n">
        <v>45426</v>
      </c>
      <c r="C494" s="1" t="n">
        <v>46036</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58564-2024</t>
        </is>
      </c>
      <c r="B495" s="1" t="n">
        <v>45635.47243055556</v>
      </c>
      <c r="C495" s="1" t="n">
        <v>46036</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27510-2025</t>
        </is>
      </c>
      <c r="B496" s="1" t="n">
        <v>45813.42790509259</v>
      </c>
      <c r="C496" s="1" t="n">
        <v>46036</v>
      </c>
      <c r="D496" t="inlineStr">
        <is>
          <t>JÄMTLANDS LÄN</t>
        </is>
      </c>
      <c r="E496" t="inlineStr">
        <is>
          <t>RAGUNDA</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8243-2024</t>
        </is>
      </c>
      <c r="B497" s="1" t="n">
        <v>45351.98532407408</v>
      </c>
      <c r="C497" s="1" t="n">
        <v>46036</v>
      </c>
      <c r="D497" t="inlineStr">
        <is>
          <t>JÄMTLANDS LÄN</t>
        </is>
      </c>
      <c r="E497" t="inlineStr">
        <is>
          <t>RAGUNDA</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19404-2025</t>
        </is>
      </c>
      <c r="B498" s="1" t="n">
        <v>45769.67802083334</v>
      </c>
      <c r="C498" s="1" t="n">
        <v>46036</v>
      </c>
      <c r="D498" t="inlineStr">
        <is>
          <t>JÄMTLANDS LÄN</t>
        </is>
      </c>
      <c r="E498" t="inlineStr">
        <is>
          <t>RAGUNDA</t>
        </is>
      </c>
      <c r="F498" t="inlineStr">
        <is>
          <t>SCA</t>
        </is>
      </c>
      <c r="G498" t="n">
        <v>3</v>
      </c>
      <c r="H498" t="n">
        <v>0</v>
      </c>
      <c r="I498" t="n">
        <v>0</v>
      </c>
      <c r="J498" t="n">
        <v>0</v>
      </c>
      <c r="K498" t="n">
        <v>0</v>
      </c>
      <c r="L498" t="n">
        <v>0</v>
      </c>
      <c r="M498" t="n">
        <v>0</v>
      </c>
      <c r="N498" t="n">
        <v>0</v>
      </c>
      <c r="O498" t="n">
        <v>0</v>
      </c>
      <c r="P498" t="n">
        <v>0</v>
      </c>
      <c r="Q498" t="n">
        <v>0</v>
      </c>
      <c r="R498" s="2" t="inlineStr"/>
      <c r="U498">
        <f>HYPERLINK("https://klasma.github.io/Logging_2303/knärot/A 19404-2025 karta knärot.png", "A 19404-2025")</f>
        <v/>
      </c>
      <c r="V498">
        <f>HYPERLINK("https://klasma.github.io/Logging_2303/klagomål/A 19404-2025 FSC-klagomål.docx", "A 19404-2025")</f>
        <v/>
      </c>
      <c r="W498">
        <f>HYPERLINK("https://klasma.github.io/Logging_2303/klagomålsmail/A 19404-2025 FSC-klagomål mail.docx", "A 19404-2025")</f>
        <v/>
      </c>
      <c r="X498">
        <f>HYPERLINK("https://klasma.github.io/Logging_2303/tillsyn/A 19404-2025 tillsynsbegäran.docx", "A 19404-2025")</f>
        <v/>
      </c>
      <c r="Y498">
        <f>HYPERLINK("https://klasma.github.io/Logging_2303/tillsynsmail/A 19404-2025 tillsynsbegäran mail.docx", "A 19404-2025")</f>
        <v/>
      </c>
    </row>
    <row r="499" ht="15" customHeight="1">
      <c r="A499" t="inlineStr">
        <is>
          <t>A 1325-2025</t>
        </is>
      </c>
      <c r="B499" s="1" t="n">
        <v>45667.57342592593</v>
      </c>
      <c r="C499" s="1" t="n">
        <v>46036</v>
      </c>
      <c r="D499" t="inlineStr">
        <is>
          <t>JÄMTLANDS LÄN</t>
        </is>
      </c>
      <c r="E499" t="inlineStr">
        <is>
          <t>RAGUNDA</t>
        </is>
      </c>
      <c r="F499" t="inlineStr">
        <is>
          <t>SCA</t>
        </is>
      </c>
      <c r="G499" t="n">
        <v>20.2</v>
      </c>
      <c r="H499" t="n">
        <v>0</v>
      </c>
      <c r="I499" t="n">
        <v>0</v>
      </c>
      <c r="J499" t="n">
        <v>0</v>
      </c>
      <c r="K499" t="n">
        <v>0</v>
      </c>
      <c r="L499" t="n">
        <v>0</v>
      </c>
      <c r="M499" t="n">
        <v>0</v>
      </c>
      <c r="N499" t="n">
        <v>0</v>
      </c>
      <c r="O499" t="n">
        <v>0</v>
      </c>
      <c r="P499" t="n">
        <v>0</v>
      </c>
      <c r="Q499" t="n">
        <v>0</v>
      </c>
      <c r="R499" s="2" t="inlineStr"/>
    </row>
    <row r="500" ht="15" customHeight="1">
      <c r="A500" t="inlineStr">
        <is>
          <t>A 18159-2023</t>
        </is>
      </c>
      <c r="B500" s="1" t="n">
        <v>45040.94277777777</v>
      </c>
      <c r="C500" s="1" t="n">
        <v>46036</v>
      </c>
      <c r="D500" t="inlineStr">
        <is>
          <t>JÄMTLANDS LÄN</t>
        </is>
      </c>
      <c r="E500" t="inlineStr">
        <is>
          <t>RAGUNDA</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19486-2024</t>
        </is>
      </c>
      <c r="B501" s="1" t="n">
        <v>45429</v>
      </c>
      <c r="C501" s="1" t="n">
        <v>46036</v>
      </c>
      <c r="D501" t="inlineStr">
        <is>
          <t>JÄMTLANDS LÄN</t>
        </is>
      </c>
      <c r="E501" t="inlineStr">
        <is>
          <t>RAGUNDA</t>
        </is>
      </c>
      <c r="G501" t="n">
        <v>2.3</v>
      </c>
      <c r="H501" t="n">
        <v>0</v>
      </c>
      <c r="I501" t="n">
        <v>0</v>
      </c>
      <c r="J501" t="n">
        <v>0</v>
      </c>
      <c r="K501" t="n">
        <v>0</v>
      </c>
      <c r="L501" t="n">
        <v>0</v>
      </c>
      <c r="M501" t="n">
        <v>0</v>
      </c>
      <c r="N501" t="n">
        <v>0</v>
      </c>
      <c r="O501" t="n">
        <v>0</v>
      </c>
      <c r="P501" t="n">
        <v>0</v>
      </c>
      <c r="Q501" t="n">
        <v>0</v>
      </c>
      <c r="R501" s="2" t="inlineStr"/>
    </row>
    <row r="502" ht="15" customHeight="1">
      <c r="A502" t="inlineStr">
        <is>
          <t>A 1326-2025</t>
        </is>
      </c>
      <c r="B502" s="1" t="n">
        <v>45667.57347222222</v>
      </c>
      <c r="C502" s="1" t="n">
        <v>46036</v>
      </c>
      <c r="D502" t="inlineStr">
        <is>
          <t>JÄMTLANDS LÄN</t>
        </is>
      </c>
      <c r="E502" t="inlineStr">
        <is>
          <t>RAGUNDA</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30642-2024</t>
        </is>
      </c>
      <c r="B503" s="1" t="n">
        <v>45495.57677083334</v>
      </c>
      <c r="C503" s="1" t="n">
        <v>46036</v>
      </c>
      <c r="D503" t="inlineStr">
        <is>
          <t>JÄMTLANDS LÄN</t>
        </is>
      </c>
      <c r="E503" t="inlineStr">
        <is>
          <t>RAGUNDA</t>
        </is>
      </c>
      <c r="G503" t="n">
        <v>2.7</v>
      </c>
      <c r="H503" t="n">
        <v>0</v>
      </c>
      <c r="I503" t="n">
        <v>0</v>
      </c>
      <c r="J503" t="n">
        <v>0</v>
      </c>
      <c r="K503" t="n">
        <v>0</v>
      </c>
      <c r="L503" t="n">
        <v>0</v>
      </c>
      <c r="M503" t="n">
        <v>0</v>
      </c>
      <c r="N503" t="n">
        <v>0</v>
      </c>
      <c r="O503" t="n">
        <v>0</v>
      </c>
      <c r="P503" t="n">
        <v>0</v>
      </c>
      <c r="Q503" t="n">
        <v>0</v>
      </c>
      <c r="R503" s="2" t="inlineStr"/>
    </row>
    <row r="504" ht="15" customHeight="1">
      <c r="A504" t="inlineStr">
        <is>
          <t>A 18989-2025</t>
        </is>
      </c>
      <c r="B504" s="1" t="n">
        <v>45764</v>
      </c>
      <c r="C504" s="1" t="n">
        <v>46036</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993-2025</t>
        </is>
      </c>
      <c r="B505" s="1" t="n">
        <v>45666.44943287037</v>
      </c>
      <c r="C505" s="1" t="n">
        <v>46036</v>
      </c>
      <c r="D505" t="inlineStr">
        <is>
          <t>JÄMTLANDS LÄN</t>
        </is>
      </c>
      <c r="E505" t="inlineStr">
        <is>
          <t>RAGUNDA</t>
        </is>
      </c>
      <c r="G505" t="n">
        <v>11.3</v>
      </c>
      <c r="H505" t="n">
        <v>0</v>
      </c>
      <c r="I505" t="n">
        <v>0</v>
      </c>
      <c r="J505" t="n">
        <v>0</v>
      </c>
      <c r="K505" t="n">
        <v>0</v>
      </c>
      <c r="L505" t="n">
        <v>0</v>
      </c>
      <c r="M505" t="n">
        <v>0</v>
      </c>
      <c r="N505" t="n">
        <v>0</v>
      </c>
      <c r="O505" t="n">
        <v>0</v>
      </c>
      <c r="P505" t="n">
        <v>0</v>
      </c>
      <c r="Q505" t="n">
        <v>0</v>
      </c>
      <c r="R505" s="2" t="inlineStr"/>
    </row>
    <row r="506" ht="15" customHeight="1">
      <c r="A506" t="inlineStr">
        <is>
          <t>A 58193-2022</t>
        </is>
      </c>
      <c r="B506" s="1" t="n">
        <v>44900.95700231481</v>
      </c>
      <c r="C506" s="1" t="n">
        <v>46036</v>
      </c>
      <c r="D506" t="inlineStr">
        <is>
          <t>JÄMTLANDS LÄN</t>
        </is>
      </c>
      <c r="E506" t="inlineStr">
        <is>
          <t>RAGUNDA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28081-2022</t>
        </is>
      </c>
      <c r="B507" s="1" t="n">
        <v>44746</v>
      </c>
      <c r="C507" s="1" t="n">
        <v>46036</v>
      </c>
      <c r="D507" t="inlineStr">
        <is>
          <t>JÄMTLANDS LÄN</t>
        </is>
      </c>
      <c r="E507" t="inlineStr">
        <is>
          <t>RAGUNDA</t>
        </is>
      </c>
      <c r="G507" t="n">
        <v>7.2</v>
      </c>
      <c r="H507" t="n">
        <v>0</v>
      </c>
      <c r="I507" t="n">
        <v>0</v>
      </c>
      <c r="J507" t="n">
        <v>0</v>
      </c>
      <c r="K507" t="n">
        <v>0</v>
      </c>
      <c r="L507" t="n">
        <v>0</v>
      </c>
      <c r="M507" t="n">
        <v>0</v>
      </c>
      <c r="N507" t="n">
        <v>0</v>
      </c>
      <c r="O507" t="n">
        <v>0</v>
      </c>
      <c r="P507" t="n">
        <v>0</v>
      </c>
      <c r="Q507" t="n">
        <v>0</v>
      </c>
      <c r="R507" s="2" t="inlineStr"/>
    </row>
    <row r="508" ht="15" customHeight="1">
      <c r="A508" t="inlineStr">
        <is>
          <t>A 51049-2024</t>
        </is>
      </c>
      <c r="B508" s="1" t="n">
        <v>45603.44644675926</v>
      </c>
      <c r="C508" s="1" t="n">
        <v>46036</v>
      </c>
      <c r="D508" t="inlineStr">
        <is>
          <t>JÄMTLANDS LÄN</t>
        </is>
      </c>
      <c r="E508" t="inlineStr">
        <is>
          <t>RAGUNDA</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39192-2025</t>
        </is>
      </c>
      <c r="B509" s="1" t="n">
        <v>45888.6775</v>
      </c>
      <c r="C509" s="1" t="n">
        <v>46036</v>
      </c>
      <c r="D509" t="inlineStr">
        <is>
          <t>JÄMTLANDS LÄN</t>
        </is>
      </c>
      <c r="E509" t="inlineStr">
        <is>
          <t>RAGUNDA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44759-2024</t>
        </is>
      </c>
      <c r="B510" s="1" t="n">
        <v>45574.61634259259</v>
      </c>
      <c r="C510" s="1" t="n">
        <v>46036</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37324-2022</t>
        </is>
      </c>
      <c r="B511" s="1" t="n">
        <v>44806</v>
      </c>
      <c r="C511" s="1" t="n">
        <v>46036</v>
      </c>
      <c r="D511" t="inlineStr">
        <is>
          <t>JÄMTLANDS LÄN</t>
        </is>
      </c>
      <c r="E511" t="inlineStr">
        <is>
          <t>RAGUNDA</t>
        </is>
      </c>
      <c r="G511" t="n">
        <v>2.3</v>
      </c>
      <c r="H511" t="n">
        <v>0</v>
      </c>
      <c r="I511" t="n">
        <v>0</v>
      </c>
      <c r="J511" t="n">
        <v>0</v>
      </c>
      <c r="K511" t="n">
        <v>0</v>
      </c>
      <c r="L511" t="n">
        <v>0</v>
      </c>
      <c r="M511" t="n">
        <v>0</v>
      </c>
      <c r="N511" t="n">
        <v>0</v>
      </c>
      <c r="O511" t="n">
        <v>0</v>
      </c>
      <c r="P511" t="n">
        <v>0</v>
      </c>
      <c r="Q511" t="n">
        <v>0</v>
      </c>
      <c r="R511" s="2" t="inlineStr"/>
    </row>
    <row r="512" ht="15" customHeight="1">
      <c r="A512" t="inlineStr">
        <is>
          <t>A 41343-2024</t>
        </is>
      </c>
      <c r="B512" s="1" t="n">
        <v>45559.67745370371</v>
      </c>
      <c r="C512" s="1" t="n">
        <v>46036</v>
      </c>
      <c r="D512" t="inlineStr">
        <is>
          <t>JÄMTLANDS LÄN</t>
        </is>
      </c>
      <c r="E512" t="inlineStr">
        <is>
          <t>RAGUNDA</t>
        </is>
      </c>
      <c r="F512" t="inlineStr">
        <is>
          <t>SCA</t>
        </is>
      </c>
      <c r="G512" t="n">
        <v>25.1</v>
      </c>
      <c r="H512" t="n">
        <v>0</v>
      </c>
      <c r="I512" t="n">
        <v>0</v>
      </c>
      <c r="J512" t="n">
        <v>0</v>
      </c>
      <c r="K512" t="n">
        <v>0</v>
      </c>
      <c r="L512" t="n">
        <v>0</v>
      </c>
      <c r="M512" t="n">
        <v>0</v>
      </c>
      <c r="N512" t="n">
        <v>0</v>
      </c>
      <c r="O512" t="n">
        <v>0</v>
      </c>
      <c r="P512" t="n">
        <v>0</v>
      </c>
      <c r="Q512" t="n">
        <v>0</v>
      </c>
      <c r="R512" s="2" t="inlineStr"/>
    </row>
    <row r="513" ht="15" customHeight="1">
      <c r="A513" t="inlineStr">
        <is>
          <t>A 28637-2025</t>
        </is>
      </c>
      <c r="B513" s="1" t="n">
        <v>45819.6359375</v>
      </c>
      <c r="C513" s="1" t="n">
        <v>46036</v>
      </c>
      <c r="D513" t="inlineStr">
        <is>
          <t>JÄMTLANDS LÄN</t>
        </is>
      </c>
      <c r="E513" t="inlineStr">
        <is>
          <t>RAGUNDA</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45953-2023</t>
        </is>
      </c>
      <c r="B514" s="1" t="n">
        <v>45195.94672453704</v>
      </c>
      <c r="C514" s="1" t="n">
        <v>46036</v>
      </c>
      <c r="D514" t="inlineStr">
        <is>
          <t>JÄMTLANDS LÄN</t>
        </is>
      </c>
      <c r="E514" t="inlineStr">
        <is>
          <t>RAGUNDA</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16982-2024</t>
        </is>
      </c>
      <c r="B515" s="1" t="n">
        <v>45412.02506944445</v>
      </c>
      <c r="C515" s="1" t="n">
        <v>46036</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28973-2025</t>
        </is>
      </c>
      <c r="B516" s="1" t="n">
        <v>45821.34513888889</v>
      </c>
      <c r="C516" s="1" t="n">
        <v>46036</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49650-2024</t>
        </is>
      </c>
      <c r="B517" s="1" t="n">
        <v>45596.61569444444</v>
      </c>
      <c r="C517" s="1" t="n">
        <v>46036</v>
      </c>
      <c r="D517" t="inlineStr">
        <is>
          <t>JÄMTLANDS LÄN</t>
        </is>
      </c>
      <c r="E517" t="inlineStr">
        <is>
          <t>RAGUNDA</t>
        </is>
      </c>
      <c r="F517" t="inlineStr">
        <is>
          <t>Naturvårdsverket</t>
        </is>
      </c>
      <c r="G517" t="n">
        <v>3</v>
      </c>
      <c r="H517" t="n">
        <v>0</v>
      </c>
      <c r="I517" t="n">
        <v>0</v>
      </c>
      <c r="J517" t="n">
        <v>0</v>
      </c>
      <c r="K517" t="n">
        <v>0</v>
      </c>
      <c r="L517" t="n">
        <v>0</v>
      </c>
      <c r="M517" t="n">
        <v>0</v>
      </c>
      <c r="N517" t="n">
        <v>0</v>
      </c>
      <c r="O517" t="n">
        <v>0</v>
      </c>
      <c r="P517" t="n">
        <v>0</v>
      </c>
      <c r="Q517" t="n">
        <v>0</v>
      </c>
      <c r="R517" s="2" t="inlineStr"/>
    </row>
    <row r="518" ht="15" customHeight="1">
      <c r="A518" t="inlineStr">
        <is>
          <t>A 39384-2025</t>
        </is>
      </c>
      <c r="B518" s="1" t="n">
        <v>45889.61517361111</v>
      </c>
      <c r="C518" s="1" t="n">
        <v>46036</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49651-2024</t>
        </is>
      </c>
      <c r="B519" s="1" t="n">
        <v>45596.61582175926</v>
      </c>
      <c r="C519" s="1" t="n">
        <v>46036</v>
      </c>
      <c r="D519" t="inlineStr">
        <is>
          <t>JÄMTLANDS LÄN</t>
        </is>
      </c>
      <c r="E519" t="inlineStr">
        <is>
          <t>RAGUNDA</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28216-2025</t>
        </is>
      </c>
      <c r="B520" s="1" t="n">
        <v>45818.46898148148</v>
      </c>
      <c r="C520" s="1" t="n">
        <v>46036</v>
      </c>
      <c r="D520" t="inlineStr">
        <is>
          <t>JÄMTLANDS LÄN</t>
        </is>
      </c>
      <c r="E520" t="inlineStr">
        <is>
          <t>RAGUNDA</t>
        </is>
      </c>
      <c r="G520" t="n">
        <v>6.6</v>
      </c>
      <c r="H520" t="n">
        <v>0</v>
      </c>
      <c r="I520" t="n">
        <v>0</v>
      </c>
      <c r="J520" t="n">
        <v>0</v>
      </c>
      <c r="K520" t="n">
        <v>0</v>
      </c>
      <c r="L520" t="n">
        <v>0</v>
      </c>
      <c r="M520" t="n">
        <v>0</v>
      </c>
      <c r="N520" t="n">
        <v>0</v>
      </c>
      <c r="O520" t="n">
        <v>0</v>
      </c>
      <c r="P520" t="n">
        <v>0</v>
      </c>
      <c r="Q520" t="n">
        <v>0</v>
      </c>
      <c r="R520" s="2" t="inlineStr"/>
    </row>
    <row r="521" ht="15" customHeight="1">
      <c r="A521" t="inlineStr">
        <is>
          <t>A 29731-2025</t>
        </is>
      </c>
      <c r="B521" s="1" t="n">
        <v>45825.58252314815</v>
      </c>
      <c r="C521" s="1" t="n">
        <v>46036</v>
      </c>
      <c r="D521" t="inlineStr">
        <is>
          <t>JÄMTLANDS LÄN</t>
        </is>
      </c>
      <c r="E521" t="inlineStr">
        <is>
          <t>RAGUNDA</t>
        </is>
      </c>
      <c r="G521" t="n">
        <v>2.3</v>
      </c>
      <c r="H521" t="n">
        <v>0</v>
      </c>
      <c r="I521" t="n">
        <v>0</v>
      </c>
      <c r="J521" t="n">
        <v>0</v>
      </c>
      <c r="K521" t="n">
        <v>0</v>
      </c>
      <c r="L521" t="n">
        <v>0</v>
      </c>
      <c r="M521" t="n">
        <v>0</v>
      </c>
      <c r="N521" t="n">
        <v>0</v>
      </c>
      <c r="O521" t="n">
        <v>0</v>
      </c>
      <c r="P521" t="n">
        <v>0</v>
      </c>
      <c r="Q521" t="n">
        <v>0</v>
      </c>
      <c r="R521" s="2" t="inlineStr"/>
    </row>
    <row r="522" ht="15" customHeight="1">
      <c r="A522" t="inlineStr">
        <is>
          <t>A 64264-2023</t>
        </is>
      </c>
      <c r="B522" s="1" t="n">
        <v>45279.94564814815</v>
      </c>
      <c r="C522" s="1" t="n">
        <v>46036</v>
      </c>
      <c r="D522" t="inlineStr">
        <is>
          <t>JÄMTLANDS LÄN</t>
        </is>
      </c>
      <c r="E522" t="inlineStr">
        <is>
          <t>RAGUNDA</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29723-2025</t>
        </is>
      </c>
      <c r="B523" s="1" t="n">
        <v>45825.57675925926</v>
      </c>
      <c r="C523" s="1" t="n">
        <v>46036</v>
      </c>
      <c r="D523" t="inlineStr">
        <is>
          <t>JÄMTLANDS LÄN</t>
        </is>
      </c>
      <c r="E523" t="inlineStr">
        <is>
          <t>RAGUNDA</t>
        </is>
      </c>
      <c r="G523" t="n">
        <v>3.1</v>
      </c>
      <c r="H523" t="n">
        <v>0</v>
      </c>
      <c r="I523" t="n">
        <v>0</v>
      </c>
      <c r="J523" t="n">
        <v>0</v>
      </c>
      <c r="K523" t="n">
        <v>0</v>
      </c>
      <c r="L523" t="n">
        <v>0</v>
      </c>
      <c r="M523" t="n">
        <v>0</v>
      </c>
      <c r="N523" t="n">
        <v>0</v>
      </c>
      <c r="O523" t="n">
        <v>0</v>
      </c>
      <c r="P523" t="n">
        <v>0</v>
      </c>
      <c r="Q523" t="n">
        <v>0</v>
      </c>
      <c r="R523" s="2" t="inlineStr"/>
    </row>
    <row r="524" ht="15" customHeight="1">
      <c r="A524" t="inlineStr">
        <is>
          <t>A 42893-2022</t>
        </is>
      </c>
      <c r="B524" s="1" t="n">
        <v>44832</v>
      </c>
      <c r="C524" s="1" t="n">
        <v>46036</v>
      </c>
      <c r="D524" t="inlineStr">
        <is>
          <t>JÄMTLANDS LÄN</t>
        </is>
      </c>
      <c r="E524" t="inlineStr">
        <is>
          <t>RAGUNDA</t>
        </is>
      </c>
      <c r="F524" t="inlineStr">
        <is>
          <t>SCA</t>
        </is>
      </c>
      <c r="G524" t="n">
        <v>28.4</v>
      </c>
      <c r="H524" t="n">
        <v>0</v>
      </c>
      <c r="I524" t="n">
        <v>0</v>
      </c>
      <c r="J524" t="n">
        <v>0</v>
      </c>
      <c r="K524" t="n">
        <v>0</v>
      </c>
      <c r="L524" t="n">
        <v>0</v>
      </c>
      <c r="M524" t="n">
        <v>0</v>
      </c>
      <c r="N524" t="n">
        <v>0</v>
      </c>
      <c r="O524" t="n">
        <v>0</v>
      </c>
      <c r="P524" t="n">
        <v>0</v>
      </c>
      <c r="Q524" t="n">
        <v>0</v>
      </c>
      <c r="R524" s="2" t="inlineStr"/>
    </row>
    <row r="525" ht="15" customHeight="1">
      <c r="A525" t="inlineStr">
        <is>
          <t>A 30088-2025</t>
        </is>
      </c>
      <c r="B525" s="1" t="n">
        <v>45826.65759259259</v>
      </c>
      <c r="C525" s="1" t="n">
        <v>46036</v>
      </c>
      <c r="D525" t="inlineStr">
        <is>
          <t>JÄMTLANDS LÄN</t>
        </is>
      </c>
      <c r="E525" t="inlineStr">
        <is>
          <t>RAGUNDA</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30348-2025</t>
        </is>
      </c>
      <c r="B526" s="1" t="n">
        <v>45827.53178240741</v>
      </c>
      <c r="C526" s="1" t="n">
        <v>46036</v>
      </c>
      <c r="D526" t="inlineStr">
        <is>
          <t>JÄMTLANDS LÄN</t>
        </is>
      </c>
      <c r="E526" t="inlineStr">
        <is>
          <t>RAGUNDA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30434-2025</t>
        </is>
      </c>
      <c r="B527" s="1" t="n">
        <v>45827.63582175926</v>
      </c>
      <c r="C527" s="1" t="n">
        <v>46036</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39947-2025</t>
        </is>
      </c>
      <c r="B528" s="1" t="n">
        <v>45892.34438657408</v>
      </c>
      <c r="C528" s="1" t="n">
        <v>46036</v>
      </c>
      <c r="D528" t="inlineStr">
        <is>
          <t>JÄMTLANDS LÄN</t>
        </is>
      </c>
      <c r="E528" t="inlineStr">
        <is>
          <t>RAGUNDA</t>
        </is>
      </c>
      <c r="G528" t="n">
        <v>6.6</v>
      </c>
      <c r="H528" t="n">
        <v>0</v>
      </c>
      <c r="I528" t="n">
        <v>0</v>
      </c>
      <c r="J528" t="n">
        <v>0</v>
      </c>
      <c r="K528" t="n">
        <v>0</v>
      </c>
      <c r="L528" t="n">
        <v>0</v>
      </c>
      <c r="M528" t="n">
        <v>0</v>
      </c>
      <c r="N528" t="n">
        <v>0</v>
      </c>
      <c r="O528" t="n">
        <v>0</v>
      </c>
      <c r="P528" t="n">
        <v>0</v>
      </c>
      <c r="Q528" t="n">
        <v>0</v>
      </c>
      <c r="R528" s="2" t="inlineStr"/>
    </row>
    <row r="529" ht="15" customHeight="1">
      <c r="A529" t="inlineStr">
        <is>
          <t>A 39951-2025</t>
        </is>
      </c>
      <c r="B529" s="1" t="n">
        <v>45892.38657407407</v>
      </c>
      <c r="C529" s="1" t="n">
        <v>46036</v>
      </c>
      <c r="D529" t="inlineStr">
        <is>
          <t>JÄMTLANDS LÄN</t>
        </is>
      </c>
      <c r="E529" t="inlineStr">
        <is>
          <t>RAGUNDA</t>
        </is>
      </c>
      <c r="G529" t="n">
        <v>2.3</v>
      </c>
      <c r="H529" t="n">
        <v>0</v>
      </c>
      <c r="I529" t="n">
        <v>0</v>
      </c>
      <c r="J529" t="n">
        <v>0</v>
      </c>
      <c r="K529" t="n">
        <v>0</v>
      </c>
      <c r="L529" t="n">
        <v>0</v>
      </c>
      <c r="M529" t="n">
        <v>0</v>
      </c>
      <c r="N529" t="n">
        <v>0</v>
      </c>
      <c r="O529" t="n">
        <v>0</v>
      </c>
      <c r="P529" t="n">
        <v>0</v>
      </c>
      <c r="Q529" t="n">
        <v>0</v>
      </c>
      <c r="R529" s="2" t="inlineStr"/>
    </row>
    <row r="530" ht="15" customHeight="1">
      <c r="A530" t="inlineStr">
        <is>
          <t>A 39948-2025</t>
        </is>
      </c>
      <c r="B530" s="1" t="n">
        <v>45892.38591435185</v>
      </c>
      <c r="C530" s="1" t="n">
        <v>46036</v>
      </c>
      <c r="D530" t="inlineStr">
        <is>
          <t>JÄMTLANDS LÄN</t>
        </is>
      </c>
      <c r="E530" t="inlineStr">
        <is>
          <t>RAGUNDA</t>
        </is>
      </c>
      <c r="G530" t="n">
        <v>5</v>
      </c>
      <c r="H530" t="n">
        <v>0</v>
      </c>
      <c r="I530" t="n">
        <v>0</v>
      </c>
      <c r="J530" t="n">
        <v>0</v>
      </c>
      <c r="K530" t="n">
        <v>0</v>
      </c>
      <c r="L530" t="n">
        <v>0</v>
      </c>
      <c r="M530" t="n">
        <v>0</v>
      </c>
      <c r="N530" t="n">
        <v>0</v>
      </c>
      <c r="O530" t="n">
        <v>0</v>
      </c>
      <c r="P530" t="n">
        <v>0</v>
      </c>
      <c r="Q530" t="n">
        <v>0</v>
      </c>
      <c r="R530" s="2" t="inlineStr"/>
    </row>
    <row r="531" ht="15" customHeight="1">
      <c r="A531" t="inlineStr">
        <is>
          <t>A 39946-2025</t>
        </is>
      </c>
      <c r="B531" s="1" t="n">
        <v>45892.34423611111</v>
      </c>
      <c r="C531" s="1" t="n">
        <v>46036</v>
      </c>
      <c r="D531" t="inlineStr">
        <is>
          <t>JÄMTLANDS LÄN</t>
        </is>
      </c>
      <c r="E531" t="inlineStr">
        <is>
          <t>RAGUNDA</t>
        </is>
      </c>
      <c r="G531" t="n">
        <v>4.7</v>
      </c>
      <c r="H531" t="n">
        <v>0</v>
      </c>
      <c r="I531" t="n">
        <v>0</v>
      </c>
      <c r="J531" t="n">
        <v>0</v>
      </c>
      <c r="K531" t="n">
        <v>0</v>
      </c>
      <c r="L531" t="n">
        <v>0</v>
      </c>
      <c r="M531" t="n">
        <v>0</v>
      </c>
      <c r="N531" t="n">
        <v>0</v>
      </c>
      <c r="O531" t="n">
        <v>0</v>
      </c>
      <c r="P531" t="n">
        <v>0</v>
      </c>
      <c r="Q531" t="n">
        <v>0</v>
      </c>
      <c r="R531" s="2" t="inlineStr"/>
    </row>
    <row r="532" ht="15" customHeight="1">
      <c r="A532" t="inlineStr">
        <is>
          <t>A 39950-2025</t>
        </is>
      </c>
      <c r="B532" s="1" t="n">
        <v>45892.38641203703</v>
      </c>
      <c r="C532" s="1" t="n">
        <v>46036</v>
      </c>
      <c r="D532" t="inlineStr">
        <is>
          <t>JÄMTLANDS LÄN</t>
        </is>
      </c>
      <c r="E532" t="inlineStr">
        <is>
          <t>RAGUNDA</t>
        </is>
      </c>
      <c r="G532" t="n">
        <v>1.1</v>
      </c>
      <c r="H532" t="n">
        <v>0</v>
      </c>
      <c r="I532" t="n">
        <v>0</v>
      </c>
      <c r="J532" t="n">
        <v>0</v>
      </c>
      <c r="K532" t="n">
        <v>0</v>
      </c>
      <c r="L532" t="n">
        <v>0</v>
      </c>
      <c r="M532" t="n">
        <v>0</v>
      </c>
      <c r="N532" t="n">
        <v>0</v>
      </c>
      <c r="O532" t="n">
        <v>0</v>
      </c>
      <c r="P532" t="n">
        <v>0</v>
      </c>
      <c r="Q532" t="n">
        <v>0</v>
      </c>
      <c r="R532" s="2" t="inlineStr"/>
    </row>
    <row r="533" ht="15" customHeight="1">
      <c r="A533" t="inlineStr">
        <is>
          <t>A 39955-2025</t>
        </is>
      </c>
      <c r="B533" s="1" t="n">
        <v>45892.44824074074</v>
      </c>
      <c r="C533" s="1" t="n">
        <v>46036</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39956-2025</t>
        </is>
      </c>
      <c r="B534" s="1" t="n">
        <v>45892.44840277778</v>
      </c>
      <c r="C534" s="1" t="n">
        <v>46036</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29940-2023</t>
        </is>
      </c>
      <c r="B535" s="1" t="n">
        <v>45107</v>
      </c>
      <c r="C535" s="1" t="n">
        <v>46036</v>
      </c>
      <c r="D535" t="inlineStr">
        <is>
          <t>JÄMTLANDS LÄN</t>
        </is>
      </c>
      <c r="E535" t="inlineStr">
        <is>
          <t>RAGUNDA</t>
        </is>
      </c>
      <c r="G535" t="n">
        <v>13.5</v>
      </c>
      <c r="H535" t="n">
        <v>0</v>
      </c>
      <c r="I535" t="n">
        <v>0</v>
      </c>
      <c r="J535" t="n">
        <v>0</v>
      </c>
      <c r="K535" t="n">
        <v>0</v>
      </c>
      <c r="L535" t="n">
        <v>0</v>
      </c>
      <c r="M535" t="n">
        <v>0</v>
      </c>
      <c r="N535" t="n">
        <v>0</v>
      </c>
      <c r="O535" t="n">
        <v>0</v>
      </c>
      <c r="P535" t="n">
        <v>0</v>
      </c>
      <c r="Q535" t="n">
        <v>0</v>
      </c>
      <c r="R535" s="2" t="inlineStr"/>
    </row>
    <row r="536" ht="15" customHeight="1">
      <c r="A536" t="inlineStr">
        <is>
          <t>A 31463-2024</t>
        </is>
      </c>
      <c r="B536" s="1" t="n">
        <v>45505</v>
      </c>
      <c r="C536" s="1" t="n">
        <v>46036</v>
      </c>
      <c r="D536" t="inlineStr">
        <is>
          <t>JÄMTLANDS LÄN</t>
        </is>
      </c>
      <c r="E536" t="inlineStr">
        <is>
          <t>RAGUNDA</t>
        </is>
      </c>
      <c r="F536" t="inlineStr">
        <is>
          <t>SCA</t>
        </is>
      </c>
      <c r="G536" t="n">
        <v>20.3</v>
      </c>
      <c r="H536" t="n">
        <v>0</v>
      </c>
      <c r="I536" t="n">
        <v>0</v>
      </c>
      <c r="J536" t="n">
        <v>0</v>
      </c>
      <c r="K536" t="n">
        <v>0</v>
      </c>
      <c r="L536" t="n">
        <v>0</v>
      </c>
      <c r="M536" t="n">
        <v>0</v>
      </c>
      <c r="N536" t="n">
        <v>0</v>
      </c>
      <c r="O536" t="n">
        <v>0</v>
      </c>
      <c r="P536" t="n">
        <v>0</v>
      </c>
      <c r="Q536" t="n">
        <v>0</v>
      </c>
      <c r="R536" s="2" t="inlineStr"/>
    </row>
    <row r="537" ht="15" customHeight="1">
      <c r="A537" t="inlineStr">
        <is>
          <t>A 39949-2025</t>
        </is>
      </c>
      <c r="B537" s="1" t="n">
        <v>45892.38619212963</v>
      </c>
      <c r="C537" s="1" t="n">
        <v>46036</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30887-2025</t>
        </is>
      </c>
      <c r="B538" s="1" t="n">
        <v>45832.3459375</v>
      </c>
      <c r="C538" s="1" t="n">
        <v>46036</v>
      </c>
      <c r="D538" t="inlineStr">
        <is>
          <t>JÄMTLANDS LÄN</t>
        </is>
      </c>
      <c r="E538" t="inlineStr">
        <is>
          <t>RAGUNDA</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30883-2025</t>
        </is>
      </c>
      <c r="B539" s="1" t="n">
        <v>45832.34552083333</v>
      </c>
      <c r="C539" s="1" t="n">
        <v>46036</v>
      </c>
      <c r="D539" t="inlineStr">
        <is>
          <t>JÄMTLANDS LÄN</t>
        </is>
      </c>
      <c r="E539" t="inlineStr">
        <is>
          <t>RAGUNDA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23303-2024</t>
        </is>
      </c>
      <c r="B540" s="1" t="n">
        <v>45453.4444212963</v>
      </c>
      <c r="C540" s="1" t="n">
        <v>46036</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40586-2025</t>
        </is>
      </c>
      <c r="B541" s="1" t="n">
        <v>45896.52478009259</v>
      </c>
      <c r="C541" s="1" t="n">
        <v>46036</v>
      </c>
      <c r="D541" t="inlineStr">
        <is>
          <t>JÄMTLANDS LÄN</t>
        </is>
      </c>
      <c r="E541" t="inlineStr">
        <is>
          <t>RAGUNDA</t>
        </is>
      </c>
      <c r="G541" t="n">
        <v>1.2</v>
      </c>
      <c r="H541" t="n">
        <v>0</v>
      </c>
      <c r="I541" t="n">
        <v>0</v>
      </c>
      <c r="J541" t="n">
        <v>0</v>
      </c>
      <c r="K541" t="n">
        <v>0</v>
      </c>
      <c r="L541" t="n">
        <v>0</v>
      </c>
      <c r="M541" t="n">
        <v>0</v>
      </c>
      <c r="N541" t="n">
        <v>0</v>
      </c>
      <c r="O541" t="n">
        <v>0</v>
      </c>
      <c r="P541" t="n">
        <v>0</v>
      </c>
      <c r="Q541" t="n">
        <v>0</v>
      </c>
      <c r="R541" s="2" t="inlineStr"/>
    </row>
    <row r="542" ht="15" customHeight="1">
      <c r="A542" t="inlineStr">
        <is>
          <t>A 179-2025</t>
        </is>
      </c>
      <c r="B542" s="1" t="n">
        <v>45659.69822916666</v>
      </c>
      <c r="C542" s="1" t="n">
        <v>46036</v>
      </c>
      <c r="D542" t="inlineStr">
        <is>
          <t>JÄMTLANDS LÄN</t>
        </is>
      </c>
      <c r="E542" t="inlineStr">
        <is>
          <t>RAGUNDA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30880-2025</t>
        </is>
      </c>
      <c r="B543" s="1" t="n">
        <v>45832.34524305556</v>
      </c>
      <c r="C543" s="1" t="n">
        <v>46036</v>
      </c>
      <c r="D543" t="inlineStr">
        <is>
          <t>JÄMTLANDS LÄN</t>
        </is>
      </c>
      <c r="E543" t="inlineStr">
        <is>
          <t>RAGUNDA</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22412-2024</t>
        </is>
      </c>
      <c r="B544" s="1" t="n">
        <v>45446.68947916666</v>
      </c>
      <c r="C544" s="1" t="n">
        <v>46036</v>
      </c>
      <c r="D544" t="inlineStr">
        <is>
          <t>JÄMTLANDS LÄN</t>
        </is>
      </c>
      <c r="E544" t="inlineStr">
        <is>
          <t>RAGUNDA</t>
        </is>
      </c>
      <c r="G544" t="n">
        <v>0.8</v>
      </c>
      <c r="H544" t="n">
        <v>0</v>
      </c>
      <c r="I544" t="n">
        <v>0</v>
      </c>
      <c r="J544" t="n">
        <v>0</v>
      </c>
      <c r="K544" t="n">
        <v>0</v>
      </c>
      <c r="L544" t="n">
        <v>0</v>
      </c>
      <c r="M544" t="n">
        <v>0</v>
      </c>
      <c r="N544" t="n">
        <v>0</v>
      </c>
      <c r="O544" t="n">
        <v>0</v>
      </c>
      <c r="P544" t="n">
        <v>0</v>
      </c>
      <c r="Q544" t="n">
        <v>0</v>
      </c>
      <c r="R544" s="2" t="inlineStr"/>
    </row>
    <row r="545" ht="15" customHeight="1">
      <c r="A545" t="inlineStr">
        <is>
          <t>A 13334-2024</t>
        </is>
      </c>
      <c r="B545" s="1" t="n">
        <v>45386</v>
      </c>
      <c r="C545" s="1" t="n">
        <v>46036</v>
      </c>
      <c r="D545" t="inlineStr">
        <is>
          <t>JÄMTLANDS LÄN</t>
        </is>
      </c>
      <c r="E545" t="inlineStr">
        <is>
          <t>RAGUNDA</t>
        </is>
      </c>
      <c r="G545" t="n">
        <v>8.6</v>
      </c>
      <c r="H545" t="n">
        <v>0</v>
      </c>
      <c r="I545" t="n">
        <v>0</v>
      </c>
      <c r="J545" t="n">
        <v>0</v>
      </c>
      <c r="K545" t="n">
        <v>0</v>
      </c>
      <c r="L545" t="n">
        <v>0</v>
      </c>
      <c r="M545" t="n">
        <v>0</v>
      </c>
      <c r="N545" t="n">
        <v>0</v>
      </c>
      <c r="O545" t="n">
        <v>0</v>
      </c>
      <c r="P545" t="n">
        <v>0</v>
      </c>
      <c r="Q545" t="n">
        <v>0</v>
      </c>
      <c r="R545" s="2" t="inlineStr"/>
    </row>
    <row r="546" ht="15" customHeight="1">
      <c r="A546" t="inlineStr">
        <is>
          <t>A 41161-2025</t>
        </is>
      </c>
      <c r="B546" s="1" t="n">
        <v>45898.53193287037</v>
      </c>
      <c r="C546" s="1" t="n">
        <v>46036</v>
      </c>
      <c r="D546" t="inlineStr">
        <is>
          <t>JÄMTLANDS LÄN</t>
        </is>
      </c>
      <c r="E546" t="inlineStr">
        <is>
          <t>RAGUNDA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60443-2023</t>
        </is>
      </c>
      <c r="B547" s="1" t="n">
        <v>45258</v>
      </c>
      <c r="C547" s="1" t="n">
        <v>46036</v>
      </c>
      <c r="D547" t="inlineStr">
        <is>
          <t>JÄMTLANDS LÄN</t>
        </is>
      </c>
      <c r="E547" t="inlineStr">
        <is>
          <t>RAGUNDA</t>
        </is>
      </c>
      <c r="G547" t="n">
        <v>2.9</v>
      </c>
      <c r="H547" t="n">
        <v>0</v>
      </c>
      <c r="I547" t="n">
        <v>0</v>
      </c>
      <c r="J547" t="n">
        <v>0</v>
      </c>
      <c r="K547" t="n">
        <v>0</v>
      </c>
      <c r="L547" t="n">
        <v>0</v>
      </c>
      <c r="M547" t="n">
        <v>0</v>
      </c>
      <c r="N547" t="n">
        <v>0</v>
      </c>
      <c r="O547" t="n">
        <v>0</v>
      </c>
      <c r="P547" t="n">
        <v>0</v>
      </c>
      <c r="Q547" t="n">
        <v>0</v>
      </c>
      <c r="R547" s="2" t="inlineStr"/>
    </row>
    <row r="548" ht="15" customHeight="1">
      <c r="A548" t="inlineStr">
        <is>
          <t>A 21726-2023</t>
        </is>
      </c>
      <c r="B548" s="1" t="n">
        <v>45065.42894675926</v>
      </c>
      <c r="C548" s="1" t="n">
        <v>46036</v>
      </c>
      <c r="D548" t="inlineStr">
        <is>
          <t>JÄMTLANDS LÄN</t>
        </is>
      </c>
      <c r="E548" t="inlineStr">
        <is>
          <t>RAGUNDA</t>
        </is>
      </c>
      <c r="G548" t="n">
        <v>0.4</v>
      </c>
      <c r="H548" t="n">
        <v>0</v>
      </c>
      <c r="I548" t="n">
        <v>0</v>
      </c>
      <c r="J548" t="n">
        <v>0</v>
      </c>
      <c r="K548" t="n">
        <v>0</v>
      </c>
      <c r="L548" t="n">
        <v>0</v>
      </c>
      <c r="M548" t="n">
        <v>0</v>
      </c>
      <c r="N548" t="n">
        <v>0</v>
      </c>
      <c r="O548" t="n">
        <v>0</v>
      </c>
      <c r="P548" t="n">
        <v>0</v>
      </c>
      <c r="Q548" t="n">
        <v>0</v>
      </c>
      <c r="R548" s="2" t="inlineStr"/>
    </row>
    <row r="549" ht="15" customHeight="1">
      <c r="A549" t="inlineStr">
        <is>
          <t>A 41233-2025</t>
        </is>
      </c>
      <c r="B549" s="1" t="n">
        <v>45898.59295138889</v>
      </c>
      <c r="C549" s="1" t="n">
        <v>46036</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32096-2025</t>
        </is>
      </c>
      <c r="B550" s="1" t="n">
        <v>45835.46334490741</v>
      </c>
      <c r="C550" s="1" t="n">
        <v>46036</v>
      </c>
      <c r="D550" t="inlineStr">
        <is>
          <t>JÄMTLANDS LÄN</t>
        </is>
      </c>
      <c r="E550" t="inlineStr">
        <is>
          <t>RAGUNDA</t>
        </is>
      </c>
      <c r="G550" t="n">
        <v>0.9</v>
      </c>
      <c r="H550" t="n">
        <v>0</v>
      </c>
      <c r="I550" t="n">
        <v>0</v>
      </c>
      <c r="J550" t="n">
        <v>0</v>
      </c>
      <c r="K550" t="n">
        <v>0</v>
      </c>
      <c r="L550" t="n">
        <v>0</v>
      </c>
      <c r="M550" t="n">
        <v>0</v>
      </c>
      <c r="N550" t="n">
        <v>0</v>
      </c>
      <c r="O550" t="n">
        <v>0</v>
      </c>
      <c r="P550" t="n">
        <v>0</v>
      </c>
      <c r="Q550" t="n">
        <v>0</v>
      </c>
      <c r="R550" s="2" t="inlineStr"/>
    </row>
    <row r="551" ht="15" customHeight="1">
      <c r="A551" t="inlineStr">
        <is>
          <t>A 32151-2025</t>
        </is>
      </c>
      <c r="B551" s="1" t="n">
        <v>45835.53166666667</v>
      </c>
      <c r="C551" s="1" t="n">
        <v>46036</v>
      </c>
      <c r="D551" t="inlineStr">
        <is>
          <t>JÄMTLANDS LÄN</t>
        </is>
      </c>
      <c r="E551" t="inlineStr">
        <is>
          <t>RAGUNDA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32306-2025</t>
        </is>
      </c>
      <c r="B552" s="1" t="n">
        <v>45835.72046296296</v>
      </c>
      <c r="C552" s="1" t="n">
        <v>46036</v>
      </c>
      <c r="D552" t="inlineStr">
        <is>
          <t>JÄMTLANDS LÄN</t>
        </is>
      </c>
      <c r="E552" t="inlineStr">
        <is>
          <t>RAGUNDA</t>
        </is>
      </c>
      <c r="G552" t="n">
        <v>10.2</v>
      </c>
      <c r="H552" t="n">
        <v>0</v>
      </c>
      <c r="I552" t="n">
        <v>0</v>
      </c>
      <c r="J552" t="n">
        <v>0</v>
      </c>
      <c r="K552" t="n">
        <v>0</v>
      </c>
      <c r="L552" t="n">
        <v>0</v>
      </c>
      <c r="M552" t="n">
        <v>0</v>
      </c>
      <c r="N552" t="n">
        <v>0</v>
      </c>
      <c r="O552" t="n">
        <v>0</v>
      </c>
      <c r="P552" t="n">
        <v>0</v>
      </c>
      <c r="Q552" t="n">
        <v>0</v>
      </c>
      <c r="R552" s="2" t="inlineStr"/>
    </row>
    <row r="553" ht="15" customHeight="1">
      <c r="A553" t="inlineStr">
        <is>
          <t>A 41262-2025</t>
        </is>
      </c>
      <c r="B553" s="1" t="n">
        <v>45898.61502314815</v>
      </c>
      <c r="C553" s="1" t="n">
        <v>46036</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45952-2023</t>
        </is>
      </c>
      <c r="B554" s="1" t="n">
        <v>45195</v>
      </c>
      <c r="C554" s="1" t="n">
        <v>46036</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45954-2023</t>
        </is>
      </c>
      <c r="B555" s="1" t="n">
        <v>45195.94679398148</v>
      </c>
      <c r="C555" s="1" t="n">
        <v>46036</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45955-2023</t>
        </is>
      </c>
      <c r="B556" s="1" t="n">
        <v>45195.94685185186</v>
      </c>
      <c r="C556" s="1" t="n">
        <v>46036</v>
      </c>
      <c r="D556" t="inlineStr">
        <is>
          <t>JÄMTLANDS LÄN</t>
        </is>
      </c>
      <c r="E556" t="inlineStr">
        <is>
          <t>RAGUNDA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60456-2023</t>
        </is>
      </c>
      <c r="B557" s="1" t="n">
        <v>45258</v>
      </c>
      <c r="C557" s="1" t="n">
        <v>46036</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32021-2025</t>
        </is>
      </c>
      <c r="B558" s="1" t="n">
        <v>45835.40668981482</v>
      </c>
      <c r="C558" s="1" t="n">
        <v>46036</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16334-2025</t>
        </is>
      </c>
      <c r="B559" s="1" t="n">
        <v>45751.36490740741</v>
      </c>
      <c r="C559" s="1" t="n">
        <v>46036</v>
      </c>
      <c r="D559" t="inlineStr">
        <is>
          <t>JÄMTLANDS LÄN</t>
        </is>
      </c>
      <c r="E559" t="inlineStr">
        <is>
          <t>RAGUNDA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31882-2025</t>
        </is>
      </c>
      <c r="B560" s="1" t="n">
        <v>45834.65662037037</v>
      </c>
      <c r="C560" s="1" t="n">
        <v>46036</v>
      </c>
      <c r="D560" t="inlineStr">
        <is>
          <t>JÄMTLANDS LÄN</t>
        </is>
      </c>
      <c r="E560" t="inlineStr">
        <is>
          <t>RAGUNDA</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41423-2025</t>
        </is>
      </c>
      <c r="B561" s="1" t="n">
        <v>45901.38578703703</v>
      </c>
      <c r="C561" s="1" t="n">
        <v>46036</v>
      </c>
      <c r="D561" t="inlineStr">
        <is>
          <t>JÄMTLANDS LÄN</t>
        </is>
      </c>
      <c r="E561" t="inlineStr">
        <is>
          <t>RAGUNDA</t>
        </is>
      </c>
      <c r="G561" t="n">
        <v>0.7</v>
      </c>
      <c r="H561" t="n">
        <v>0</v>
      </c>
      <c r="I561" t="n">
        <v>0</v>
      </c>
      <c r="J561" t="n">
        <v>0</v>
      </c>
      <c r="K561" t="n">
        <v>0</v>
      </c>
      <c r="L561" t="n">
        <v>0</v>
      </c>
      <c r="M561" t="n">
        <v>0</v>
      </c>
      <c r="N561" t="n">
        <v>0</v>
      </c>
      <c r="O561" t="n">
        <v>0</v>
      </c>
      <c r="P561" t="n">
        <v>0</v>
      </c>
      <c r="Q561" t="n">
        <v>0</v>
      </c>
      <c r="R561" s="2" t="inlineStr"/>
    </row>
    <row r="562" ht="15" customHeight="1">
      <c r="A562" t="inlineStr">
        <is>
          <t>A 58438-2022</t>
        </is>
      </c>
      <c r="B562" s="1" t="n">
        <v>44901</v>
      </c>
      <c r="C562" s="1" t="n">
        <v>46036</v>
      </c>
      <c r="D562" t="inlineStr">
        <is>
          <t>JÄMTLANDS LÄN</t>
        </is>
      </c>
      <c r="E562" t="inlineStr">
        <is>
          <t>RAGUNDA</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58442-2022</t>
        </is>
      </c>
      <c r="B563" s="1" t="n">
        <v>44901</v>
      </c>
      <c r="C563" s="1" t="n">
        <v>46036</v>
      </c>
      <c r="D563" t="inlineStr">
        <is>
          <t>JÄMTLANDS LÄN</t>
        </is>
      </c>
      <c r="E563" t="inlineStr">
        <is>
          <t>RAGUNDA</t>
        </is>
      </c>
      <c r="F563" t="inlineStr">
        <is>
          <t>SCA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5806-2025</t>
        </is>
      </c>
      <c r="B564" s="1" t="n">
        <v>45694.69826388889</v>
      </c>
      <c r="C564" s="1" t="n">
        <v>46036</v>
      </c>
      <c r="D564" t="inlineStr">
        <is>
          <t>JÄMTLANDS LÄN</t>
        </is>
      </c>
      <c r="E564" t="inlineStr">
        <is>
          <t>RAGUNDA</t>
        </is>
      </c>
      <c r="F564" t="inlineStr">
        <is>
          <t>SCA</t>
        </is>
      </c>
      <c r="G564" t="n">
        <v>5.8</v>
      </c>
      <c r="H564" t="n">
        <v>0</v>
      </c>
      <c r="I564" t="n">
        <v>0</v>
      </c>
      <c r="J564" t="n">
        <v>0</v>
      </c>
      <c r="K564" t="n">
        <v>0</v>
      </c>
      <c r="L564" t="n">
        <v>0</v>
      </c>
      <c r="M564" t="n">
        <v>0</v>
      </c>
      <c r="N564" t="n">
        <v>0</v>
      </c>
      <c r="O564" t="n">
        <v>0</v>
      </c>
      <c r="P564" t="n">
        <v>0</v>
      </c>
      <c r="Q564" t="n">
        <v>0</v>
      </c>
      <c r="R564" s="2" t="inlineStr"/>
    </row>
    <row r="565" ht="15" customHeight="1">
      <c r="A565" t="inlineStr">
        <is>
          <t>A 41179-2022</t>
        </is>
      </c>
      <c r="B565" s="1" t="n">
        <v>44825</v>
      </c>
      <c r="C565" s="1" t="n">
        <v>46036</v>
      </c>
      <c r="D565" t="inlineStr">
        <is>
          <t>JÄMTLANDS LÄN</t>
        </is>
      </c>
      <c r="E565" t="inlineStr">
        <is>
          <t>RAGUNDA</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32796-2025</t>
        </is>
      </c>
      <c r="B566" s="1" t="n">
        <v>45839.49082175926</v>
      </c>
      <c r="C566" s="1" t="n">
        <v>46036</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32655-2025</t>
        </is>
      </c>
      <c r="B567" s="1" t="n">
        <v>45838.67800925926</v>
      </c>
      <c r="C567" s="1" t="n">
        <v>46036</v>
      </c>
      <c r="D567" t="inlineStr">
        <is>
          <t>JÄMTLANDS LÄN</t>
        </is>
      </c>
      <c r="E567" t="inlineStr">
        <is>
          <t>RAGUNDA</t>
        </is>
      </c>
      <c r="G567" t="n">
        <v>2.8</v>
      </c>
      <c r="H567" t="n">
        <v>0</v>
      </c>
      <c r="I567" t="n">
        <v>0</v>
      </c>
      <c r="J567" t="n">
        <v>0</v>
      </c>
      <c r="K567" t="n">
        <v>0</v>
      </c>
      <c r="L567" t="n">
        <v>0</v>
      </c>
      <c r="M567" t="n">
        <v>0</v>
      </c>
      <c r="N567" t="n">
        <v>0</v>
      </c>
      <c r="O567" t="n">
        <v>0</v>
      </c>
      <c r="P567" t="n">
        <v>0</v>
      </c>
      <c r="Q567" t="n">
        <v>0</v>
      </c>
      <c r="R567" s="2" t="inlineStr"/>
    </row>
    <row r="568" ht="15" customHeight="1">
      <c r="A568" t="inlineStr">
        <is>
          <t>A 32751-2025</t>
        </is>
      </c>
      <c r="B568" s="1" t="n">
        <v>45839.42864583333</v>
      </c>
      <c r="C568" s="1" t="n">
        <v>46036</v>
      </c>
      <c r="D568" t="inlineStr">
        <is>
          <t>JÄMTLANDS LÄN</t>
        </is>
      </c>
      <c r="E568" t="inlineStr">
        <is>
          <t>RAGUNDA</t>
        </is>
      </c>
      <c r="F568" t="inlineStr">
        <is>
          <t>SCA</t>
        </is>
      </c>
      <c r="G568" t="n">
        <v>10</v>
      </c>
      <c r="H568" t="n">
        <v>0</v>
      </c>
      <c r="I568" t="n">
        <v>0</v>
      </c>
      <c r="J568" t="n">
        <v>0</v>
      </c>
      <c r="K568" t="n">
        <v>0</v>
      </c>
      <c r="L568" t="n">
        <v>0</v>
      </c>
      <c r="M568" t="n">
        <v>0</v>
      </c>
      <c r="N568" t="n">
        <v>0</v>
      </c>
      <c r="O568" t="n">
        <v>0</v>
      </c>
      <c r="P568" t="n">
        <v>0</v>
      </c>
      <c r="Q568" t="n">
        <v>0</v>
      </c>
      <c r="R568" s="2" t="inlineStr"/>
    </row>
    <row r="569" ht="15" customHeight="1">
      <c r="A569" t="inlineStr">
        <is>
          <t>A 41424-2025</t>
        </is>
      </c>
      <c r="B569" s="1" t="n">
        <v>45901.38584490741</v>
      </c>
      <c r="C569" s="1" t="n">
        <v>46036</v>
      </c>
      <c r="D569" t="inlineStr">
        <is>
          <t>JÄMTLANDS LÄN</t>
        </is>
      </c>
      <c r="E569" t="inlineStr">
        <is>
          <t>RAGUNDA</t>
        </is>
      </c>
      <c r="G569" t="n">
        <v>3</v>
      </c>
      <c r="H569" t="n">
        <v>0</v>
      </c>
      <c r="I569" t="n">
        <v>0</v>
      </c>
      <c r="J569" t="n">
        <v>0</v>
      </c>
      <c r="K569" t="n">
        <v>0</v>
      </c>
      <c r="L569" t="n">
        <v>0</v>
      </c>
      <c r="M569" t="n">
        <v>0</v>
      </c>
      <c r="N569" t="n">
        <v>0</v>
      </c>
      <c r="O569" t="n">
        <v>0</v>
      </c>
      <c r="P569" t="n">
        <v>0</v>
      </c>
      <c r="Q569" t="n">
        <v>0</v>
      </c>
      <c r="R569" s="2" t="inlineStr"/>
    </row>
    <row r="570" ht="15" customHeight="1">
      <c r="A570" t="inlineStr">
        <is>
          <t>A 32777-2025</t>
        </is>
      </c>
      <c r="B570" s="1" t="n">
        <v>45839.46915509259</v>
      </c>
      <c r="C570" s="1" t="n">
        <v>46036</v>
      </c>
      <c r="D570" t="inlineStr">
        <is>
          <t>JÄMTLANDS LÄN</t>
        </is>
      </c>
      <c r="E570" t="inlineStr">
        <is>
          <t>RAGUNDA</t>
        </is>
      </c>
      <c r="F570" t="inlineStr">
        <is>
          <t>SCA</t>
        </is>
      </c>
      <c r="G570" t="n">
        <v>21.7</v>
      </c>
      <c r="H570" t="n">
        <v>0</v>
      </c>
      <c r="I570" t="n">
        <v>0</v>
      </c>
      <c r="J570" t="n">
        <v>0</v>
      </c>
      <c r="K570" t="n">
        <v>0</v>
      </c>
      <c r="L570" t="n">
        <v>0</v>
      </c>
      <c r="M570" t="n">
        <v>0</v>
      </c>
      <c r="N570" t="n">
        <v>0</v>
      </c>
      <c r="O570" t="n">
        <v>0</v>
      </c>
      <c r="P570" t="n">
        <v>0</v>
      </c>
      <c r="Q570" t="n">
        <v>0</v>
      </c>
      <c r="R570" s="2" t="inlineStr"/>
    </row>
    <row r="571" ht="15" customHeight="1">
      <c r="A571" t="inlineStr">
        <is>
          <t>A 41140-2025</t>
        </is>
      </c>
      <c r="B571" s="1" t="n">
        <v>45898.49012731481</v>
      </c>
      <c r="C571" s="1" t="n">
        <v>46036</v>
      </c>
      <c r="D571" t="inlineStr">
        <is>
          <t>JÄMTLANDS LÄN</t>
        </is>
      </c>
      <c r="E571" t="inlineStr">
        <is>
          <t>RAGUNDA</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41422-2025</t>
        </is>
      </c>
      <c r="B572" s="1" t="n">
        <v>45901.38572916666</v>
      </c>
      <c r="C572" s="1" t="n">
        <v>46036</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46036</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32430-2025</t>
        </is>
      </c>
      <c r="B574" s="1" t="n">
        <v>45838.36532407408</v>
      </c>
      <c r="C574" s="1" t="n">
        <v>46036</v>
      </c>
      <c r="D574" t="inlineStr">
        <is>
          <t>JÄMTLANDS LÄN</t>
        </is>
      </c>
      <c r="E574" t="inlineStr">
        <is>
          <t>RAGUNDA</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32747-2025</t>
        </is>
      </c>
      <c r="B575" s="1" t="n">
        <v>45839.42810185185</v>
      </c>
      <c r="C575" s="1" t="n">
        <v>46036</v>
      </c>
      <c r="D575" t="inlineStr">
        <is>
          <t>JÄMTLANDS LÄN</t>
        </is>
      </c>
      <c r="E575" t="inlineStr">
        <is>
          <t>RAGUNDA</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32757-2025</t>
        </is>
      </c>
      <c r="B576" s="1" t="n">
        <v>45838</v>
      </c>
      <c r="C576" s="1" t="n">
        <v>46036</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61598-2024</t>
        </is>
      </c>
      <c r="B577" s="1" t="n">
        <v>45646.63605324074</v>
      </c>
      <c r="C577" s="1" t="n">
        <v>46036</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32846-2025</t>
        </is>
      </c>
      <c r="B578" s="1" t="n">
        <v>45839.57331018519</v>
      </c>
      <c r="C578" s="1" t="n">
        <v>46036</v>
      </c>
      <c r="D578" t="inlineStr">
        <is>
          <t>JÄMTLANDS LÄN</t>
        </is>
      </c>
      <c r="E578" t="inlineStr">
        <is>
          <t>RAGUNDA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17667-2025</t>
        </is>
      </c>
      <c r="B579" s="1" t="n">
        <v>45758.36487268518</v>
      </c>
      <c r="C579" s="1" t="n">
        <v>46036</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41656-2025</t>
        </is>
      </c>
      <c r="B580" s="1" t="n">
        <v>45902.34423611111</v>
      </c>
      <c r="C580" s="1" t="n">
        <v>46036</v>
      </c>
      <c r="D580" t="inlineStr">
        <is>
          <t>JÄMTLANDS LÄN</t>
        </is>
      </c>
      <c r="E580" t="inlineStr">
        <is>
          <t>RAGUNDA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32748-2025</t>
        </is>
      </c>
      <c r="B581" s="1" t="n">
        <v>45839.42822916667</v>
      </c>
      <c r="C581" s="1" t="n">
        <v>46036</v>
      </c>
      <c r="D581" t="inlineStr">
        <is>
          <t>JÄMTLANDS LÄN</t>
        </is>
      </c>
      <c r="E581" t="inlineStr">
        <is>
          <t>RAGUNDA</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32762-2025</t>
        </is>
      </c>
      <c r="B582" s="1" t="n">
        <v>45838</v>
      </c>
      <c r="C582" s="1" t="n">
        <v>46036</v>
      </c>
      <c r="D582" t="inlineStr">
        <is>
          <t>JÄMTLANDS LÄN</t>
        </is>
      </c>
      <c r="E582" t="inlineStr">
        <is>
          <t>RAGUNDA</t>
        </is>
      </c>
      <c r="G582" t="n">
        <v>0.6</v>
      </c>
      <c r="H582" t="n">
        <v>0</v>
      </c>
      <c r="I582" t="n">
        <v>0</v>
      </c>
      <c r="J582" t="n">
        <v>0</v>
      </c>
      <c r="K582" t="n">
        <v>0</v>
      </c>
      <c r="L582" t="n">
        <v>0</v>
      </c>
      <c r="M582" t="n">
        <v>0</v>
      </c>
      <c r="N582" t="n">
        <v>0</v>
      </c>
      <c r="O582" t="n">
        <v>0</v>
      </c>
      <c r="P582" t="n">
        <v>0</v>
      </c>
      <c r="Q582" t="n">
        <v>0</v>
      </c>
      <c r="R582" s="2" t="inlineStr"/>
    </row>
    <row r="583" ht="15" customHeight="1">
      <c r="A583" t="inlineStr">
        <is>
          <t>A 32660-2025</t>
        </is>
      </c>
      <c r="B583" s="1" t="n">
        <v>45838.67887731481</v>
      </c>
      <c r="C583" s="1" t="n">
        <v>46036</v>
      </c>
      <c r="D583" t="inlineStr">
        <is>
          <t>JÄMTLANDS LÄN</t>
        </is>
      </c>
      <c r="E583" t="inlineStr">
        <is>
          <t>RAGUNDA</t>
        </is>
      </c>
      <c r="F583" t="inlineStr">
        <is>
          <t>SCA</t>
        </is>
      </c>
      <c r="G583" t="n">
        <v>10.3</v>
      </c>
      <c r="H583" t="n">
        <v>0</v>
      </c>
      <c r="I583" t="n">
        <v>0</v>
      </c>
      <c r="J583" t="n">
        <v>0</v>
      </c>
      <c r="K583" t="n">
        <v>0</v>
      </c>
      <c r="L583" t="n">
        <v>0</v>
      </c>
      <c r="M583" t="n">
        <v>0</v>
      </c>
      <c r="N583" t="n">
        <v>0</v>
      </c>
      <c r="O583" t="n">
        <v>0</v>
      </c>
      <c r="P583" t="n">
        <v>0</v>
      </c>
      <c r="Q583" t="n">
        <v>0</v>
      </c>
      <c r="R583" s="2" t="inlineStr"/>
    </row>
    <row r="584" ht="15" customHeight="1">
      <c r="A584" t="inlineStr">
        <is>
          <t>A 12405-2025</t>
        </is>
      </c>
      <c r="B584" s="1" t="n">
        <v>45730.42738425926</v>
      </c>
      <c r="C584" s="1" t="n">
        <v>46036</v>
      </c>
      <c r="D584" t="inlineStr">
        <is>
          <t>JÄMTLANDS LÄN</t>
        </is>
      </c>
      <c r="E584" t="inlineStr">
        <is>
          <t>RAGUNDA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32527-2025</t>
        </is>
      </c>
      <c r="B585" s="1" t="n">
        <v>45838.48996527777</v>
      </c>
      <c r="C585" s="1" t="n">
        <v>46036</v>
      </c>
      <c r="D585" t="inlineStr">
        <is>
          <t>JÄMTLANDS LÄN</t>
        </is>
      </c>
      <c r="E585" t="inlineStr">
        <is>
          <t>RAGUNDA</t>
        </is>
      </c>
      <c r="G585" t="n">
        <v>5</v>
      </c>
      <c r="H585" t="n">
        <v>0</v>
      </c>
      <c r="I585" t="n">
        <v>0</v>
      </c>
      <c r="J585" t="n">
        <v>0</v>
      </c>
      <c r="K585" t="n">
        <v>0</v>
      </c>
      <c r="L585" t="n">
        <v>0</v>
      </c>
      <c r="M585" t="n">
        <v>0</v>
      </c>
      <c r="N585" t="n">
        <v>0</v>
      </c>
      <c r="O585" t="n">
        <v>0</v>
      </c>
      <c r="P585" t="n">
        <v>0</v>
      </c>
      <c r="Q585" t="n">
        <v>0</v>
      </c>
      <c r="R585" s="2" t="inlineStr"/>
    </row>
    <row r="586" ht="15" customHeight="1">
      <c r="A586" t="inlineStr">
        <is>
          <t>A 36986-2023</t>
        </is>
      </c>
      <c r="B586" s="1" t="n">
        <v>45154.95525462963</v>
      </c>
      <c r="C586" s="1" t="n">
        <v>46036</v>
      </c>
      <c r="D586" t="inlineStr">
        <is>
          <t>JÄMTLANDS LÄN</t>
        </is>
      </c>
      <c r="E586" t="inlineStr">
        <is>
          <t>RAGUNDA</t>
        </is>
      </c>
      <c r="F586" t="inlineStr">
        <is>
          <t>SCA</t>
        </is>
      </c>
      <c r="G586" t="n">
        <v>0.2</v>
      </c>
      <c r="H586" t="n">
        <v>0</v>
      </c>
      <c r="I586" t="n">
        <v>0</v>
      </c>
      <c r="J586" t="n">
        <v>0</v>
      </c>
      <c r="K586" t="n">
        <v>0</v>
      </c>
      <c r="L586" t="n">
        <v>0</v>
      </c>
      <c r="M586" t="n">
        <v>0</v>
      </c>
      <c r="N586" t="n">
        <v>0</v>
      </c>
      <c r="O586" t="n">
        <v>0</v>
      </c>
      <c r="P586" t="n">
        <v>0</v>
      </c>
      <c r="Q586" t="n">
        <v>0</v>
      </c>
      <c r="R586" s="2" t="inlineStr"/>
    </row>
    <row r="587" ht="15" customHeight="1">
      <c r="A587" t="inlineStr">
        <is>
          <t>A 33140-2025</t>
        </is>
      </c>
      <c r="B587" s="1" t="n">
        <v>45840.52225694444</v>
      </c>
      <c r="C587" s="1" t="n">
        <v>46036</v>
      </c>
      <c r="D587" t="inlineStr">
        <is>
          <t>JÄMTLANDS LÄN</t>
        </is>
      </c>
      <c r="E587" t="inlineStr">
        <is>
          <t>RAGUNDA</t>
        </is>
      </c>
      <c r="G587" t="n">
        <v>2</v>
      </c>
      <c r="H587" t="n">
        <v>0</v>
      </c>
      <c r="I587" t="n">
        <v>0</v>
      </c>
      <c r="J587" t="n">
        <v>0</v>
      </c>
      <c r="K587" t="n">
        <v>0</v>
      </c>
      <c r="L587" t="n">
        <v>0</v>
      </c>
      <c r="M587" t="n">
        <v>0</v>
      </c>
      <c r="N587" t="n">
        <v>0</v>
      </c>
      <c r="O587" t="n">
        <v>0</v>
      </c>
      <c r="P587" t="n">
        <v>0</v>
      </c>
      <c r="Q587" t="n">
        <v>0</v>
      </c>
      <c r="R587" s="2" t="inlineStr"/>
    </row>
    <row r="588" ht="15" customHeight="1">
      <c r="A588" t="inlineStr">
        <is>
          <t>A 33556-2025</t>
        </is>
      </c>
      <c r="B588" s="1" t="n">
        <v>45841.57427083333</v>
      </c>
      <c r="C588" s="1" t="n">
        <v>46036</v>
      </c>
      <c r="D588" t="inlineStr">
        <is>
          <t>JÄMTLANDS LÄN</t>
        </is>
      </c>
      <c r="E588" t="inlineStr">
        <is>
          <t>RAGUNDA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42269-2025</t>
        </is>
      </c>
      <c r="B589" s="1" t="n">
        <v>45904.60431712963</v>
      </c>
      <c r="C589" s="1" t="n">
        <v>46036</v>
      </c>
      <c r="D589" t="inlineStr">
        <is>
          <t>JÄMTLANDS LÄN</t>
        </is>
      </c>
      <c r="E589" t="inlineStr">
        <is>
          <t>RAGUNDA</t>
        </is>
      </c>
      <c r="G589" t="n">
        <v>4.3</v>
      </c>
      <c r="H589" t="n">
        <v>0</v>
      </c>
      <c r="I589" t="n">
        <v>0</v>
      </c>
      <c r="J589" t="n">
        <v>0</v>
      </c>
      <c r="K589" t="n">
        <v>0</v>
      </c>
      <c r="L589" t="n">
        <v>0</v>
      </c>
      <c r="M589" t="n">
        <v>0</v>
      </c>
      <c r="N589" t="n">
        <v>0</v>
      </c>
      <c r="O589" t="n">
        <v>0</v>
      </c>
      <c r="P589" t="n">
        <v>0</v>
      </c>
      <c r="Q589" t="n">
        <v>0</v>
      </c>
      <c r="R589" s="2" t="inlineStr"/>
    </row>
    <row r="590" ht="15" customHeight="1">
      <c r="A590" t="inlineStr">
        <is>
          <t>A 2224-2024</t>
        </is>
      </c>
      <c r="B590" s="1" t="n">
        <v>45309.92524305556</v>
      </c>
      <c r="C590" s="1" t="n">
        <v>46036</v>
      </c>
      <c r="D590" t="inlineStr">
        <is>
          <t>JÄMTLANDS LÄN</t>
        </is>
      </c>
      <c r="E590" t="inlineStr">
        <is>
          <t>RAGUNDA</t>
        </is>
      </c>
      <c r="G590" t="n">
        <v>0.9</v>
      </c>
      <c r="H590" t="n">
        <v>0</v>
      </c>
      <c r="I590" t="n">
        <v>0</v>
      </c>
      <c r="J590" t="n">
        <v>0</v>
      </c>
      <c r="K590" t="n">
        <v>0</v>
      </c>
      <c r="L590" t="n">
        <v>0</v>
      </c>
      <c r="M590" t="n">
        <v>0</v>
      </c>
      <c r="N590" t="n">
        <v>0</v>
      </c>
      <c r="O590" t="n">
        <v>0</v>
      </c>
      <c r="P590" t="n">
        <v>0</v>
      </c>
      <c r="Q590" t="n">
        <v>0</v>
      </c>
      <c r="R590" s="2" t="inlineStr"/>
    </row>
    <row r="591" ht="15" customHeight="1">
      <c r="A591" t="inlineStr">
        <is>
          <t>A 1523-2024</t>
        </is>
      </c>
      <c r="B591" s="1" t="n">
        <v>45306</v>
      </c>
      <c r="C591" s="1" t="n">
        <v>46036</v>
      </c>
      <c r="D591" t="inlineStr">
        <is>
          <t>JÄMTLANDS LÄN</t>
        </is>
      </c>
      <c r="E591" t="inlineStr">
        <is>
          <t>RAGUNDA</t>
        </is>
      </c>
      <c r="G591" t="n">
        <v>4.1</v>
      </c>
      <c r="H591" t="n">
        <v>0</v>
      </c>
      <c r="I591" t="n">
        <v>0</v>
      </c>
      <c r="J591" t="n">
        <v>0</v>
      </c>
      <c r="K591" t="n">
        <v>0</v>
      </c>
      <c r="L591" t="n">
        <v>0</v>
      </c>
      <c r="M591" t="n">
        <v>0</v>
      </c>
      <c r="N591" t="n">
        <v>0</v>
      </c>
      <c r="O591" t="n">
        <v>0</v>
      </c>
      <c r="P591" t="n">
        <v>0</v>
      </c>
      <c r="Q591" t="n">
        <v>0</v>
      </c>
      <c r="R591" s="2" t="inlineStr"/>
    </row>
    <row r="592" ht="15" customHeight="1">
      <c r="A592" t="inlineStr">
        <is>
          <t>A 58630-2024</t>
        </is>
      </c>
      <c r="B592" s="1" t="n">
        <v>45635.57331018519</v>
      </c>
      <c r="C592" s="1" t="n">
        <v>46036</v>
      </c>
      <c r="D592" t="inlineStr">
        <is>
          <t>JÄMTLANDS LÄN</t>
        </is>
      </c>
      <c r="E592" t="inlineStr">
        <is>
          <t>RAGUNDA</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46549-2023</t>
        </is>
      </c>
      <c r="B593" s="1" t="n">
        <v>45197.94171296297</v>
      </c>
      <c r="C593" s="1" t="n">
        <v>46036</v>
      </c>
      <c r="D593" t="inlineStr">
        <is>
          <t>JÄMTLANDS LÄN</t>
        </is>
      </c>
      <c r="E593" t="inlineStr">
        <is>
          <t>RAGUNDA</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33790-2025</t>
        </is>
      </c>
      <c r="B594" s="1" t="n">
        <v>45842.42608796297</v>
      </c>
      <c r="C594" s="1" t="n">
        <v>46036</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33763-2025</t>
        </is>
      </c>
      <c r="B595" s="1" t="n">
        <v>45842.38579861111</v>
      </c>
      <c r="C595" s="1" t="n">
        <v>46036</v>
      </c>
      <c r="D595" t="inlineStr">
        <is>
          <t>JÄMTLANDS LÄN</t>
        </is>
      </c>
      <c r="E595" t="inlineStr">
        <is>
          <t>RAGUNDA</t>
        </is>
      </c>
      <c r="F595" t="inlineStr">
        <is>
          <t>SCA</t>
        </is>
      </c>
      <c r="G595" t="n">
        <v>13.4</v>
      </c>
      <c r="H595" t="n">
        <v>0</v>
      </c>
      <c r="I595" t="n">
        <v>0</v>
      </c>
      <c r="J595" t="n">
        <v>0</v>
      </c>
      <c r="K595" t="n">
        <v>0</v>
      </c>
      <c r="L595" t="n">
        <v>0</v>
      </c>
      <c r="M595" t="n">
        <v>0</v>
      </c>
      <c r="N595" t="n">
        <v>0</v>
      </c>
      <c r="O595" t="n">
        <v>0</v>
      </c>
      <c r="P595" t="n">
        <v>0</v>
      </c>
      <c r="Q595" t="n">
        <v>0</v>
      </c>
      <c r="R595" s="2" t="inlineStr"/>
    </row>
    <row r="596" ht="15" customHeight="1">
      <c r="A596" t="inlineStr">
        <is>
          <t>A 34607-2025</t>
        </is>
      </c>
      <c r="B596" s="1" t="n">
        <v>45847.65703703704</v>
      </c>
      <c r="C596" s="1" t="n">
        <v>46036</v>
      </c>
      <c r="D596" t="inlineStr">
        <is>
          <t>JÄMTLANDS LÄN</t>
        </is>
      </c>
      <c r="E596" t="inlineStr">
        <is>
          <t>RAGUNDA</t>
        </is>
      </c>
      <c r="F596" t="inlineStr">
        <is>
          <t>SCA</t>
        </is>
      </c>
      <c r="G596" t="n">
        <v>31.4</v>
      </c>
      <c r="H596" t="n">
        <v>0</v>
      </c>
      <c r="I596" t="n">
        <v>0</v>
      </c>
      <c r="J596" t="n">
        <v>0</v>
      </c>
      <c r="K596" t="n">
        <v>0</v>
      </c>
      <c r="L596" t="n">
        <v>0</v>
      </c>
      <c r="M596" t="n">
        <v>0</v>
      </c>
      <c r="N596" t="n">
        <v>0</v>
      </c>
      <c r="O596" t="n">
        <v>0</v>
      </c>
      <c r="P596" t="n">
        <v>0</v>
      </c>
      <c r="Q596" t="n">
        <v>0</v>
      </c>
      <c r="R596" s="2" t="inlineStr"/>
    </row>
    <row r="597" ht="15" customHeight="1">
      <c r="A597" t="inlineStr">
        <is>
          <t>A 34461-2025</t>
        </is>
      </c>
      <c r="B597" s="1" t="n">
        <v>45847.34474537037</v>
      </c>
      <c r="C597" s="1" t="n">
        <v>46036</v>
      </c>
      <c r="D597" t="inlineStr">
        <is>
          <t>JÄMTLANDS LÄN</t>
        </is>
      </c>
      <c r="E597" t="inlineStr">
        <is>
          <t>RAGUNDA</t>
        </is>
      </c>
      <c r="F597" t="inlineStr">
        <is>
          <t>SCA</t>
        </is>
      </c>
      <c r="G597" t="n">
        <v>44.8</v>
      </c>
      <c r="H597" t="n">
        <v>0</v>
      </c>
      <c r="I597" t="n">
        <v>0</v>
      </c>
      <c r="J597" t="n">
        <v>0</v>
      </c>
      <c r="K597" t="n">
        <v>0</v>
      </c>
      <c r="L597" t="n">
        <v>0</v>
      </c>
      <c r="M597" t="n">
        <v>0</v>
      </c>
      <c r="N597" t="n">
        <v>0</v>
      </c>
      <c r="O597" t="n">
        <v>0</v>
      </c>
      <c r="P597" t="n">
        <v>0</v>
      </c>
      <c r="Q597" t="n">
        <v>0</v>
      </c>
      <c r="R597" s="2" t="inlineStr"/>
    </row>
    <row r="598" ht="15" customHeight="1">
      <c r="A598" t="inlineStr">
        <is>
          <t>A 34464-2025</t>
        </is>
      </c>
      <c r="B598" s="1" t="n">
        <v>45847.34528935186</v>
      </c>
      <c r="C598" s="1" t="n">
        <v>46036</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32258-2024</t>
        </is>
      </c>
      <c r="B599" s="1" t="n">
        <v>45511</v>
      </c>
      <c r="C599" s="1" t="n">
        <v>46036</v>
      </c>
      <c r="D599" t="inlineStr">
        <is>
          <t>JÄMTLANDS LÄN</t>
        </is>
      </c>
      <c r="E599" t="inlineStr">
        <is>
          <t>RAGUNDA</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44405.92065972222</v>
      </c>
      <c r="C600" s="1" t="n">
        <v>46036</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34468-2025</t>
        </is>
      </c>
      <c r="B601" s="1" t="n">
        <v>45847.34597222223</v>
      </c>
      <c r="C601" s="1" t="n">
        <v>46036</v>
      </c>
      <c r="D601" t="inlineStr">
        <is>
          <t>JÄMTLANDS LÄN</t>
        </is>
      </c>
      <c r="E601" t="inlineStr">
        <is>
          <t>RAGUNDA</t>
        </is>
      </c>
      <c r="F601" t="inlineStr">
        <is>
          <t>SCA</t>
        </is>
      </c>
      <c r="G601" t="n">
        <v>10</v>
      </c>
      <c r="H601" t="n">
        <v>0</v>
      </c>
      <c r="I601" t="n">
        <v>0</v>
      </c>
      <c r="J601" t="n">
        <v>0</v>
      </c>
      <c r="K601" t="n">
        <v>0</v>
      </c>
      <c r="L601" t="n">
        <v>0</v>
      </c>
      <c r="M601" t="n">
        <v>0</v>
      </c>
      <c r="N601" t="n">
        <v>0</v>
      </c>
      <c r="O601" t="n">
        <v>0</v>
      </c>
      <c r="P601" t="n">
        <v>0</v>
      </c>
      <c r="Q601" t="n">
        <v>0</v>
      </c>
      <c r="R601" s="2" t="inlineStr"/>
    </row>
    <row r="602" ht="15" customHeight="1">
      <c r="A602" t="inlineStr">
        <is>
          <t>A 34466-2025</t>
        </is>
      </c>
      <c r="B602" s="1" t="n">
        <v>45847.34565972222</v>
      </c>
      <c r="C602" s="1" t="n">
        <v>46036</v>
      </c>
      <c r="D602" t="inlineStr">
        <is>
          <t>JÄMTLANDS LÄN</t>
        </is>
      </c>
      <c r="E602" t="inlineStr">
        <is>
          <t>RAGUNDA</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29257-2024</t>
        </is>
      </c>
      <c r="B603" s="1" t="n">
        <v>45482.94815972223</v>
      </c>
      <c r="C603" s="1" t="n">
        <v>46036</v>
      </c>
      <c r="D603" t="inlineStr">
        <is>
          <t>JÄMTLANDS LÄN</t>
        </is>
      </c>
      <c r="E603" t="inlineStr">
        <is>
          <t>RAGUNDA</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27373-2023</t>
        </is>
      </c>
      <c r="B604" s="1" t="n">
        <v>45096.93866898148</v>
      </c>
      <c r="C604" s="1" t="n">
        <v>46036</v>
      </c>
      <c r="D604" t="inlineStr">
        <is>
          <t>JÄMTLANDS LÄN</t>
        </is>
      </c>
      <c r="E604" t="inlineStr">
        <is>
          <t>RAGUNDA</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34463-2025</t>
        </is>
      </c>
      <c r="B605" s="1" t="n">
        <v>45847.34515046296</v>
      </c>
      <c r="C605" s="1" t="n">
        <v>46036</v>
      </c>
      <c r="D605" t="inlineStr">
        <is>
          <t>JÄMTLANDS LÄN</t>
        </is>
      </c>
      <c r="E605" t="inlineStr">
        <is>
          <t>RAGUNDA</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62115-2024</t>
        </is>
      </c>
      <c r="B606" s="1" t="n">
        <v>45656</v>
      </c>
      <c r="C606" s="1" t="n">
        <v>46036</v>
      </c>
      <c r="D606" t="inlineStr">
        <is>
          <t>JÄMTLANDS LÄN</t>
        </is>
      </c>
      <c r="E606" t="inlineStr">
        <is>
          <t>RAGUNDA</t>
        </is>
      </c>
      <c r="G606" t="n">
        <v>3.3</v>
      </c>
      <c r="H606" t="n">
        <v>0</v>
      </c>
      <c r="I606" t="n">
        <v>0</v>
      </c>
      <c r="J606" t="n">
        <v>0</v>
      </c>
      <c r="K606" t="n">
        <v>0</v>
      </c>
      <c r="L606" t="n">
        <v>0</v>
      </c>
      <c r="M606" t="n">
        <v>0</v>
      </c>
      <c r="N606" t="n">
        <v>0</v>
      </c>
      <c r="O606" t="n">
        <v>0</v>
      </c>
      <c r="P606" t="n">
        <v>0</v>
      </c>
      <c r="Q606" t="n">
        <v>0</v>
      </c>
      <c r="R606" s="2" t="inlineStr"/>
    </row>
    <row r="607" ht="15" customHeight="1">
      <c r="A607" t="inlineStr">
        <is>
          <t>A 12653-2024</t>
        </is>
      </c>
      <c r="B607" s="1" t="n">
        <v>45384</v>
      </c>
      <c r="C607" s="1" t="n">
        <v>46036</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50211-2023</t>
        </is>
      </c>
      <c r="B608" s="1" t="n">
        <v>45215.94657407407</v>
      </c>
      <c r="C608" s="1" t="n">
        <v>46036</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43177-2025</t>
        </is>
      </c>
      <c r="B609" s="1" t="n">
        <v>45910.40667824074</v>
      </c>
      <c r="C609" s="1" t="n">
        <v>46036</v>
      </c>
      <c r="D609" t="inlineStr">
        <is>
          <t>JÄMTLANDS LÄN</t>
        </is>
      </c>
      <c r="E609" t="inlineStr">
        <is>
          <t>RAGUNDA</t>
        </is>
      </c>
      <c r="F609" t="inlineStr">
        <is>
          <t>SCA</t>
        </is>
      </c>
      <c r="G609" t="n">
        <v>4.9</v>
      </c>
      <c r="H609" t="n">
        <v>0</v>
      </c>
      <c r="I609" t="n">
        <v>0</v>
      </c>
      <c r="J609" t="n">
        <v>0</v>
      </c>
      <c r="K609" t="n">
        <v>0</v>
      </c>
      <c r="L609" t="n">
        <v>0</v>
      </c>
      <c r="M609" t="n">
        <v>0</v>
      </c>
      <c r="N609" t="n">
        <v>0</v>
      </c>
      <c r="O609" t="n">
        <v>0</v>
      </c>
      <c r="P609" t="n">
        <v>0</v>
      </c>
      <c r="Q609" t="n">
        <v>0</v>
      </c>
      <c r="R609" s="2" t="inlineStr"/>
    </row>
    <row r="610" ht="15" customHeight="1">
      <c r="A610" t="inlineStr">
        <is>
          <t>A 34586-2025</t>
        </is>
      </c>
      <c r="B610" s="1" t="n">
        <v>45847.61513888889</v>
      </c>
      <c r="C610" s="1" t="n">
        <v>46036</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43181-2025</t>
        </is>
      </c>
      <c r="B611" s="1" t="n">
        <v>45910.40721064815</v>
      </c>
      <c r="C611" s="1" t="n">
        <v>46036</v>
      </c>
      <c r="D611" t="inlineStr">
        <is>
          <t>JÄMTLANDS LÄN</t>
        </is>
      </c>
      <c r="E611" t="inlineStr">
        <is>
          <t>RAGUNDA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34588-2025</t>
        </is>
      </c>
      <c r="B612" s="1" t="n">
        <v>45847.61548611111</v>
      </c>
      <c r="C612" s="1" t="n">
        <v>46036</v>
      </c>
      <c r="D612" t="inlineStr">
        <is>
          <t>JÄMTLANDS LÄN</t>
        </is>
      </c>
      <c r="E612" t="inlineStr">
        <is>
          <t>RAGUNDA</t>
        </is>
      </c>
      <c r="G612" t="n">
        <v>32.3</v>
      </c>
      <c r="H612" t="n">
        <v>0</v>
      </c>
      <c r="I612" t="n">
        <v>0</v>
      </c>
      <c r="J612" t="n">
        <v>0</v>
      </c>
      <c r="K612" t="n">
        <v>0</v>
      </c>
      <c r="L612" t="n">
        <v>0</v>
      </c>
      <c r="M612" t="n">
        <v>0</v>
      </c>
      <c r="N612" t="n">
        <v>0</v>
      </c>
      <c r="O612" t="n">
        <v>0</v>
      </c>
      <c r="P612" t="n">
        <v>0</v>
      </c>
      <c r="Q612" t="n">
        <v>0</v>
      </c>
      <c r="R612" s="2" t="inlineStr"/>
    </row>
    <row r="613" ht="15" customHeight="1">
      <c r="A613" t="inlineStr">
        <is>
          <t>A 34296-2025</t>
        </is>
      </c>
      <c r="B613" s="1" t="n">
        <v>45846.34454861111</v>
      </c>
      <c r="C613" s="1" t="n">
        <v>46036</v>
      </c>
      <c r="D613" t="inlineStr">
        <is>
          <t>JÄMTLANDS LÄN</t>
        </is>
      </c>
      <c r="E613" t="inlineStr">
        <is>
          <t>RAGUNDA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34709-2025</t>
        </is>
      </c>
      <c r="B614" s="1" t="n">
        <v>45848.49761574074</v>
      </c>
      <c r="C614" s="1" t="n">
        <v>46036</v>
      </c>
      <c r="D614" t="inlineStr">
        <is>
          <t>JÄMTLANDS LÄN</t>
        </is>
      </c>
      <c r="E614" t="inlineStr">
        <is>
          <t>RAGUNDA</t>
        </is>
      </c>
      <c r="G614" t="n">
        <v>3.1</v>
      </c>
      <c r="H614" t="n">
        <v>0</v>
      </c>
      <c r="I614" t="n">
        <v>0</v>
      </c>
      <c r="J614" t="n">
        <v>0</v>
      </c>
      <c r="K614" t="n">
        <v>0</v>
      </c>
      <c r="L614" t="n">
        <v>0</v>
      </c>
      <c r="M614" t="n">
        <v>0</v>
      </c>
      <c r="N614" t="n">
        <v>0</v>
      </c>
      <c r="O614" t="n">
        <v>0</v>
      </c>
      <c r="P614" t="n">
        <v>0</v>
      </c>
      <c r="Q614" t="n">
        <v>0</v>
      </c>
      <c r="R614" s="2" t="inlineStr"/>
    </row>
    <row r="615" ht="15" customHeight="1">
      <c r="A615" t="inlineStr">
        <is>
          <t>A 9232-2025</t>
        </is>
      </c>
      <c r="B615" s="1" t="n">
        <v>45714.55064814815</v>
      </c>
      <c r="C615" s="1" t="n">
        <v>46036</v>
      </c>
      <c r="D615" t="inlineStr">
        <is>
          <t>JÄMTLANDS LÄN</t>
        </is>
      </c>
      <c r="E615" t="inlineStr">
        <is>
          <t>RAGUNDA</t>
        </is>
      </c>
      <c r="G615" t="n">
        <v>1.9</v>
      </c>
      <c r="H615" t="n">
        <v>0</v>
      </c>
      <c r="I615" t="n">
        <v>0</v>
      </c>
      <c r="J615" t="n">
        <v>0</v>
      </c>
      <c r="K615" t="n">
        <v>0</v>
      </c>
      <c r="L615" t="n">
        <v>0</v>
      </c>
      <c r="M615" t="n">
        <v>0</v>
      </c>
      <c r="N615" t="n">
        <v>0</v>
      </c>
      <c r="O615" t="n">
        <v>0</v>
      </c>
      <c r="P615" t="n">
        <v>0</v>
      </c>
      <c r="Q615" t="n">
        <v>0</v>
      </c>
      <c r="R615" s="2" t="inlineStr"/>
    </row>
    <row r="616" ht="15" customHeight="1">
      <c r="A616" t="inlineStr">
        <is>
          <t>A 34772-2025</t>
        </is>
      </c>
      <c r="B616" s="1" t="n">
        <v>45848.65658564815</v>
      </c>
      <c r="C616" s="1" t="n">
        <v>46036</v>
      </c>
      <c r="D616" t="inlineStr">
        <is>
          <t>JÄMTLANDS LÄN</t>
        </is>
      </c>
      <c r="E616" t="inlineStr">
        <is>
          <t>RAGUNDA</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29775-2023</t>
        </is>
      </c>
      <c r="B617" s="1" t="n">
        <v>45098</v>
      </c>
      <c r="C617" s="1" t="n">
        <v>46036</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34710-2025</t>
        </is>
      </c>
      <c r="B618" s="1" t="n">
        <v>45848.49774305556</v>
      </c>
      <c r="C618" s="1" t="n">
        <v>46036</v>
      </c>
      <c r="D618" t="inlineStr">
        <is>
          <t>JÄMTLANDS LÄN</t>
        </is>
      </c>
      <c r="E618" t="inlineStr">
        <is>
          <t>RAGUNDA</t>
        </is>
      </c>
      <c r="G618" t="n">
        <v>4.1</v>
      </c>
      <c r="H618" t="n">
        <v>0</v>
      </c>
      <c r="I618" t="n">
        <v>0</v>
      </c>
      <c r="J618" t="n">
        <v>0</v>
      </c>
      <c r="K618" t="n">
        <v>0</v>
      </c>
      <c r="L618" t="n">
        <v>0</v>
      </c>
      <c r="M618" t="n">
        <v>0</v>
      </c>
      <c r="N618" t="n">
        <v>0</v>
      </c>
      <c r="O618" t="n">
        <v>0</v>
      </c>
      <c r="P618" t="n">
        <v>0</v>
      </c>
      <c r="Q618" t="n">
        <v>0</v>
      </c>
      <c r="R618" s="2" t="inlineStr"/>
    </row>
    <row r="619" ht="15" customHeight="1">
      <c r="A619" t="inlineStr">
        <is>
          <t>A 43330-2025</t>
        </is>
      </c>
      <c r="B619" s="1" t="n">
        <v>45910.67766203704</v>
      </c>
      <c r="C619" s="1" t="n">
        <v>46036</v>
      </c>
      <c r="D619" t="inlineStr">
        <is>
          <t>JÄMTLANDS LÄN</t>
        </is>
      </c>
      <c r="E619" t="inlineStr">
        <is>
          <t>RAGUNDA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34968-2025</t>
        </is>
      </c>
      <c r="B620" s="1" t="n">
        <v>45849.65663194445</v>
      </c>
      <c r="C620" s="1" t="n">
        <v>46036</v>
      </c>
      <c r="D620" t="inlineStr">
        <is>
          <t>JÄMTLANDS LÄN</t>
        </is>
      </c>
      <c r="E620" t="inlineStr">
        <is>
          <t>RAGUNDA</t>
        </is>
      </c>
      <c r="F620" t="inlineStr">
        <is>
          <t>SCA</t>
        </is>
      </c>
      <c r="G620" t="n">
        <v>20.2</v>
      </c>
      <c r="H620" t="n">
        <v>0</v>
      </c>
      <c r="I620" t="n">
        <v>0</v>
      </c>
      <c r="J620" t="n">
        <v>0</v>
      </c>
      <c r="K620" t="n">
        <v>0</v>
      </c>
      <c r="L620" t="n">
        <v>0</v>
      </c>
      <c r="M620" t="n">
        <v>0</v>
      </c>
      <c r="N620" t="n">
        <v>0</v>
      </c>
      <c r="O620" t="n">
        <v>0</v>
      </c>
      <c r="P620" t="n">
        <v>0</v>
      </c>
      <c r="Q620" t="n">
        <v>0</v>
      </c>
      <c r="R620" s="2" t="inlineStr"/>
    </row>
    <row r="621" ht="15" customHeight="1">
      <c r="A621" t="inlineStr">
        <is>
          <t>A 34998-2025</t>
        </is>
      </c>
      <c r="B621" s="1" t="n">
        <v>45850.34434027778</v>
      </c>
      <c r="C621" s="1" t="n">
        <v>46036</v>
      </c>
      <c r="D621" t="inlineStr">
        <is>
          <t>JÄMTLANDS LÄN</t>
        </is>
      </c>
      <c r="E621" t="inlineStr">
        <is>
          <t>RAGUNDA</t>
        </is>
      </c>
      <c r="G621" t="n">
        <v>1.4</v>
      </c>
      <c r="H621" t="n">
        <v>0</v>
      </c>
      <c r="I621" t="n">
        <v>0</v>
      </c>
      <c r="J621" t="n">
        <v>0</v>
      </c>
      <c r="K621" t="n">
        <v>0</v>
      </c>
      <c r="L621" t="n">
        <v>0</v>
      </c>
      <c r="M621" t="n">
        <v>0</v>
      </c>
      <c r="N621" t="n">
        <v>0</v>
      </c>
      <c r="O621" t="n">
        <v>0</v>
      </c>
      <c r="P621" t="n">
        <v>0</v>
      </c>
      <c r="Q621" t="n">
        <v>0</v>
      </c>
      <c r="R621" s="2" t="inlineStr"/>
    </row>
    <row r="622" ht="15" customHeight="1">
      <c r="A622" t="inlineStr">
        <is>
          <t>A 44494-2024</t>
        </is>
      </c>
      <c r="B622" s="1" t="n">
        <v>45574.39081018518</v>
      </c>
      <c r="C622" s="1" t="n">
        <v>46036</v>
      </c>
      <c r="D622" t="inlineStr">
        <is>
          <t>JÄMTLANDS LÄN</t>
        </is>
      </c>
      <c r="E622" t="inlineStr">
        <is>
          <t>RAGUNDA</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34999-2025</t>
        </is>
      </c>
      <c r="B623" s="1" t="n">
        <v>45850.34450231482</v>
      </c>
      <c r="C623" s="1" t="n">
        <v>46036</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35092-2025</t>
        </is>
      </c>
      <c r="B624" s="1" t="n">
        <v>45852.53185185185</v>
      </c>
      <c r="C624" s="1" t="n">
        <v>46036</v>
      </c>
      <c r="D624" t="inlineStr">
        <is>
          <t>JÄMTLANDS LÄN</t>
        </is>
      </c>
      <c r="E624" t="inlineStr">
        <is>
          <t>RAGUNDA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13898-2023</t>
        </is>
      </c>
      <c r="B625" s="1" t="n">
        <v>45008.01408564814</v>
      </c>
      <c r="C625" s="1" t="n">
        <v>46036</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35091-2025</t>
        </is>
      </c>
      <c r="B626" s="1" t="n">
        <v>45852.53168981482</v>
      </c>
      <c r="C626" s="1" t="n">
        <v>46036</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35462-2025</t>
        </is>
      </c>
      <c r="B627" s="1" t="n">
        <v>45855.61523148148</v>
      </c>
      <c r="C627" s="1" t="n">
        <v>46036</v>
      </c>
      <c r="D627" t="inlineStr">
        <is>
          <t>JÄMTLANDS LÄN</t>
        </is>
      </c>
      <c r="E627" t="inlineStr">
        <is>
          <t>RAGUNDA</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43776-2025</t>
        </is>
      </c>
      <c r="B628" s="1" t="n">
        <v>45912.51086805556</v>
      </c>
      <c r="C628" s="1" t="n">
        <v>46036</v>
      </c>
      <c r="D628" t="inlineStr">
        <is>
          <t>JÄMTLANDS LÄN</t>
        </is>
      </c>
      <c r="E628" t="inlineStr">
        <is>
          <t>RAGUNDA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43971-2025</t>
        </is>
      </c>
      <c r="B629" s="1" t="n">
        <v>45915.40694444445</v>
      </c>
      <c r="C629" s="1" t="n">
        <v>46036</v>
      </c>
      <c r="D629" t="inlineStr">
        <is>
          <t>JÄMTLANDS LÄN</t>
        </is>
      </c>
      <c r="E629" t="inlineStr">
        <is>
          <t>RAGUNDA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35355-2025</t>
        </is>
      </c>
      <c r="B630" s="1" t="n">
        <v>45854.65663194445</v>
      </c>
      <c r="C630" s="1" t="n">
        <v>46036</v>
      </c>
      <c r="D630" t="inlineStr">
        <is>
          <t>JÄMTLANDS LÄN</t>
        </is>
      </c>
      <c r="E630" t="inlineStr">
        <is>
          <t>RAGUNDA</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43804-2025</t>
        </is>
      </c>
      <c r="B631" s="1" t="n">
        <v>45912.57373842593</v>
      </c>
      <c r="C631" s="1" t="n">
        <v>46036</v>
      </c>
      <c r="D631" t="inlineStr">
        <is>
          <t>JÄMTLANDS LÄN</t>
        </is>
      </c>
      <c r="E631" t="inlineStr">
        <is>
          <t>RAGUNDA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35477-2025</t>
        </is>
      </c>
      <c r="B632" s="1" t="n">
        <v>45855.67899305555</v>
      </c>
      <c r="C632" s="1" t="n">
        <v>46036</v>
      </c>
      <c r="D632" t="inlineStr">
        <is>
          <t>JÄMTLANDS LÄN</t>
        </is>
      </c>
      <c r="E632" t="inlineStr">
        <is>
          <t>RAGUNDA</t>
        </is>
      </c>
      <c r="G632" t="n">
        <v>3.6</v>
      </c>
      <c r="H632" t="n">
        <v>0</v>
      </c>
      <c r="I632" t="n">
        <v>0</v>
      </c>
      <c r="J632" t="n">
        <v>0</v>
      </c>
      <c r="K632" t="n">
        <v>0</v>
      </c>
      <c r="L632" t="n">
        <v>0</v>
      </c>
      <c r="M632" t="n">
        <v>0</v>
      </c>
      <c r="N632" t="n">
        <v>0</v>
      </c>
      <c r="O632" t="n">
        <v>0</v>
      </c>
      <c r="P632" t="n">
        <v>0</v>
      </c>
      <c r="Q632" t="n">
        <v>0</v>
      </c>
      <c r="R632" s="2" t="inlineStr"/>
    </row>
    <row r="633" ht="15" customHeight="1">
      <c r="A633" t="inlineStr">
        <is>
          <t>A 35541-2025</t>
        </is>
      </c>
      <c r="B633" s="1" t="n">
        <v>45856.46931712963</v>
      </c>
      <c r="C633" s="1" t="n">
        <v>46036</v>
      </c>
      <c r="D633" t="inlineStr">
        <is>
          <t>JÄMTLANDS LÄN</t>
        </is>
      </c>
      <c r="E633" t="inlineStr">
        <is>
          <t>RAGUNDA</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26026-2024</t>
        </is>
      </c>
      <c r="B634" s="1" t="n">
        <v>45467.96207175926</v>
      </c>
      <c r="C634" s="1" t="n">
        <v>46036</v>
      </c>
      <c r="D634" t="inlineStr">
        <is>
          <t>JÄMTLANDS LÄN</t>
        </is>
      </c>
      <c r="E634" t="inlineStr">
        <is>
          <t>RAGUNDA</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35658-2025</t>
        </is>
      </c>
      <c r="B635" s="1" t="n">
        <v>45859.594375</v>
      </c>
      <c r="C635" s="1" t="n">
        <v>46036</v>
      </c>
      <c r="D635" t="inlineStr">
        <is>
          <t>JÄMTLANDS LÄN</t>
        </is>
      </c>
      <c r="E635" t="inlineStr">
        <is>
          <t>RAGUNDA</t>
        </is>
      </c>
      <c r="F635" t="inlineStr">
        <is>
          <t>SCA</t>
        </is>
      </c>
      <c r="G635" t="n">
        <v>6</v>
      </c>
      <c r="H635" t="n">
        <v>0</v>
      </c>
      <c r="I635" t="n">
        <v>0</v>
      </c>
      <c r="J635" t="n">
        <v>0</v>
      </c>
      <c r="K635" t="n">
        <v>0</v>
      </c>
      <c r="L635" t="n">
        <v>0</v>
      </c>
      <c r="M635" t="n">
        <v>0</v>
      </c>
      <c r="N635" t="n">
        <v>0</v>
      </c>
      <c r="O635" t="n">
        <v>0</v>
      </c>
      <c r="P635" t="n">
        <v>0</v>
      </c>
      <c r="Q635" t="n">
        <v>0</v>
      </c>
      <c r="R635" s="2" t="inlineStr"/>
    </row>
    <row r="636" ht="15" customHeight="1">
      <c r="A636" t="inlineStr">
        <is>
          <t>A 5429-2024</t>
        </is>
      </c>
      <c r="B636" s="1" t="n">
        <v>45331.92746527777</v>
      </c>
      <c r="C636" s="1" t="n">
        <v>46036</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35689-2025</t>
        </is>
      </c>
      <c r="B637" s="1" t="n">
        <v>45860.30229166667</v>
      </c>
      <c r="C637" s="1" t="n">
        <v>46036</v>
      </c>
      <c r="D637" t="inlineStr">
        <is>
          <t>JÄMTLANDS LÄN</t>
        </is>
      </c>
      <c r="E637" t="inlineStr">
        <is>
          <t>RAGUNDA</t>
        </is>
      </c>
      <c r="G637" t="n">
        <v>1.9</v>
      </c>
      <c r="H637" t="n">
        <v>0</v>
      </c>
      <c r="I637" t="n">
        <v>0</v>
      </c>
      <c r="J637" t="n">
        <v>0</v>
      </c>
      <c r="K637" t="n">
        <v>0</v>
      </c>
      <c r="L637" t="n">
        <v>0</v>
      </c>
      <c r="M637" t="n">
        <v>0</v>
      </c>
      <c r="N637" t="n">
        <v>0</v>
      </c>
      <c r="O637" t="n">
        <v>0</v>
      </c>
      <c r="P637" t="n">
        <v>0</v>
      </c>
      <c r="Q637" t="n">
        <v>0</v>
      </c>
      <c r="R637" s="2" t="inlineStr"/>
    </row>
    <row r="638" ht="15" customHeight="1">
      <c r="A638" t="inlineStr">
        <is>
          <t>A 3720-2025</t>
        </is>
      </c>
      <c r="B638" s="1" t="n">
        <v>45681.5315625</v>
      </c>
      <c r="C638" s="1" t="n">
        <v>46036</v>
      </c>
      <c r="D638" t="inlineStr">
        <is>
          <t>JÄMTLANDS LÄN</t>
        </is>
      </c>
      <c r="E638" t="inlineStr">
        <is>
          <t>RAGUNDA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3770-2025</t>
        </is>
      </c>
      <c r="B639" s="1" t="n">
        <v>45681.6050925926</v>
      </c>
      <c r="C639" s="1" t="n">
        <v>46036</v>
      </c>
      <c r="D639" t="inlineStr">
        <is>
          <t>JÄMTLANDS LÄN</t>
        </is>
      </c>
      <c r="E639" t="inlineStr">
        <is>
          <t>RAGUNDA</t>
        </is>
      </c>
      <c r="G639" t="n">
        <v>2.7</v>
      </c>
      <c r="H639" t="n">
        <v>0</v>
      </c>
      <c r="I639" t="n">
        <v>0</v>
      </c>
      <c r="J639" t="n">
        <v>0</v>
      </c>
      <c r="K639" t="n">
        <v>0</v>
      </c>
      <c r="L639" t="n">
        <v>0</v>
      </c>
      <c r="M639" t="n">
        <v>0</v>
      </c>
      <c r="N639" t="n">
        <v>0</v>
      </c>
      <c r="O639" t="n">
        <v>0</v>
      </c>
      <c r="P639" t="n">
        <v>0</v>
      </c>
      <c r="Q639" t="n">
        <v>0</v>
      </c>
      <c r="R639" s="2" t="inlineStr"/>
    </row>
    <row r="640" ht="15" customHeight="1">
      <c r="A640" t="inlineStr">
        <is>
          <t>A 45279-2025</t>
        </is>
      </c>
      <c r="B640" s="1" t="n">
        <v>45919.71912037037</v>
      </c>
      <c r="C640" s="1" t="n">
        <v>46036</v>
      </c>
      <c r="D640" t="inlineStr">
        <is>
          <t>JÄMTLANDS LÄN</t>
        </is>
      </c>
      <c r="E640" t="inlineStr">
        <is>
          <t>RAGUNDA</t>
        </is>
      </c>
      <c r="F640" t="inlineStr">
        <is>
          <t>SCA</t>
        </is>
      </c>
      <c r="G640" t="n">
        <v>11.5</v>
      </c>
      <c r="H640" t="n">
        <v>0</v>
      </c>
      <c r="I640" t="n">
        <v>0</v>
      </c>
      <c r="J640" t="n">
        <v>0</v>
      </c>
      <c r="K640" t="n">
        <v>0</v>
      </c>
      <c r="L640" t="n">
        <v>0</v>
      </c>
      <c r="M640" t="n">
        <v>0</v>
      </c>
      <c r="N640" t="n">
        <v>0</v>
      </c>
      <c r="O640" t="n">
        <v>0</v>
      </c>
      <c r="P640" t="n">
        <v>0</v>
      </c>
      <c r="Q640" t="n">
        <v>0</v>
      </c>
      <c r="R640" s="2" t="inlineStr"/>
    </row>
    <row r="641" ht="15" customHeight="1">
      <c r="A641" t="inlineStr">
        <is>
          <t>A 51579-2024</t>
        </is>
      </c>
      <c r="B641" s="1" t="n">
        <v>45604.63575231482</v>
      </c>
      <c r="C641" s="1" t="n">
        <v>46036</v>
      </c>
      <c r="D641" t="inlineStr">
        <is>
          <t>JÄMTLANDS LÄN</t>
        </is>
      </c>
      <c r="E641" t="inlineStr">
        <is>
          <t>RAGUNDA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8775-2025</t>
        </is>
      </c>
      <c r="B642" s="1" t="n">
        <v>45712.61502314815</v>
      </c>
      <c r="C642" s="1" t="n">
        <v>46036</v>
      </c>
      <c r="D642" t="inlineStr">
        <is>
          <t>JÄMTLANDS LÄN</t>
        </is>
      </c>
      <c r="E642" t="inlineStr">
        <is>
          <t>RAGUNDA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54092-2024</t>
        </is>
      </c>
      <c r="B643" s="1" t="n">
        <v>45616.5108912037</v>
      </c>
      <c r="C643" s="1" t="n">
        <v>46036</v>
      </c>
      <c r="D643" t="inlineStr">
        <is>
          <t>JÄMTLANDS LÄN</t>
        </is>
      </c>
      <c r="E643" t="inlineStr">
        <is>
          <t>RAGUNDA</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44954-2025</t>
        </is>
      </c>
      <c r="B644" s="1" t="n">
        <v>45918.61203703703</v>
      </c>
      <c r="C644" s="1" t="n">
        <v>46036</v>
      </c>
      <c r="D644" t="inlineStr">
        <is>
          <t>JÄMTLANDS LÄN</t>
        </is>
      </c>
      <c r="E644" t="inlineStr">
        <is>
          <t>RAGUNDA</t>
        </is>
      </c>
      <c r="G644" t="n">
        <v>3</v>
      </c>
      <c r="H644" t="n">
        <v>0</v>
      </c>
      <c r="I644" t="n">
        <v>0</v>
      </c>
      <c r="J644" t="n">
        <v>0</v>
      </c>
      <c r="K644" t="n">
        <v>0</v>
      </c>
      <c r="L644" t="n">
        <v>0</v>
      </c>
      <c r="M644" t="n">
        <v>0</v>
      </c>
      <c r="N644" t="n">
        <v>0</v>
      </c>
      <c r="O644" t="n">
        <v>0</v>
      </c>
      <c r="P644" t="n">
        <v>0</v>
      </c>
      <c r="Q644" t="n">
        <v>0</v>
      </c>
      <c r="R644" s="2" t="inlineStr"/>
    </row>
    <row r="645" ht="15" customHeight="1">
      <c r="A645" t="inlineStr">
        <is>
          <t>A 2339-2025</t>
        </is>
      </c>
      <c r="B645" s="1" t="n">
        <v>45673.66358796296</v>
      </c>
      <c r="C645" s="1" t="n">
        <v>46036</v>
      </c>
      <c r="D645" t="inlineStr">
        <is>
          <t>JÄMTLANDS LÄN</t>
        </is>
      </c>
      <c r="E645" t="inlineStr">
        <is>
          <t>RAGUNDA</t>
        </is>
      </c>
      <c r="G645" t="n">
        <v>5</v>
      </c>
      <c r="H645" t="n">
        <v>0</v>
      </c>
      <c r="I645" t="n">
        <v>0</v>
      </c>
      <c r="J645" t="n">
        <v>0</v>
      </c>
      <c r="K645" t="n">
        <v>0</v>
      </c>
      <c r="L645" t="n">
        <v>0</v>
      </c>
      <c r="M645" t="n">
        <v>0</v>
      </c>
      <c r="N645" t="n">
        <v>0</v>
      </c>
      <c r="O645" t="n">
        <v>0</v>
      </c>
      <c r="P645" t="n">
        <v>0</v>
      </c>
      <c r="Q645" t="n">
        <v>0</v>
      </c>
      <c r="R645" s="2" t="inlineStr"/>
    </row>
    <row r="646" ht="15" customHeight="1">
      <c r="A646" t="inlineStr">
        <is>
          <t>A 27499-2024</t>
        </is>
      </c>
      <c r="B646" s="1" t="n">
        <v>45474.50608796296</v>
      </c>
      <c r="C646" s="1" t="n">
        <v>46036</v>
      </c>
      <c r="D646" t="inlineStr">
        <is>
          <t>JÄMTLANDS LÄN</t>
        </is>
      </c>
      <c r="E646" t="inlineStr">
        <is>
          <t>RAGUNDA</t>
        </is>
      </c>
      <c r="G646" t="n">
        <v>1.3</v>
      </c>
      <c r="H646" t="n">
        <v>0</v>
      </c>
      <c r="I646" t="n">
        <v>0</v>
      </c>
      <c r="J646" t="n">
        <v>0</v>
      </c>
      <c r="K646" t="n">
        <v>0</v>
      </c>
      <c r="L646" t="n">
        <v>0</v>
      </c>
      <c r="M646" t="n">
        <v>0</v>
      </c>
      <c r="N646" t="n">
        <v>0</v>
      </c>
      <c r="O646" t="n">
        <v>0</v>
      </c>
      <c r="P646" t="n">
        <v>0</v>
      </c>
      <c r="Q646" t="n">
        <v>0</v>
      </c>
      <c r="R646" s="2" t="inlineStr"/>
    </row>
    <row r="647" ht="15" customHeight="1">
      <c r="A647" t="inlineStr">
        <is>
          <t>A 57078-2023</t>
        </is>
      </c>
      <c r="B647" s="1" t="n">
        <v>45244.96774305555</v>
      </c>
      <c r="C647" s="1" t="n">
        <v>46036</v>
      </c>
      <c r="D647" t="inlineStr">
        <is>
          <t>JÄMTLANDS LÄN</t>
        </is>
      </c>
      <c r="E647" t="inlineStr">
        <is>
          <t>RAGUNDA</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59368-2022</t>
        </is>
      </c>
      <c r="B648" s="1" t="n">
        <v>44904.94824074074</v>
      </c>
      <c r="C648" s="1" t="n">
        <v>46036</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36541-2025</t>
        </is>
      </c>
      <c r="B649" s="1" t="n">
        <v>45869.65666666667</v>
      </c>
      <c r="C649" s="1" t="n">
        <v>46036</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36544-2025</t>
        </is>
      </c>
      <c r="B650" s="1" t="n">
        <v>45869.67744212963</v>
      </c>
      <c r="C650" s="1" t="n">
        <v>46036</v>
      </c>
      <c r="D650" t="inlineStr">
        <is>
          <t>JÄMTLANDS LÄN</t>
        </is>
      </c>
      <c r="E650" t="inlineStr">
        <is>
          <t>RAGUNDA</t>
        </is>
      </c>
      <c r="F650" t="inlineStr">
        <is>
          <t>SCA</t>
        </is>
      </c>
      <c r="G650" t="n">
        <v>6.1</v>
      </c>
      <c r="H650" t="n">
        <v>0</v>
      </c>
      <c r="I650" t="n">
        <v>0</v>
      </c>
      <c r="J650" t="n">
        <v>0</v>
      </c>
      <c r="K650" t="n">
        <v>0</v>
      </c>
      <c r="L650" t="n">
        <v>0</v>
      </c>
      <c r="M650" t="n">
        <v>0</v>
      </c>
      <c r="N650" t="n">
        <v>0</v>
      </c>
      <c r="O650" t="n">
        <v>0</v>
      </c>
      <c r="P650" t="n">
        <v>0</v>
      </c>
      <c r="Q650" t="n">
        <v>0</v>
      </c>
      <c r="R650" s="2" t="inlineStr"/>
    </row>
    <row r="651" ht="15" customHeight="1">
      <c r="A651" t="inlineStr">
        <is>
          <t>A 6801-2023</t>
        </is>
      </c>
      <c r="B651" s="1" t="n">
        <v>44966.95328703704</v>
      </c>
      <c r="C651" s="1" t="n">
        <v>46036</v>
      </c>
      <c r="D651" t="inlineStr">
        <is>
          <t>JÄMTLANDS LÄN</t>
        </is>
      </c>
      <c r="E651" t="inlineStr">
        <is>
          <t>RAGUNDA</t>
        </is>
      </c>
      <c r="F651" t="inlineStr">
        <is>
          <t>SCA</t>
        </is>
      </c>
      <c r="G651" t="n">
        <v>10.6</v>
      </c>
      <c r="H651" t="n">
        <v>0</v>
      </c>
      <c r="I651" t="n">
        <v>0</v>
      </c>
      <c r="J651" t="n">
        <v>0</v>
      </c>
      <c r="K651" t="n">
        <v>0</v>
      </c>
      <c r="L651" t="n">
        <v>0</v>
      </c>
      <c r="M651" t="n">
        <v>0</v>
      </c>
      <c r="N651" t="n">
        <v>0</v>
      </c>
      <c r="O651" t="n">
        <v>0</v>
      </c>
      <c r="P651" t="n">
        <v>0</v>
      </c>
      <c r="Q651" t="n">
        <v>0</v>
      </c>
      <c r="R651" s="2" t="inlineStr"/>
    </row>
    <row r="652" ht="15" customHeight="1">
      <c r="A652" t="inlineStr">
        <is>
          <t>A 41656-2023</t>
        </is>
      </c>
      <c r="B652" s="1" t="n">
        <v>45175</v>
      </c>
      <c r="C652" s="1" t="n">
        <v>46036</v>
      </c>
      <c r="D652" t="inlineStr">
        <is>
          <t>JÄMTLANDS LÄN</t>
        </is>
      </c>
      <c r="E652" t="inlineStr">
        <is>
          <t>RAGUNDA</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36553-2025</t>
        </is>
      </c>
      <c r="B653" s="1" t="n">
        <v>45870.34439814815</v>
      </c>
      <c r="C653" s="1" t="n">
        <v>46036</v>
      </c>
      <c r="D653" t="inlineStr">
        <is>
          <t>JÄMTLANDS LÄN</t>
        </is>
      </c>
      <c r="E653" t="inlineStr">
        <is>
          <t>RAGUNDA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51646-2023</t>
        </is>
      </c>
      <c r="B654" s="1" t="n">
        <v>45215</v>
      </c>
      <c r="C654" s="1" t="n">
        <v>46036</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37268-2024</t>
        </is>
      </c>
      <c r="B655" s="1" t="n">
        <v>45540.38586805556</v>
      </c>
      <c r="C655" s="1" t="n">
        <v>46036</v>
      </c>
      <c r="D655" t="inlineStr">
        <is>
          <t>JÄMTLANDS LÄN</t>
        </is>
      </c>
      <c r="E655" t="inlineStr">
        <is>
          <t>RAGUNDA</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45894-2025</t>
        </is>
      </c>
      <c r="B656" s="1" t="n">
        <v>45923.67765046296</v>
      </c>
      <c r="C656" s="1" t="n">
        <v>46036</v>
      </c>
      <c r="D656" t="inlineStr">
        <is>
          <t>JÄMTLANDS LÄN</t>
        </is>
      </c>
      <c r="E656" t="inlineStr">
        <is>
          <t>RAGUNDA</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14512-2025</t>
        </is>
      </c>
      <c r="B657" s="1" t="n">
        <v>45741.63659722222</v>
      </c>
      <c r="C657" s="1" t="n">
        <v>46036</v>
      </c>
      <c r="D657" t="inlineStr">
        <is>
          <t>JÄMTLANDS LÄN</t>
        </is>
      </c>
      <c r="E657" t="inlineStr">
        <is>
          <t>RAGUNDA</t>
        </is>
      </c>
      <c r="F657" t="inlineStr">
        <is>
          <t>SCA</t>
        </is>
      </c>
      <c r="G657" t="n">
        <v>8.9</v>
      </c>
      <c r="H657" t="n">
        <v>0</v>
      </c>
      <c r="I657" t="n">
        <v>0</v>
      </c>
      <c r="J657" t="n">
        <v>0</v>
      </c>
      <c r="K657" t="n">
        <v>0</v>
      </c>
      <c r="L657" t="n">
        <v>0</v>
      </c>
      <c r="M657" t="n">
        <v>0</v>
      </c>
      <c r="N657" t="n">
        <v>0</v>
      </c>
      <c r="O657" t="n">
        <v>0</v>
      </c>
      <c r="P657" t="n">
        <v>0</v>
      </c>
      <c r="Q657" t="n">
        <v>0</v>
      </c>
      <c r="R657" s="2" t="inlineStr"/>
    </row>
    <row r="658" ht="15" customHeight="1">
      <c r="A658" t="inlineStr">
        <is>
          <t>A 46192-2025</t>
        </is>
      </c>
      <c r="B658" s="1" t="n">
        <v>45924.67789351852</v>
      </c>
      <c r="C658" s="1" t="n">
        <v>46036</v>
      </c>
      <c r="D658" t="inlineStr">
        <is>
          <t>JÄMTLANDS LÄN</t>
        </is>
      </c>
      <c r="E658" t="inlineStr">
        <is>
          <t>RAGUNDA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50649-2022</t>
        </is>
      </c>
      <c r="B659" s="1" t="n">
        <v>44866</v>
      </c>
      <c r="C659" s="1" t="n">
        <v>46036</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59759-2024</t>
        </is>
      </c>
      <c r="B660" s="1" t="n">
        <v>45639.55240740741</v>
      </c>
      <c r="C660" s="1" t="n">
        <v>46036</v>
      </c>
      <c r="D660" t="inlineStr">
        <is>
          <t>JÄMTLANDS LÄN</t>
        </is>
      </c>
      <c r="E660" t="inlineStr">
        <is>
          <t>RAGUNDA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35537-2021</t>
        </is>
      </c>
      <c r="B661" s="1" t="n">
        <v>44384</v>
      </c>
      <c r="C661" s="1" t="n">
        <v>46036</v>
      </c>
      <c r="D661" t="inlineStr">
        <is>
          <t>JÄMTLANDS LÄN</t>
        </is>
      </c>
      <c r="E661" t="inlineStr">
        <is>
          <t>RAGUNDA</t>
        </is>
      </c>
      <c r="G661" t="n">
        <v>3.1</v>
      </c>
      <c r="H661" t="n">
        <v>0</v>
      </c>
      <c r="I661" t="n">
        <v>0</v>
      </c>
      <c r="J661" t="n">
        <v>0</v>
      </c>
      <c r="K661" t="n">
        <v>0</v>
      </c>
      <c r="L661" t="n">
        <v>0</v>
      </c>
      <c r="M661" t="n">
        <v>0</v>
      </c>
      <c r="N661" t="n">
        <v>0</v>
      </c>
      <c r="O661" t="n">
        <v>0</v>
      </c>
      <c r="P661" t="n">
        <v>0</v>
      </c>
      <c r="Q661" t="n">
        <v>0</v>
      </c>
      <c r="R661" s="2" t="inlineStr"/>
    </row>
    <row r="662" ht="15" customHeight="1">
      <c r="A662" t="inlineStr">
        <is>
          <t>A 2819-2023</t>
        </is>
      </c>
      <c r="B662" s="1" t="n">
        <v>44944</v>
      </c>
      <c r="C662" s="1" t="n">
        <v>46036</v>
      </c>
      <c r="D662" t="inlineStr">
        <is>
          <t>JÄMTLANDS LÄN</t>
        </is>
      </c>
      <c r="E662" t="inlineStr">
        <is>
          <t>RAGUNDA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32075-2025</t>
        </is>
      </c>
      <c r="B663" s="1" t="n">
        <v>45835.4506712963</v>
      </c>
      <c r="C663" s="1" t="n">
        <v>46036</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44536-2022</t>
        </is>
      </c>
      <c r="B664" s="1" t="n">
        <v>44839</v>
      </c>
      <c r="C664" s="1" t="n">
        <v>46036</v>
      </c>
      <c r="D664" t="inlineStr">
        <is>
          <t>JÄMTLANDS LÄN</t>
        </is>
      </c>
      <c r="E664" t="inlineStr">
        <is>
          <t>RAGUNDA</t>
        </is>
      </c>
      <c r="G664" t="n">
        <v>4</v>
      </c>
      <c r="H664" t="n">
        <v>0</v>
      </c>
      <c r="I664" t="n">
        <v>0</v>
      </c>
      <c r="J664" t="n">
        <v>0</v>
      </c>
      <c r="K664" t="n">
        <v>0</v>
      </c>
      <c r="L664" t="n">
        <v>0</v>
      </c>
      <c r="M664" t="n">
        <v>0</v>
      </c>
      <c r="N664" t="n">
        <v>0</v>
      </c>
      <c r="O664" t="n">
        <v>0</v>
      </c>
      <c r="P664" t="n">
        <v>0</v>
      </c>
      <c r="Q664" t="n">
        <v>0</v>
      </c>
      <c r="R664" s="2" t="inlineStr"/>
    </row>
    <row r="665" ht="15" customHeight="1">
      <c r="A665" t="inlineStr">
        <is>
          <t>A 46275-2025</t>
        </is>
      </c>
      <c r="B665" s="1" t="n">
        <v>45925.3711574074</v>
      </c>
      <c r="C665" s="1" t="n">
        <v>46036</v>
      </c>
      <c r="D665" t="inlineStr">
        <is>
          <t>JÄMTLANDS LÄN</t>
        </is>
      </c>
      <c r="E665" t="inlineStr">
        <is>
          <t>RAGUNDA</t>
        </is>
      </c>
      <c r="G665" t="n">
        <v>2.7</v>
      </c>
      <c r="H665" t="n">
        <v>0</v>
      </c>
      <c r="I665" t="n">
        <v>0</v>
      </c>
      <c r="J665" t="n">
        <v>0</v>
      </c>
      <c r="K665" t="n">
        <v>0</v>
      </c>
      <c r="L665" t="n">
        <v>0</v>
      </c>
      <c r="M665" t="n">
        <v>0</v>
      </c>
      <c r="N665" t="n">
        <v>0</v>
      </c>
      <c r="O665" t="n">
        <v>0</v>
      </c>
      <c r="P665" t="n">
        <v>0</v>
      </c>
      <c r="Q665" t="n">
        <v>0</v>
      </c>
      <c r="R665" s="2" t="inlineStr"/>
    </row>
    <row r="666" ht="15" customHeight="1">
      <c r="A666" t="inlineStr">
        <is>
          <t>A 32874-2025</t>
        </is>
      </c>
      <c r="B666" s="1" t="n">
        <v>45839</v>
      </c>
      <c r="C666" s="1" t="n">
        <v>46036</v>
      </c>
      <c r="D666" t="inlineStr">
        <is>
          <t>JÄMTLANDS LÄN</t>
        </is>
      </c>
      <c r="E666" t="inlineStr">
        <is>
          <t>RAGUNDA</t>
        </is>
      </c>
      <c r="G666" t="n">
        <v>2.3</v>
      </c>
      <c r="H666" t="n">
        <v>0</v>
      </c>
      <c r="I666" t="n">
        <v>0</v>
      </c>
      <c r="J666" t="n">
        <v>0</v>
      </c>
      <c r="K666" t="n">
        <v>0</v>
      </c>
      <c r="L666" t="n">
        <v>0</v>
      </c>
      <c r="M666" t="n">
        <v>0</v>
      </c>
      <c r="N666" t="n">
        <v>0</v>
      </c>
      <c r="O666" t="n">
        <v>0</v>
      </c>
      <c r="P666" t="n">
        <v>0</v>
      </c>
      <c r="Q666" t="n">
        <v>0</v>
      </c>
      <c r="R666" s="2" t="inlineStr"/>
    </row>
    <row r="667" ht="15" customHeight="1">
      <c r="A667" t="inlineStr">
        <is>
          <t>A 36994-2025</t>
        </is>
      </c>
      <c r="B667" s="1" t="n">
        <v>45874.67746527777</v>
      </c>
      <c r="C667" s="1" t="n">
        <v>46036</v>
      </c>
      <c r="D667" t="inlineStr">
        <is>
          <t>JÄMTLANDS LÄN</t>
        </is>
      </c>
      <c r="E667" t="inlineStr">
        <is>
          <t>RAGUNDA</t>
        </is>
      </c>
      <c r="F667" t="inlineStr">
        <is>
          <t>SCA</t>
        </is>
      </c>
      <c r="G667" t="n">
        <v>7.2</v>
      </c>
      <c r="H667" t="n">
        <v>0</v>
      </c>
      <c r="I667" t="n">
        <v>0</v>
      </c>
      <c r="J667" t="n">
        <v>0</v>
      </c>
      <c r="K667" t="n">
        <v>0</v>
      </c>
      <c r="L667" t="n">
        <v>0</v>
      </c>
      <c r="M667" t="n">
        <v>0</v>
      </c>
      <c r="N667" t="n">
        <v>0</v>
      </c>
      <c r="O667" t="n">
        <v>0</v>
      </c>
      <c r="P667" t="n">
        <v>0</v>
      </c>
      <c r="Q667" t="n">
        <v>0</v>
      </c>
      <c r="R667" s="2" t="inlineStr"/>
    </row>
    <row r="668" ht="15" customHeight="1">
      <c r="A668" t="inlineStr">
        <is>
          <t>A 37008-2025</t>
        </is>
      </c>
      <c r="B668" s="1" t="n">
        <v>45874.69844907407</v>
      </c>
      <c r="C668" s="1" t="n">
        <v>46036</v>
      </c>
      <c r="D668" t="inlineStr">
        <is>
          <t>JÄMTLANDS LÄN</t>
        </is>
      </c>
      <c r="E668" t="inlineStr">
        <is>
          <t>RAGUNDA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30459-2021</t>
        </is>
      </c>
      <c r="B669" s="1" t="n">
        <v>44362</v>
      </c>
      <c r="C669" s="1" t="n">
        <v>46036</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36947-2025</t>
        </is>
      </c>
      <c r="B670" s="1" t="n">
        <v>45874.59496527778</v>
      </c>
      <c r="C670" s="1" t="n">
        <v>46036</v>
      </c>
      <c r="D670" t="inlineStr">
        <is>
          <t>JÄMTLANDS LÄN</t>
        </is>
      </c>
      <c r="E670" t="inlineStr">
        <is>
          <t>RAGUNDA</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46825-2025</t>
        </is>
      </c>
      <c r="B671" s="1" t="n">
        <v>45926.92506944444</v>
      </c>
      <c r="C671" s="1" t="n">
        <v>46036</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46710-2025</t>
        </is>
      </c>
      <c r="B672" s="1" t="n">
        <v>45926.57337962963</v>
      </c>
      <c r="C672" s="1" t="n">
        <v>46036</v>
      </c>
      <c r="D672" t="inlineStr">
        <is>
          <t>JÄMTLANDS LÄN</t>
        </is>
      </c>
      <c r="E672" t="inlineStr">
        <is>
          <t>RAGUNDA</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47075-2025</t>
        </is>
      </c>
      <c r="B673" s="1" t="n">
        <v>45929.63728009259</v>
      </c>
      <c r="C673" s="1" t="n">
        <v>46036</v>
      </c>
      <c r="D673" t="inlineStr">
        <is>
          <t>JÄMTLANDS LÄN</t>
        </is>
      </c>
      <c r="E673" t="inlineStr">
        <is>
          <t>RAGUNDA</t>
        </is>
      </c>
      <c r="F673" t="inlineStr">
        <is>
          <t>SCA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47119-2025</t>
        </is>
      </c>
      <c r="B674" s="1" t="n">
        <v>45929.67795138889</v>
      </c>
      <c r="C674" s="1" t="n">
        <v>46036</v>
      </c>
      <c r="D674" t="inlineStr">
        <is>
          <t>JÄMTLANDS LÄN</t>
        </is>
      </c>
      <c r="E674" t="inlineStr">
        <is>
          <t>RAGUNDA</t>
        </is>
      </c>
      <c r="F674" t="inlineStr">
        <is>
          <t>SCA</t>
        </is>
      </c>
      <c r="G674" t="n">
        <v>22.7</v>
      </c>
      <c r="H674" t="n">
        <v>0</v>
      </c>
      <c r="I674" t="n">
        <v>0</v>
      </c>
      <c r="J674" t="n">
        <v>0</v>
      </c>
      <c r="K674" t="n">
        <v>0</v>
      </c>
      <c r="L674" t="n">
        <v>0</v>
      </c>
      <c r="M674" t="n">
        <v>0</v>
      </c>
      <c r="N674" t="n">
        <v>0</v>
      </c>
      <c r="O674" t="n">
        <v>0</v>
      </c>
      <c r="P674" t="n">
        <v>0</v>
      </c>
      <c r="Q674" t="n">
        <v>0</v>
      </c>
      <c r="R674" s="2" t="inlineStr"/>
    </row>
    <row r="675" ht="15" customHeight="1">
      <c r="A675" t="inlineStr">
        <is>
          <t>A 46689-2025</t>
        </is>
      </c>
      <c r="B675" s="1" t="n">
        <v>45926.55307870371</v>
      </c>
      <c r="C675" s="1" t="n">
        <v>46036</v>
      </c>
      <c r="D675" t="inlineStr">
        <is>
          <t>JÄMTLANDS LÄN</t>
        </is>
      </c>
      <c r="E675" t="inlineStr">
        <is>
          <t>RAGUNDA</t>
        </is>
      </c>
      <c r="F675" t="inlineStr">
        <is>
          <t>SCA</t>
        </is>
      </c>
      <c r="G675" t="n">
        <v>8</v>
      </c>
      <c r="H675" t="n">
        <v>0</v>
      </c>
      <c r="I675" t="n">
        <v>0</v>
      </c>
      <c r="J675" t="n">
        <v>0</v>
      </c>
      <c r="K675" t="n">
        <v>0</v>
      </c>
      <c r="L675" t="n">
        <v>0</v>
      </c>
      <c r="M675" t="n">
        <v>0</v>
      </c>
      <c r="N675" t="n">
        <v>0</v>
      </c>
      <c r="O675" t="n">
        <v>0</v>
      </c>
      <c r="P675" t="n">
        <v>0</v>
      </c>
      <c r="Q675" t="n">
        <v>0</v>
      </c>
      <c r="R675" s="2" t="inlineStr"/>
    </row>
    <row r="676" ht="15" customHeight="1">
      <c r="A676" t="inlineStr">
        <is>
          <t>A 46909-2025</t>
        </is>
      </c>
      <c r="B676" s="1" t="n">
        <v>45929.40673611111</v>
      </c>
      <c r="C676" s="1" t="n">
        <v>46036</v>
      </c>
      <c r="D676" t="inlineStr">
        <is>
          <t>JÄMTLANDS LÄN</t>
        </is>
      </c>
      <c r="E676" t="inlineStr">
        <is>
          <t>RAGUNDA</t>
        </is>
      </c>
      <c r="G676" t="n">
        <v>5.7</v>
      </c>
      <c r="H676" t="n">
        <v>0</v>
      </c>
      <c r="I676" t="n">
        <v>0</v>
      </c>
      <c r="J676" t="n">
        <v>0</v>
      </c>
      <c r="K676" t="n">
        <v>0</v>
      </c>
      <c r="L676" t="n">
        <v>0</v>
      </c>
      <c r="M676" t="n">
        <v>0</v>
      </c>
      <c r="N676" t="n">
        <v>0</v>
      </c>
      <c r="O676" t="n">
        <v>0</v>
      </c>
      <c r="P676" t="n">
        <v>0</v>
      </c>
      <c r="Q676" t="n">
        <v>0</v>
      </c>
      <c r="R676" s="2" t="inlineStr"/>
    </row>
    <row r="677" ht="15" customHeight="1">
      <c r="A677" t="inlineStr">
        <is>
          <t>A 37292-2025</t>
        </is>
      </c>
      <c r="B677" s="1" t="n">
        <v>45876.53188657408</v>
      </c>
      <c r="C677" s="1" t="n">
        <v>46036</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47122-2025</t>
        </is>
      </c>
      <c r="B678" s="1" t="n">
        <v>45929.67878472222</v>
      </c>
      <c r="C678" s="1" t="n">
        <v>46036</v>
      </c>
      <c r="D678" t="inlineStr">
        <is>
          <t>JÄMTLANDS LÄN</t>
        </is>
      </c>
      <c r="E678" t="inlineStr">
        <is>
          <t>RAGUNDA</t>
        </is>
      </c>
      <c r="F678" t="inlineStr">
        <is>
          <t>SCA</t>
        </is>
      </c>
      <c r="G678" t="n">
        <v>31.1</v>
      </c>
      <c r="H678" t="n">
        <v>0</v>
      </c>
      <c r="I678" t="n">
        <v>0</v>
      </c>
      <c r="J678" t="n">
        <v>0</v>
      </c>
      <c r="K678" t="n">
        <v>0</v>
      </c>
      <c r="L678" t="n">
        <v>0</v>
      </c>
      <c r="M678" t="n">
        <v>0</v>
      </c>
      <c r="N678" t="n">
        <v>0</v>
      </c>
      <c r="O678" t="n">
        <v>0</v>
      </c>
      <c r="P678" t="n">
        <v>0</v>
      </c>
      <c r="Q678" t="n">
        <v>0</v>
      </c>
      <c r="R678" s="2" t="inlineStr"/>
    </row>
    <row r="679" ht="15" customHeight="1">
      <c r="A679" t="inlineStr">
        <is>
          <t>A 46974-2025</t>
        </is>
      </c>
      <c r="B679" s="1" t="n">
        <v>45929.51104166666</v>
      </c>
      <c r="C679" s="1" t="n">
        <v>46036</v>
      </c>
      <c r="D679" t="inlineStr">
        <is>
          <t>JÄMTLANDS LÄN</t>
        </is>
      </c>
      <c r="E679" t="inlineStr">
        <is>
          <t>RAGUNDA</t>
        </is>
      </c>
      <c r="F679" t="inlineStr">
        <is>
          <t>SCA</t>
        </is>
      </c>
      <c r="G679" t="n">
        <v>12.1</v>
      </c>
      <c r="H679" t="n">
        <v>0</v>
      </c>
      <c r="I679" t="n">
        <v>0</v>
      </c>
      <c r="J679" t="n">
        <v>0</v>
      </c>
      <c r="K679" t="n">
        <v>0</v>
      </c>
      <c r="L679" t="n">
        <v>0</v>
      </c>
      <c r="M679" t="n">
        <v>0</v>
      </c>
      <c r="N679" t="n">
        <v>0</v>
      </c>
      <c r="O679" t="n">
        <v>0</v>
      </c>
      <c r="P679" t="n">
        <v>0</v>
      </c>
      <c r="Q679" t="n">
        <v>0</v>
      </c>
      <c r="R679" s="2" t="inlineStr"/>
    </row>
    <row r="680" ht="15" customHeight="1">
      <c r="A680" t="inlineStr">
        <is>
          <t>A 37543-2023</t>
        </is>
      </c>
      <c r="B680" s="1" t="n">
        <v>45158.94231481481</v>
      </c>
      <c r="C680" s="1" t="n">
        <v>46036</v>
      </c>
      <c r="D680" t="inlineStr">
        <is>
          <t>JÄMTLANDS LÄN</t>
        </is>
      </c>
      <c r="E680" t="inlineStr">
        <is>
          <t>RAGUNDA</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46751-2025</t>
        </is>
      </c>
      <c r="B681" s="1" t="n">
        <v>45926.6153125</v>
      </c>
      <c r="C681" s="1" t="n">
        <v>46036</v>
      </c>
      <c r="D681" t="inlineStr">
        <is>
          <t>JÄMTLANDS LÄN</t>
        </is>
      </c>
      <c r="E681" t="inlineStr">
        <is>
          <t>RAGUNDA</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46753-2025</t>
        </is>
      </c>
      <c r="B682" s="1" t="n">
        <v>45926.61552083334</v>
      </c>
      <c r="C682" s="1" t="n">
        <v>46036</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47037-2025</t>
        </is>
      </c>
      <c r="B683" s="1" t="n">
        <v>45929.59456018519</v>
      </c>
      <c r="C683" s="1" t="n">
        <v>46036</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19438-2023</t>
        </is>
      </c>
      <c r="B684" s="1" t="n">
        <v>45049</v>
      </c>
      <c r="C684" s="1" t="n">
        <v>46036</v>
      </c>
      <c r="D684" t="inlineStr">
        <is>
          <t>JÄMTLANDS LÄN</t>
        </is>
      </c>
      <c r="E684" t="inlineStr">
        <is>
          <t>RAGUNDA</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47749-2025</t>
        </is>
      </c>
      <c r="B685" s="1" t="n">
        <v>45931.65711805555</v>
      </c>
      <c r="C685" s="1" t="n">
        <v>46036</v>
      </c>
      <c r="D685" t="inlineStr">
        <is>
          <t>JÄMTLANDS LÄN</t>
        </is>
      </c>
      <c r="E685" t="inlineStr">
        <is>
          <t>RAGUNDA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47228-2025</t>
        </is>
      </c>
      <c r="B686" s="1" t="n">
        <v>45930.3990162037</v>
      </c>
      <c r="C686" s="1" t="n">
        <v>46036</v>
      </c>
      <c r="D686" t="inlineStr">
        <is>
          <t>JÄMTLANDS LÄN</t>
        </is>
      </c>
      <c r="E686" t="inlineStr">
        <is>
          <t>RAGUNDA</t>
        </is>
      </c>
      <c r="G686" t="n">
        <v>2.6</v>
      </c>
      <c r="H686" t="n">
        <v>0</v>
      </c>
      <c r="I686" t="n">
        <v>0</v>
      </c>
      <c r="J686" t="n">
        <v>0</v>
      </c>
      <c r="K686" t="n">
        <v>0</v>
      </c>
      <c r="L686" t="n">
        <v>0</v>
      </c>
      <c r="M686" t="n">
        <v>0</v>
      </c>
      <c r="N686" t="n">
        <v>0</v>
      </c>
      <c r="O686" t="n">
        <v>0</v>
      </c>
      <c r="P686" t="n">
        <v>0</v>
      </c>
      <c r="Q686" t="n">
        <v>0</v>
      </c>
      <c r="R686" s="2" t="inlineStr"/>
    </row>
    <row r="687" ht="15" customHeight="1">
      <c r="A687" t="inlineStr">
        <is>
          <t>A 47229-2025</t>
        </is>
      </c>
      <c r="B687" s="1" t="n">
        <v>45930.40166666666</v>
      </c>
      <c r="C687" s="1" t="n">
        <v>46036</v>
      </c>
      <c r="D687" t="inlineStr">
        <is>
          <t>JÄMTLANDS LÄN</t>
        </is>
      </c>
      <c r="E687" t="inlineStr">
        <is>
          <t>RAGUNDA</t>
        </is>
      </c>
      <c r="G687" t="n">
        <v>1.8</v>
      </c>
      <c r="H687" t="n">
        <v>0</v>
      </c>
      <c r="I687" t="n">
        <v>0</v>
      </c>
      <c r="J687" t="n">
        <v>0</v>
      </c>
      <c r="K687" t="n">
        <v>0</v>
      </c>
      <c r="L687" t="n">
        <v>0</v>
      </c>
      <c r="M687" t="n">
        <v>0</v>
      </c>
      <c r="N687" t="n">
        <v>0</v>
      </c>
      <c r="O687" t="n">
        <v>0</v>
      </c>
      <c r="P687" t="n">
        <v>0</v>
      </c>
      <c r="Q687" t="n">
        <v>0</v>
      </c>
      <c r="R687" s="2" t="inlineStr"/>
    </row>
    <row r="688" ht="15" customHeight="1">
      <c r="A688" t="inlineStr">
        <is>
          <t>A 47748-2025</t>
        </is>
      </c>
      <c r="B688" s="1" t="n">
        <v>45931.65693287037</v>
      </c>
      <c r="C688" s="1" t="n">
        <v>46036</v>
      </c>
      <c r="D688" t="inlineStr">
        <is>
          <t>JÄMTLANDS LÄN</t>
        </is>
      </c>
      <c r="E688" t="inlineStr">
        <is>
          <t>RAGUNDA</t>
        </is>
      </c>
      <c r="F688" t="inlineStr">
        <is>
          <t>SCA</t>
        </is>
      </c>
      <c r="G688" t="n">
        <v>8.6</v>
      </c>
      <c r="H688" t="n">
        <v>0</v>
      </c>
      <c r="I688" t="n">
        <v>0</v>
      </c>
      <c r="J688" t="n">
        <v>0</v>
      </c>
      <c r="K688" t="n">
        <v>0</v>
      </c>
      <c r="L688" t="n">
        <v>0</v>
      </c>
      <c r="M688" t="n">
        <v>0</v>
      </c>
      <c r="N688" t="n">
        <v>0</v>
      </c>
      <c r="O688" t="n">
        <v>0</v>
      </c>
      <c r="P688" t="n">
        <v>0</v>
      </c>
      <c r="Q688" t="n">
        <v>0</v>
      </c>
      <c r="R688" s="2" t="inlineStr"/>
    </row>
    <row r="689" ht="15" customHeight="1">
      <c r="A689" t="inlineStr">
        <is>
          <t>A 21332-2025</t>
        </is>
      </c>
      <c r="B689" s="1" t="n">
        <v>45782.36506944444</v>
      </c>
      <c r="C689" s="1" t="n">
        <v>46036</v>
      </c>
      <c r="D689" t="inlineStr">
        <is>
          <t>JÄMTLANDS LÄN</t>
        </is>
      </c>
      <c r="E689" t="inlineStr">
        <is>
          <t>RAGUNDA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7668-2025</t>
        </is>
      </c>
      <c r="B690" s="1" t="n">
        <v>45706.34450231482</v>
      </c>
      <c r="C690" s="1" t="n">
        <v>46036</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36046-2023</t>
        </is>
      </c>
      <c r="B691" s="1" t="n">
        <v>45148</v>
      </c>
      <c r="C691" s="1" t="n">
        <v>46036</v>
      </c>
      <c r="D691" t="inlineStr">
        <is>
          <t>JÄMTLANDS LÄN</t>
        </is>
      </c>
      <c r="E691" t="inlineStr">
        <is>
          <t>RAGUNDA</t>
        </is>
      </c>
      <c r="G691" t="n">
        <v>1.9</v>
      </c>
      <c r="H691" t="n">
        <v>0</v>
      </c>
      <c r="I691" t="n">
        <v>0</v>
      </c>
      <c r="J691" t="n">
        <v>0</v>
      </c>
      <c r="K691" t="n">
        <v>0</v>
      </c>
      <c r="L691" t="n">
        <v>0</v>
      </c>
      <c r="M691" t="n">
        <v>0</v>
      </c>
      <c r="N691" t="n">
        <v>0</v>
      </c>
      <c r="O691" t="n">
        <v>0</v>
      </c>
      <c r="P691" t="n">
        <v>0</v>
      </c>
      <c r="Q691" t="n">
        <v>0</v>
      </c>
      <c r="R691" s="2" t="inlineStr"/>
    </row>
    <row r="692" ht="15" customHeight="1">
      <c r="A692" t="inlineStr">
        <is>
          <t>A 9504-2025</t>
        </is>
      </c>
      <c r="B692" s="1" t="n">
        <v>45714</v>
      </c>
      <c r="C692" s="1" t="n">
        <v>46036</v>
      </c>
      <c r="D692" t="inlineStr">
        <is>
          <t>JÄMTLANDS LÄN</t>
        </is>
      </c>
      <c r="E692" t="inlineStr">
        <is>
          <t>RAGUNDA</t>
        </is>
      </c>
      <c r="G692" t="n">
        <v>6</v>
      </c>
      <c r="H692" t="n">
        <v>0</v>
      </c>
      <c r="I692" t="n">
        <v>0</v>
      </c>
      <c r="J692" t="n">
        <v>0</v>
      </c>
      <c r="K692" t="n">
        <v>0</v>
      </c>
      <c r="L692" t="n">
        <v>0</v>
      </c>
      <c r="M692" t="n">
        <v>0</v>
      </c>
      <c r="N692" t="n">
        <v>0</v>
      </c>
      <c r="O692" t="n">
        <v>0</v>
      </c>
      <c r="P692" t="n">
        <v>0</v>
      </c>
      <c r="Q692" t="n">
        <v>0</v>
      </c>
      <c r="R692" s="2" t="inlineStr"/>
    </row>
    <row r="693" ht="15" customHeight="1">
      <c r="A693" t="inlineStr">
        <is>
          <t>A 48748-2025</t>
        </is>
      </c>
      <c r="B693" s="1" t="n">
        <v>45936.67912037037</v>
      </c>
      <c r="C693" s="1" t="n">
        <v>46036</v>
      </c>
      <c r="D693" t="inlineStr">
        <is>
          <t>JÄMTLANDS LÄN</t>
        </is>
      </c>
      <c r="E693" t="inlineStr">
        <is>
          <t>RAGUNDA</t>
        </is>
      </c>
      <c r="F693" t="inlineStr">
        <is>
          <t>SCA</t>
        </is>
      </c>
      <c r="G693" t="n">
        <v>11.1</v>
      </c>
      <c r="H693" t="n">
        <v>0</v>
      </c>
      <c r="I693" t="n">
        <v>0</v>
      </c>
      <c r="J693" t="n">
        <v>0</v>
      </c>
      <c r="K693" t="n">
        <v>0</v>
      </c>
      <c r="L693" t="n">
        <v>0</v>
      </c>
      <c r="M693" t="n">
        <v>0</v>
      </c>
      <c r="N693" t="n">
        <v>0</v>
      </c>
      <c r="O693" t="n">
        <v>0</v>
      </c>
      <c r="P693" t="n">
        <v>0</v>
      </c>
      <c r="Q693" t="n">
        <v>0</v>
      </c>
      <c r="R693" s="2" t="inlineStr"/>
    </row>
    <row r="694" ht="15" customHeight="1">
      <c r="A694" t="inlineStr">
        <is>
          <t>A 48528-2025</t>
        </is>
      </c>
      <c r="B694" s="1" t="n">
        <v>45936.40758101852</v>
      </c>
      <c r="C694" s="1" t="n">
        <v>46036</v>
      </c>
      <c r="D694" t="inlineStr">
        <is>
          <t>JÄMTLANDS LÄN</t>
        </is>
      </c>
      <c r="E694" t="inlineStr">
        <is>
          <t>RAGUNDA</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48742-2025</t>
        </is>
      </c>
      <c r="B695" s="1" t="n">
        <v>45936.67810185185</v>
      </c>
      <c r="C695" s="1" t="n">
        <v>46036</v>
      </c>
      <c r="D695" t="inlineStr">
        <is>
          <t>JÄMTLANDS LÄN</t>
        </is>
      </c>
      <c r="E695" t="inlineStr">
        <is>
          <t>RAGUNDA</t>
        </is>
      </c>
      <c r="F695" t="inlineStr">
        <is>
          <t>SCA</t>
        </is>
      </c>
      <c r="G695" t="n">
        <v>8.9</v>
      </c>
      <c r="H695" t="n">
        <v>0</v>
      </c>
      <c r="I695" t="n">
        <v>0</v>
      </c>
      <c r="J695" t="n">
        <v>0</v>
      </c>
      <c r="K695" t="n">
        <v>0</v>
      </c>
      <c r="L695" t="n">
        <v>0</v>
      </c>
      <c r="M695" t="n">
        <v>0</v>
      </c>
      <c r="N695" t="n">
        <v>0</v>
      </c>
      <c r="O695" t="n">
        <v>0</v>
      </c>
      <c r="P695" t="n">
        <v>0</v>
      </c>
      <c r="Q695" t="n">
        <v>0</v>
      </c>
      <c r="R695" s="2" t="inlineStr"/>
    </row>
    <row r="696" ht="15" customHeight="1">
      <c r="A696" t="inlineStr">
        <is>
          <t>A 8654-2024</t>
        </is>
      </c>
      <c r="B696" s="1" t="n">
        <v>45356.03784722222</v>
      </c>
      <c r="C696" s="1" t="n">
        <v>46036</v>
      </c>
      <c r="D696" t="inlineStr">
        <is>
          <t>JÄMTLANDS LÄN</t>
        </is>
      </c>
      <c r="E696" t="inlineStr">
        <is>
          <t>RAGUNDA</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6902-2024</t>
        </is>
      </c>
      <c r="B697" s="1" t="n">
        <v>45342</v>
      </c>
      <c r="C697" s="1" t="n">
        <v>46036</v>
      </c>
      <c r="D697" t="inlineStr">
        <is>
          <t>JÄMTLANDS LÄN</t>
        </is>
      </c>
      <c r="E697" t="inlineStr">
        <is>
          <t>RAGUNDA</t>
        </is>
      </c>
      <c r="F697" t="inlineStr">
        <is>
          <t>SCA</t>
        </is>
      </c>
      <c r="G697" t="n">
        <v>18.7</v>
      </c>
      <c r="H697" t="n">
        <v>0</v>
      </c>
      <c r="I697" t="n">
        <v>0</v>
      </c>
      <c r="J697" t="n">
        <v>0</v>
      </c>
      <c r="K697" t="n">
        <v>0</v>
      </c>
      <c r="L697" t="n">
        <v>0</v>
      </c>
      <c r="M697" t="n">
        <v>0</v>
      </c>
      <c r="N697" t="n">
        <v>0</v>
      </c>
      <c r="O697" t="n">
        <v>0</v>
      </c>
      <c r="P697" t="n">
        <v>0</v>
      </c>
      <c r="Q697" t="n">
        <v>0</v>
      </c>
      <c r="R697" s="2" t="inlineStr"/>
    </row>
    <row r="698" ht="15" customHeight="1">
      <c r="A698" t="inlineStr">
        <is>
          <t>A 6905-2024</t>
        </is>
      </c>
      <c r="B698" s="1" t="n">
        <v>45342.9462037037</v>
      </c>
      <c r="C698" s="1" t="n">
        <v>46036</v>
      </c>
      <c r="D698" t="inlineStr">
        <is>
          <t>JÄMTLANDS LÄN</t>
        </is>
      </c>
      <c r="E698" t="inlineStr">
        <is>
          <t>RAGUNDA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22731-2023</t>
        </is>
      </c>
      <c r="B699" s="1" t="n">
        <v>45071</v>
      </c>
      <c r="C699" s="1" t="n">
        <v>46036</v>
      </c>
      <c r="D699" t="inlineStr">
        <is>
          <t>JÄMTLANDS LÄN</t>
        </is>
      </c>
      <c r="E699" t="inlineStr">
        <is>
          <t>RAGUNDA</t>
        </is>
      </c>
      <c r="G699" t="n">
        <v>1.5</v>
      </c>
      <c r="H699" t="n">
        <v>0</v>
      </c>
      <c r="I699" t="n">
        <v>0</v>
      </c>
      <c r="J699" t="n">
        <v>0</v>
      </c>
      <c r="K699" t="n">
        <v>0</v>
      </c>
      <c r="L699" t="n">
        <v>0</v>
      </c>
      <c r="M699" t="n">
        <v>0</v>
      </c>
      <c r="N699" t="n">
        <v>0</v>
      </c>
      <c r="O699" t="n">
        <v>0</v>
      </c>
      <c r="P699" t="n">
        <v>0</v>
      </c>
      <c r="Q699" t="n">
        <v>0</v>
      </c>
      <c r="R699" s="2" t="inlineStr"/>
    </row>
    <row r="700" ht="15" customHeight="1">
      <c r="A700" t="inlineStr">
        <is>
          <t>A 48746-2025</t>
        </is>
      </c>
      <c r="B700" s="1" t="n">
        <v>45936.67878472222</v>
      </c>
      <c r="C700" s="1" t="n">
        <v>46036</v>
      </c>
      <c r="D700" t="inlineStr">
        <is>
          <t>JÄMTLANDS LÄN</t>
        </is>
      </c>
      <c r="E700" t="inlineStr">
        <is>
          <t>RAGUNDA</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11245-2025</t>
        </is>
      </c>
      <c r="B701" s="1" t="n">
        <v>45726.38575231482</v>
      </c>
      <c r="C701" s="1" t="n">
        <v>46036</v>
      </c>
      <c r="D701" t="inlineStr">
        <is>
          <t>JÄMTLANDS LÄN</t>
        </is>
      </c>
      <c r="E701" t="inlineStr">
        <is>
          <t>RAGUNDA</t>
        </is>
      </c>
      <c r="G701" t="n">
        <v>2.3</v>
      </c>
      <c r="H701" t="n">
        <v>0</v>
      </c>
      <c r="I701" t="n">
        <v>0</v>
      </c>
      <c r="J701" t="n">
        <v>0</v>
      </c>
      <c r="K701" t="n">
        <v>0</v>
      </c>
      <c r="L701" t="n">
        <v>0</v>
      </c>
      <c r="M701" t="n">
        <v>0</v>
      </c>
      <c r="N701" t="n">
        <v>0</v>
      </c>
      <c r="O701" t="n">
        <v>0</v>
      </c>
      <c r="P701" t="n">
        <v>0</v>
      </c>
      <c r="Q701" t="n">
        <v>0</v>
      </c>
      <c r="R701" s="2" t="inlineStr"/>
    </row>
    <row r="702" ht="15" customHeight="1">
      <c r="A702" t="inlineStr">
        <is>
          <t>A 61923-2024</t>
        </is>
      </c>
      <c r="B702" s="1" t="n">
        <v>45653.44836805556</v>
      </c>
      <c r="C702" s="1" t="n">
        <v>46036</v>
      </c>
      <c r="D702" t="inlineStr">
        <is>
          <t>JÄMTLANDS LÄN</t>
        </is>
      </c>
      <c r="E702" t="inlineStr">
        <is>
          <t>RAGUNDA</t>
        </is>
      </c>
      <c r="F702" t="inlineStr">
        <is>
          <t>SCA</t>
        </is>
      </c>
      <c r="G702" t="n">
        <v>11.1</v>
      </c>
      <c r="H702" t="n">
        <v>0</v>
      </c>
      <c r="I702" t="n">
        <v>0</v>
      </c>
      <c r="J702" t="n">
        <v>0</v>
      </c>
      <c r="K702" t="n">
        <v>0</v>
      </c>
      <c r="L702" t="n">
        <v>0</v>
      </c>
      <c r="M702" t="n">
        <v>0</v>
      </c>
      <c r="N702" t="n">
        <v>0</v>
      </c>
      <c r="O702" t="n">
        <v>0</v>
      </c>
      <c r="P702" t="n">
        <v>0</v>
      </c>
      <c r="Q702" t="n">
        <v>0</v>
      </c>
      <c r="R702" s="2" t="inlineStr"/>
    </row>
    <row r="703" ht="15" customHeight="1">
      <c r="A703" t="inlineStr">
        <is>
          <t>A 23567-2024</t>
        </is>
      </c>
      <c r="B703" s="1" t="n">
        <v>45453.95538194444</v>
      </c>
      <c r="C703" s="1" t="n">
        <v>46036</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19246-2023</t>
        </is>
      </c>
      <c r="B704" s="1" t="n">
        <v>45048.94340277778</v>
      </c>
      <c r="C704" s="1" t="n">
        <v>46036</v>
      </c>
      <c r="D704" t="inlineStr">
        <is>
          <t>JÄMTLANDS LÄN</t>
        </is>
      </c>
      <c r="E704" t="inlineStr">
        <is>
          <t>RAGUNDA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61109-2024</t>
        </is>
      </c>
      <c r="B705" s="1" t="n">
        <v>45645.55672453704</v>
      </c>
      <c r="C705" s="1" t="n">
        <v>46036</v>
      </c>
      <c r="D705" t="inlineStr">
        <is>
          <t>JÄMTLANDS LÄN</t>
        </is>
      </c>
      <c r="E705" t="inlineStr">
        <is>
          <t>RAGUNDA</t>
        </is>
      </c>
      <c r="G705" t="n">
        <v>4</v>
      </c>
      <c r="H705" t="n">
        <v>0</v>
      </c>
      <c r="I705" t="n">
        <v>0</v>
      </c>
      <c r="J705" t="n">
        <v>0</v>
      </c>
      <c r="K705" t="n">
        <v>0</v>
      </c>
      <c r="L705" t="n">
        <v>0</v>
      </c>
      <c r="M705" t="n">
        <v>0</v>
      </c>
      <c r="N705" t="n">
        <v>0</v>
      </c>
      <c r="O705" t="n">
        <v>0</v>
      </c>
      <c r="P705" t="n">
        <v>0</v>
      </c>
      <c r="Q705" t="n">
        <v>0</v>
      </c>
      <c r="R705" s="2" t="inlineStr"/>
    </row>
    <row r="706" ht="15" customHeight="1">
      <c r="A706" t="inlineStr">
        <is>
          <t>A 58955-2024</t>
        </is>
      </c>
      <c r="B706" s="1" t="n">
        <v>45636.57329861111</v>
      </c>
      <c r="C706" s="1" t="n">
        <v>46036</v>
      </c>
      <c r="D706" t="inlineStr">
        <is>
          <t>JÄMTLANDS LÄN</t>
        </is>
      </c>
      <c r="E706" t="inlineStr">
        <is>
          <t>RAGUNDA</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33877-2023</t>
        </is>
      </c>
      <c r="B707" s="1" t="n">
        <v>45133</v>
      </c>
      <c r="C707" s="1" t="n">
        <v>46036</v>
      </c>
      <c r="D707" t="inlineStr">
        <is>
          <t>JÄMTLANDS LÄN</t>
        </is>
      </c>
      <c r="E707" t="inlineStr">
        <is>
          <t>RAGUNDA</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62541-2022</t>
        </is>
      </c>
      <c r="B708" s="1" t="n">
        <v>44917</v>
      </c>
      <c r="C708" s="1" t="n">
        <v>46036</v>
      </c>
      <c r="D708" t="inlineStr">
        <is>
          <t>JÄMTLANDS LÄN</t>
        </is>
      </c>
      <c r="E708" t="inlineStr">
        <is>
          <t>RAGUNDA</t>
        </is>
      </c>
      <c r="G708" t="n">
        <v>2.6</v>
      </c>
      <c r="H708" t="n">
        <v>0</v>
      </c>
      <c r="I708" t="n">
        <v>0</v>
      </c>
      <c r="J708" t="n">
        <v>0</v>
      </c>
      <c r="K708" t="n">
        <v>0</v>
      </c>
      <c r="L708" t="n">
        <v>0</v>
      </c>
      <c r="M708" t="n">
        <v>0</v>
      </c>
      <c r="N708" t="n">
        <v>0</v>
      </c>
      <c r="O708" t="n">
        <v>0</v>
      </c>
      <c r="P708" t="n">
        <v>0</v>
      </c>
      <c r="Q708" t="n">
        <v>0</v>
      </c>
      <c r="R708" s="2" t="inlineStr"/>
    </row>
    <row r="709" ht="15" customHeight="1">
      <c r="A709" t="inlineStr">
        <is>
          <t>A 49639-2025</t>
        </is>
      </c>
      <c r="B709" s="1" t="n">
        <v>45939.61253472222</v>
      </c>
      <c r="C709" s="1" t="n">
        <v>46036</v>
      </c>
      <c r="D709" t="inlineStr">
        <is>
          <t>JÄMTLANDS LÄN</t>
        </is>
      </c>
      <c r="E709" t="inlineStr">
        <is>
          <t>RAGUNDA</t>
        </is>
      </c>
      <c r="F709" t="inlineStr">
        <is>
          <t>Kommuner</t>
        </is>
      </c>
      <c r="G709" t="n">
        <v>13.6</v>
      </c>
      <c r="H709" t="n">
        <v>0</v>
      </c>
      <c r="I709" t="n">
        <v>0</v>
      </c>
      <c r="J709" t="n">
        <v>0</v>
      </c>
      <c r="K709" t="n">
        <v>0</v>
      </c>
      <c r="L709" t="n">
        <v>0</v>
      </c>
      <c r="M709" t="n">
        <v>0</v>
      </c>
      <c r="N709" t="n">
        <v>0</v>
      </c>
      <c r="O709" t="n">
        <v>0</v>
      </c>
      <c r="P709" t="n">
        <v>0</v>
      </c>
      <c r="Q709" t="n">
        <v>0</v>
      </c>
      <c r="R709" s="2" t="inlineStr"/>
    </row>
    <row r="710" ht="15" customHeight="1">
      <c r="A710" t="inlineStr">
        <is>
          <t>A 9567-2025</t>
        </is>
      </c>
      <c r="B710" s="1" t="n">
        <v>45715.61523148148</v>
      </c>
      <c r="C710" s="1" t="n">
        <v>46036</v>
      </c>
      <c r="D710" t="inlineStr">
        <is>
          <t>JÄMTLANDS LÄN</t>
        </is>
      </c>
      <c r="E710" t="inlineStr">
        <is>
          <t>RAGUNDA</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49059-2025</t>
        </is>
      </c>
      <c r="B711" s="1" t="n">
        <v>45937.64123842592</v>
      </c>
      <c r="C711" s="1" t="n">
        <v>46036</v>
      </c>
      <c r="D711" t="inlineStr">
        <is>
          <t>JÄMTLANDS LÄN</t>
        </is>
      </c>
      <c r="E711" t="inlineStr">
        <is>
          <t>RAGUNDA</t>
        </is>
      </c>
      <c r="G711" t="n">
        <v>2.1</v>
      </c>
      <c r="H711" t="n">
        <v>0</v>
      </c>
      <c r="I711" t="n">
        <v>0</v>
      </c>
      <c r="J711" t="n">
        <v>0</v>
      </c>
      <c r="K711" t="n">
        <v>0</v>
      </c>
      <c r="L711" t="n">
        <v>0</v>
      </c>
      <c r="M711" t="n">
        <v>0</v>
      </c>
      <c r="N711" t="n">
        <v>0</v>
      </c>
      <c r="O711" t="n">
        <v>0</v>
      </c>
      <c r="P711" t="n">
        <v>0</v>
      </c>
      <c r="Q711" t="n">
        <v>0</v>
      </c>
      <c r="R711" s="2" t="inlineStr"/>
    </row>
    <row r="712" ht="15" customHeight="1">
      <c r="A712" t="inlineStr">
        <is>
          <t>A 21661-2023</t>
        </is>
      </c>
      <c r="B712" s="1" t="n">
        <v>45063</v>
      </c>
      <c r="C712" s="1" t="n">
        <v>46036</v>
      </c>
      <c r="D712" t="inlineStr">
        <is>
          <t>JÄMTLANDS LÄN</t>
        </is>
      </c>
      <c r="E712" t="inlineStr">
        <is>
          <t>RAGUNDA</t>
        </is>
      </c>
      <c r="G712" t="n">
        <v>1.5</v>
      </c>
      <c r="H712" t="n">
        <v>0</v>
      </c>
      <c r="I712" t="n">
        <v>0</v>
      </c>
      <c r="J712" t="n">
        <v>0</v>
      </c>
      <c r="K712" t="n">
        <v>0</v>
      </c>
      <c r="L712" t="n">
        <v>0</v>
      </c>
      <c r="M712" t="n">
        <v>0</v>
      </c>
      <c r="N712" t="n">
        <v>0</v>
      </c>
      <c r="O712" t="n">
        <v>0</v>
      </c>
      <c r="P712" t="n">
        <v>0</v>
      </c>
      <c r="Q712" t="n">
        <v>0</v>
      </c>
      <c r="R712" s="2" t="inlineStr"/>
    </row>
    <row r="713" ht="15" customHeight="1">
      <c r="A713" t="inlineStr">
        <is>
          <t>A 49193-2025</t>
        </is>
      </c>
      <c r="B713" s="1" t="n">
        <v>45938.40831018519</v>
      </c>
      <c r="C713" s="1" t="n">
        <v>46036</v>
      </c>
      <c r="D713" t="inlineStr">
        <is>
          <t>JÄMTLANDS LÄN</t>
        </is>
      </c>
      <c r="E713" t="inlineStr">
        <is>
          <t>RAGUNDA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49238-2025</t>
        </is>
      </c>
      <c r="B714" s="1" t="n">
        <v>45938.48231481481</v>
      </c>
      <c r="C714" s="1" t="n">
        <v>46036</v>
      </c>
      <c r="D714" t="inlineStr">
        <is>
          <t>JÄMTLANDS LÄN</t>
        </is>
      </c>
      <c r="E714" t="inlineStr">
        <is>
          <t>RAGUNDA</t>
        </is>
      </c>
      <c r="G714" t="n">
        <v>4.7</v>
      </c>
      <c r="H714" t="n">
        <v>0</v>
      </c>
      <c r="I714" t="n">
        <v>0</v>
      </c>
      <c r="J714" t="n">
        <v>0</v>
      </c>
      <c r="K714" t="n">
        <v>0</v>
      </c>
      <c r="L714" t="n">
        <v>0</v>
      </c>
      <c r="M714" t="n">
        <v>0</v>
      </c>
      <c r="N714" t="n">
        <v>0</v>
      </c>
      <c r="O714" t="n">
        <v>0</v>
      </c>
      <c r="P714" t="n">
        <v>0</v>
      </c>
      <c r="Q714" t="n">
        <v>0</v>
      </c>
      <c r="R714" s="2" t="inlineStr"/>
    </row>
    <row r="715" ht="15" customHeight="1">
      <c r="A715" t="inlineStr">
        <is>
          <t>A 49290-2025</t>
        </is>
      </c>
      <c r="B715" s="1" t="n">
        <v>45938.53168981482</v>
      </c>
      <c r="C715" s="1" t="n">
        <v>46036</v>
      </c>
      <c r="D715" t="inlineStr">
        <is>
          <t>JÄMTLANDS LÄN</t>
        </is>
      </c>
      <c r="E715" t="inlineStr">
        <is>
          <t>RAGUNDA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49092-2025</t>
        </is>
      </c>
      <c r="B716" s="1" t="n">
        <v>45937.67792824074</v>
      </c>
      <c r="C716" s="1" t="n">
        <v>46036</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34088-2025</t>
        </is>
      </c>
      <c r="B717" s="1" t="n">
        <v>45845</v>
      </c>
      <c r="C717" s="1" t="n">
        <v>46036</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50215-2025</t>
        </is>
      </c>
      <c r="B718" s="1" t="n">
        <v>45943.67842592593</v>
      </c>
      <c r="C718" s="1" t="n">
        <v>46036</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49991-2025</t>
        </is>
      </c>
      <c r="B719" s="1" t="n">
        <v>45942.91568287037</v>
      </c>
      <c r="C719" s="1" t="n">
        <v>46036</v>
      </c>
      <c r="D719" t="inlineStr">
        <is>
          <t>JÄMTLANDS LÄN</t>
        </is>
      </c>
      <c r="E719" t="inlineStr">
        <is>
          <t>RAGUNDA</t>
        </is>
      </c>
      <c r="G719" t="n">
        <v>9</v>
      </c>
      <c r="H719" t="n">
        <v>0</v>
      </c>
      <c r="I719" t="n">
        <v>0</v>
      </c>
      <c r="J719" t="n">
        <v>0</v>
      </c>
      <c r="K719" t="n">
        <v>0</v>
      </c>
      <c r="L719" t="n">
        <v>0</v>
      </c>
      <c r="M719" t="n">
        <v>0</v>
      </c>
      <c r="N719" t="n">
        <v>0</v>
      </c>
      <c r="O719" t="n">
        <v>0</v>
      </c>
      <c r="P719" t="n">
        <v>0</v>
      </c>
      <c r="Q719" t="n">
        <v>0</v>
      </c>
      <c r="R719" s="2" t="inlineStr"/>
    </row>
    <row r="720" ht="15" customHeight="1">
      <c r="A720" t="inlineStr">
        <is>
          <t>A 49993-2025</t>
        </is>
      </c>
      <c r="B720" s="1" t="n">
        <v>45942.94371527778</v>
      </c>
      <c r="C720" s="1" t="n">
        <v>46036</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49994-2025</t>
        </is>
      </c>
      <c r="B721" s="1" t="n">
        <v>45942.96922453704</v>
      </c>
      <c r="C721" s="1" t="n">
        <v>46036</v>
      </c>
      <c r="D721" t="inlineStr">
        <is>
          <t>JÄMTLANDS LÄN</t>
        </is>
      </c>
      <c r="E721" t="inlineStr">
        <is>
          <t>RAGUNDA</t>
        </is>
      </c>
      <c r="G721" t="n">
        <v>4.5</v>
      </c>
      <c r="H721" t="n">
        <v>0</v>
      </c>
      <c r="I721" t="n">
        <v>0</v>
      </c>
      <c r="J721" t="n">
        <v>0</v>
      </c>
      <c r="K721" t="n">
        <v>0</v>
      </c>
      <c r="L721" t="n">
        <v>0</v>
      </c>
      <c r="M721" t="n">
        <v>0</v>
      </c>
      <c r="N721" t="n">
        <v>0</v>
      </c>
      <c r="O721" t="n">
        <v>0</v>
      </c>
      <c r="P721" t="n">
        <v>0</v>
      </c>
      <c r="Q721" t="n">
        <v>0</v>
      </c>
      <c r="R721" s="2" t="inlineStr"/>
    </row>
    <row r="722" ht="15" customHeight="1">
      <c r="A722" t="inlineStr">
        <is>
          <t>A 49995-2025</t>
        </is>
      </c>
      <c r="B722" s="1" t="n">
        <v>45943.00986111111</v>
      </c>
      <c r="C722" s="1" t="n">
        <v>46036</v>
      </c>
      <c r="D722" t="inlineStr">
        <is>
          <t>JÄMTLANDS LÄN</t>
        </is>
      </c>
      <c r="E722" t="inlineStr">
        <is>
          <t>RAGUNDA</t>
        </is>
      </c>
      <c r="G722" t="n">
        <v>2.5</v>
      </c>
      <c r="H722" t="n">
        <v>0</v>
      </c>
      <c r="I722" t="n">
        <v>0</v>
      </c>
      <c r="J722" t="n">
        <v>0</v>
      </c>
      <c r="K722" t="n">
        <v>0</v>
      </c>
      <c r="L722" t="n">
        <v>0</v>
      </c>
      <c r="M722" t="n">
        <v>0</v>
      </c>
      <c r="N722" t="n">
        <v>0</v>
      </c>
      <c r="O722" t="n">
        <v>0</v>
      </c>
      <c r="P722" t="n">
        <v>0</v>
      </c>
      <c r="Q722" t="n">
        <v>0</v>
      </c>
      <c r="R722" s="2" t="inlineStr"/>
    </row>
    <row r="723" ht="15" customHeight="1">
      <c r="A723" t="inlineStr">
        <is>
          <t>A 50126-2025</t>
        </is>
      </c>
      <c r="B723" s="1" t="n">
        <v>45943.55271990741</v>
      </c>
      <c r="C723" s="1" t="n">
        <v>46036</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50098-2025</t>
        </is>
      </c>
      <c r="B724" s="1" t="n">
        <v>45943.51086805556</v>
      </c>
      <c r="C724" s="1" t="n">
        <v>46036</v>
      </c>
      <c r="D724" t="inlineStr">
        <is>
          <t>JÄMTLANDS LÄN</t>
        </is>
      </c>
      <c r="E724" t="inlineStr">
        <is>
          <t>RAGUNDA</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50125-2025</t>
        </is>
      </c>
      <c r="B725" s="1" t="n">
        <v>45943.55262731481</v>
      </c>
      <c r="C725" s="1" t="n">
        <v>46036</v>
      </c>
      <c r="D725" t="inlineStr">
        <is>
          <t>JÄMTLANDS LÄN</t>
        </is>
      </c>
      <c r="E725" t="inlineStr">
        <is>
          <t>RAGUNDA</t>
        </is>
      </c>
      <c r="F725" t="inlineStr">
        <is>
          <t>Sveaskog</t>
        </is>
      </c>
      <c r="G725" t="n">
        <v>23.2</v>
      </c>
      <c r="H725" t="n">
        <v>0</v>
      </c>
      <c r="I725" t="n">
        <v>0</v>
      </c>
      <c r="J725" t="n">
        <v>0</v>
      </c>
      <c r="K725" t="n">
        <v>0</v>
      </c>
      <c r="L725" t="n">
        <v>0</v>
      </c>
      <c r="M725" t="n">
        <v>0</v>
      </c>
      <c r="N725" t="n">
        <v>0</v>
      </c>
      <c r="O725" t="n">
        <v>0</v>
      </c>
      <c r="P725" t="n">
        <v>0</v>
      </c>
      <c r="Q725" t="n">
        <v>0</v>
      </c>
      <c r="R725" s="2" t="inlineStr"/>
    </row>
    <row r="726" ht="15" customHeight="1">
      <c r="A726" t="inlineStr">
        <is>
          <t>A 69153-2021</t>
        </is>
      </c>
      <c r="B726" s="1" t="n">
        <v>44530.94694444445</v>
      </c>
      <c r="C726" s="1" t="n">
        <v>46036</v>
      </c>
      <c r="D726" t="inlineStr">
        <is>
          <t>JÄMTLANDS LÄN</t>
        </is>
      </c>
      <c r="E726" t="inlineStr">
        <is>
          <t>RAGUNDA</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50081-2025</t>
        </is>
      </c>
      <c r="B727" s="1" t="n">
        <v>45943.46954861111</v>
      </c>
      <c r="C727" s="1" t="n">
        <v>46036</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50055-2025</t>
        </is>
      </c>
      <c r="B728" s="1" t="n">
        <v>45943.43287037037</v>
      </c>
      <c r="C728" s="1" t="n">
        <v>46036</v>
      </c>
      <c r="D728" t="inlineStr">
        <is>
          <t>JÄMTLANDS LÄN</t>
        </is>
      </c>
      <c r="E728" t="inlineStr">
        <is>
          <t>RAGUNDA</t>
        </is>
      </c>
      <c r="G728" t="n">
        <v>17.6</v>
      </c>
      <c r="H728" t="n">
        <v>0</v>
      </c>
      <c r="I728" t="n">
        <v>0</v>
      </c>
      <c r="J728" t="n">
        <v>0</v>
      </c>
      <c r="K728" t="n">
        <v>0</v>
      </c>
      <c r="L728" t="n">
        <v>0</v>
      </c>
      <c r="M728" t="n">
        <v>0</v>
      </c>
      <c r="N728" t="n">
        <v>0</v>
      </c>
      <c r="O728" t="n">
        <v>0</v>
      </c>
      <c r="P728" t="n">
        <v>0</v>
      </c>
      <c r="Q728" t="n">
        <v>0</v>
      </c>
      <c r="R728" s="2" t="inlineStr"/>
    </row>
    <row r="729" ht="15" customHeight="1">
      <c r="A729" t="inlineStr">
        <is>
          <t>A 50080-2025</t>
        </is>
      </c>
      <c r="B729" s="1" t="n">
        <v>45943.469375</v>
      </c>
      <c r="C729" s="1" t="n">
        <v>46036</v>
      </c>
      <c r="D729" t="inlineStr">
        <is>
          <t>JÄMTLANDS LÄN</t>
        </is>
      </c>
      <c r="E729" t="inlineStr">
        <is>
          <t>RAGUNDA</t>
        </is>
      </c>
      <c r="F729" t="inlineStr">
        <is>
          <t>Naturvårdsverket</t>
        </is>
      </c>
      <c r="G729" t="n">
        <v>6.1</v>
      </c>
      <c r="H729" t="n">
        <v>0</v>
      </c>
      <c r="I729" t="n">
        <v>0</v>
      </c>
      <c r="J729" t="n">
        <v>0</v>
      </c>
      <c r="K729" t="n">
        <v>0</v>
      </c>
      <c r="L729" t="n">
        <v>0</v>
      </c>
      <c r="M729" t="n">
        <v>0</v>
      </c>
      <c r="N729" t="n">
        <v>0</v>
      </c>
      <c r="O729" t="n">
        <v>0</v>
      </c>
      <c r="P729" t="n">
        <v>0</v>
      </c>
      <c r="Q729" t="n">
        <v>0</v>
      </c>
      <c r="R729" s="2" t="inlineStr"/>
    </row>
    <row r="730" ht="15" customHeight="1">
      <c r="A730" t="inlineStr">
        <is>
          <t>A 12585-2024</t>
        </is>
      </c>
      <c r="B730" s="1" t="n">
        <v>45379.93637731481</v>
      </c>
      <c r="C730" s="1" t="n">
        <v>46036</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55489-2024</t>
        </is>
      </c>
      <c r="B731" s="1" t="n">
        <v>45622.44774305556</v>
      </c>
      <c r="C731" s="1" t="n">
        <v>46036</v>
      </c>
      <c r="D731" t="inlineStr">
        <is>
          <t>JÄMTLANDS LÄN</t>
        </is>
      </c>
      <c r="E731" t="inlineStr">
        <is>
          <t>RAGUNDA</t>
        </is>
      </c>
      <c r="G731" t="n">
        <v>1.6</v>
      </c>
      <c r="H731" t="n">
        <v>0</v>
      </c>
      <c r="I731" t="n">
        <v>0</v>
      </c>
      <c r="J731" t="n">
        <v>0</v>
      </c>
      <c r="K731" t="n">
        <v>0</v>
      </c>
      <c r="L731" t="n">
        <v>0</v>
      </c>
      <c r="M731" t="n">
        <v>0</v>
      </c>
      <c r="N731" t="n">
        <v>0</v>
      </c>
      <c r="O731" t="n">
        <v>0</v>
      </c>
      <c r="P731" t="n">
        <v>0</v>
      </c>
      <c r="Q731" t="n">
        <v>0</v>
      </c>
      <c r="R731" s="2" t="inlineStr"/>
    </row>
    <row r="732" ht="15" customHeight="1">
      <c r="A732" t="inlineStr">
        <is>
          <t>A 18631-2024</t>
        </is>
      </c>
      <c r="B732" s="1" t="n">
        <v>45425.96494212963</v>
      </c>
      <c r="C732" s="1" t="n">
        <v>46036</v>
      </c>
      <c r="D732" t="inlineStr">
        <is>
          <t>JÄMTLANDS LÄN</t>
        </is>
      </c>
      <c r="E732" t="inlineStr">
        <is>
          <t>RAGUNDA</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50260-2025</t>
        </is>
      </c>
      <c r="B733" s="1" t="n">
        <v>45944.34515046296</v>
      </c>
      <c r="C733" s="1" t="n">
        <v>46036</v>
      </c>
      <c r="D733" t="inlineStr">
        <is>
          <t>JÄMTLANDS LÄN</t>
        </is>
      </c>
      <c r="E733" t="inlineStr">
        <is>
          <t>RAGUNDA</t>
        </is>
      </c>
      <c r="F733" t="inlineStr">
        <is>
          <t>SCA</t>
        </is>
      </c>
      <c r="G733" t="n">
        <v>7.9</v>
      </c>
      <c r="H733" t="n">
        <v>0</v>
      </c>
      <c r="I733" t="n">
        <v>0</v>
      </c>
      <c r="J733" t="n">
        <v>0</v>
      </c>
      <c r="K733" t="n">
        <v>0</v>
      </c>
      <c r="L733" t="n">
        <v>0</v>
      </c>
      <c r="M733" t="n">
        <v>0</v>
      </c>
      <c r="N733" t="n">
        <v>0</v>
      </c>
      <c r="O733" t="n">
        <v>0</v>
      </c>
      <c r="P733" t="n">
        <v>0</v>
      </c>
      <c r="Q733" t="n">
        <v>0</v>
      </c>
      <c r="R733" s="2" t="inlineStr"/>
    </row>
    <row r="734" ht="15" customHeight="1">
      <c r="A734" t="inlineStr">
        <is>
          <t>A 26646-2023</t>
        </is>
      </c>
      <c r="B734" s="1" t="n">
        <v>45092</v>
      </c>
      <c r="C734" s="1" t="n">
        <v>46036</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50473-2025</t>
        </is>
      </c>
      <c r="B735" s="1" t="n">
        <v>45945.36520833334</v>
      </c>
      <c r="C735" s="1" t="n">
        <v>46036</v>
      </c>
      <c r="D735" t="inlineStr">
        <is>
          <t>JÄMTLANDS LÄN</t>
        </is>
      </c>
      <c r="E735" t="inlineStr">
        <is>
          <t>RAGUNDA</t>
        </is>
      </c>
      <c r="F735" t="inlineStr">
        <is>
          <t>SCA</t>
        </is>
      </c>
      <c r="G735" t="n">
        <v>11.2</v>
      </c>
      <c r="H735" t="n">
        <v>0</v>
      </c>
      <c r="I735" t="n">
        <v>0</v>
      </c>
      <c r="J735" t="n">
        <v>0</v>
      </c>
      <c r="K735" t="n">
        <v>0</v>
      </c>
      <c r="L735" t="n">
        <v>0</v>
      </c>
      <c r="M735" t="n">
        <v>0</v>
      </c>
      <c r="N735" t="n">
        <v>0</v>
      </c>
      <c r="O735" t="n">
        <v>0</v>
      </c>
      <c r="P735" t="n">
        <v>0</v>
      </c>
      <c r="Q735" t="n">
        <v>0</v>
      </c>
      <c r="R735" s="2" t="inlineStr"/>
    </row>
    <row r="736" ht="15" customHeight="1">
      <c r="A736" t="inlineStr">
        <is>
          <t>A 43405-2023</t>
        </is>
      </c>
      <c r="B736" s="1" t="n">
        <v>45183.95563657407</v>
      </c>
      <c r="C736" s="1" t="n">
        <v>46036</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59496-2024</t>
        </is>
      </c>
      <c r="B737" s="1" t="n">
        <v>45638</v>
      </c>
      <c r="C737" s="1" t="n">
        <v>46036</v>
      </c>
      <c r="D737" t="inlineStr">
        <is>
          <t>JÄMTLANDS LÄN</t>
        </is>
      </c>
      <c r="E737" t="inlineStr">
        <is>
          <t>RAGUNDA</t>
        </is>
      </c>
      <c r="G737" t="n">
        <v>13.1</v>
      </c>
      <c r="H737" t="n">
        <v>0</v>
      </c>
      <c r="I737" t="n">
        <v>0</v>
      </c>
      <c r="J737" t="n">
        <v>0</v>
      </c>
      <c r="K737" t="n">
        <v>0</v>
      </c>
      <c r="L737" t="n">
        <v>0</v>
      </c>
      <c r="M737" t="n">
        <v>0</v>
      </c>
      <c r="N737" t="n">
        <v>0</v>
      </c>
      <c r="O737" t="n">
        <v>0</v>
      </c>
      <c r="P737" t="n">
        <v>0</v>
      </c>
      <c r="Q737" t="n">
        <v>0</v>
      </c>
      <c r="R737" s="2" t="inlineStr"/>
    </row>
    <row r="738" ht="15" customHeight="1">
      <c r="A738" t="inlineStr">
        <is>
          <t>A 62106-2023</t>
        </is>
      </c>
      <c r="B738" s="1" t="n">
        <v>45266.95082175926</v>
      </c>
      <c r="C738" s="1" t="n">
        <v>46036</v>
      </c>
      <c r="D738" t="inlineStr">
        <is>
          <t>JÄMTLANDS LÄN</t>
        </is>
      </c>
      <c r="E738" t="inlineStr">
        <is>
          <t>RAGUNDA</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18781-2024</t>
        </is>
      </c>
      <c r="B739" s="1" t="n">
        <v>45426</v>
      </c>
      <c r="C739" s="1" t="n">
        <v>46036</v>
      </c>
      <c r="D739" t="inlineStr">
        <is>
          <t>JÄMTLANDS LÄN</t>
        </is>
      </c>
      <c r="E739" t="inlineStr">
        <is>
          <t>RAGUNDA</t>
        </is>
      </c>
      <c r="G739" t="n">
        <v>0.9</v>
      </c>
      <c r="H739" t="n">
        <v>0</v>
      </c>
      <c r="I739" t="n">
        <v>0</v>
      </c>
      <c r="J739" t="n">
        <v>0</v>
      </c>
      <c r="K739" t="n">
        <v>0</v>
      </c>
      <c r="L739" t="n">
        <v>0</v>
      </c>
      <c r="M739" t="n">
        <v>0</v>
      </c>
      <c r="N739" t="n">
        <v>0</v>
      </c>
      <c r="O739" t="n">
        <v>0</v>
      </c>
      <c r="P739" t="n">
        <v>0</v>
      </c>
      <c r="Q739" t="n">
        <v>0</v>
      </c>
      <c r="R739" s="2" t="inlineStr"/>
    </row>
    <row r="740" ht="15" customHeight="1">
      <c r="A740" t="inlineStr">
        <is>
          <t>A 50504-2025</t>
        </is>
      </c>
      <c r="B740" s="1" t="n">
        <v>45945.4284837963</v>
      </c>
      <c r="C740" s="1" t="n">
        <v>46036</v>
      </c>
      <c r="D740" t="inlineStr">
        <is>
          <t>JÄMTLANDS LÄN</t>
        </is>
      </c>
      <c r="E740" t="inlineStr">
        <is>
          <t>RAGUNDA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62081-2022</t>
        </is>
      </c>
      <c r="B741" s="1" t="n">
        <v>44918</v>
      </c>
      <c r="C741" s="1" t="n">
        <v>46036</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50503-2025</t>
        </is>
      </c>
      <c r="B742" s="1" t="n">
        <v>45945.42746527777</v>
      </c>
      <c r="C742" s="1" t="n">
        <v>46036</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33650-2025</t>
        </is>
      </c>
      <c r="B743" s="1" t="n">
        <v>45841</v>
      </c>
      <c r="C743" s="1" t="n">
        <v>46036</v>
      </c>
      <c r="D743" t="inlineStr">
        <is>
          <t>JÄMTLANDS LÄN</t>
        </is>
      </c>
      <c r="E743" t="inlineStr">
        <is>
          <t>RAGUNDA</t>
        </is>
      </c>
      <c r="G743" t="n">
        <v>1.4</v>
      </c>
      <c r="H743" t="n">
        <v>0</v>
      </c>
      <c r="I743" t="n">
        <v>0</v>
      </c>
      <c r="J743" t="n">
        <v>0</v>
      </c>
      <c r="K743" t="n">
        <v>0</v>
      </c>
      <c r="L743" t="n">
        <v>0</v>
      </c>
      <c r="M743" t="n">
        <v>0</v>
      </c>
      <c r="N743" t="n">
        <v>0</v>
      </c>
      <c r="O743" t="n">
        <v>0</v>
      </c>
      <c r="P743" t="n">
        <v>0</v>
      </c>
      <c r="Q743" t="n">
        <v>0</v>
      </c>
      <c r="R743" s="2" t="inlineStr"/>
    </row>
    <row r="744" ht="15" customHeight="1">
      <c r="A744" t="inlineStr">
        <is>
          <t>A 50711-2025</t>
        </is>
      </c>
      <c r="B744" s="1" t="n">
        <v>45946.34431712963</v>
      </c>
      <c r="C744" s="1" t="n">
        <v>46036</v>
      </c>
      <c r="D744" t="inlineStr">
        <is>
          <t>JÄMTLANDS LÄN</t>
        </is>
      </c>
      <c r="E744" t="inlineStr">
        <is>
          <t>RAGUNDA</t>
        </is>
      </c>
      <c r="F744" t="inlineStr">
        <is>
          <t>SCA</t>
        </is>
      </c>
      <c r="G744" t="n">
        <v>8</v>
      </c>
      <c r="H744" t="n">
        <v>0</v>
      </c>
      <c r="I744" t="n">
        <v>0</v>
      </c>
      <c r="J744" t="n">
        <v>0</v>
      </c>
      <c r="K744" t="n">
        <v>0</v>
      </c>
      <c r="L744" t="n">
        <v>0</v>
      </c>
      <c r="M744" t="n">
        <v>0</v>
      </c>
      <c r="N744" t="n">
        <v>0</v>
      </c>
      <c r="O744" t="n">
        <v>0</v>
      </c>
      <c r="P744" t="n">
        <v>0</v>
      </c>
      <c r="Q744" t="n">
        <v>0</v>
      </c>
      <c r="R744" s="2" t="inlineStr"/>
    </row>
    <row r="745" ht="15" customHeight="1">
      <c r="A745" t="inlineStr">
        <is>
          <t>A 50716-2025</t>
        </is>
      </c>
      <c r="B745" s="1" t="n">
        <v>45946.34572916666</v>
      </c>
      <c r="C745" s="1" t="n">
        <v>46036</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30826-2023</t>
        </is>
      </c>
      <c r="B746" s="1" t="n">
        <v>45112</v>
      </c>
      <c r="C746" s="1" t="n">
        <v>46036</v>
      </c>
      <c r="D746" t="inlineStr">
        <is>
          <t>JÄMTLANDS LÄN</t>
        </is>
      </c>
      <c r="E746" t="inlineStr">
        <is>
          <t>RAGUNDA</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53263-2024</t>
        </is>
      </c>
      <c r="B747" s="1" t="n">
        <v>45614.34541666666</v>
      </c>
      <c r="C747" s="1" t="n">
        <v>46036</v>
      </c>
      <c r="D747" t="inlineStr">
        <is>
          <t>JÄMTLANDS LÄN</t>
        </is>
      </c>
      <c r="E747" t="inlineStr">
        <is>
          <t>RAGUNDA</t>
        </is>
      </c>
      <c r="G747" t="n">
        <v>1.9</v>
      </c>
      <c r="H747" t="n">
        <v>0</v>
      </c>
      <c r="I747" t="n">
        <v>0</v>
      </c>
      <c r="J747" t="n">
        <v>0</v>
      </c>
      <c r="K747" t="n">
        <v>0</v>
      </c>
      <c r="L747" t="n">
        <v>0</v>
      </c>
      <c r="M747" t="n">
        <v>0</v>
      </c>
      <c r="N747" t="n">
        <v>0</v>
      </c>
      <c r="O747" t="n">
        <v>0</v>
      </c>
      <c r="P747" t="n">
        <v>0</v>
      </c>
      <c r="Q747" t="n">
        <v>0</v>
      </c>
      <c r="R747" s="2" t="inlineStr"/>
    </row>
    <row r="748" ht="15" customHeight="1">
      <c r="A748" t="inlineStr">
        <is>
          <t>A 50719-2025</t>
        </is>
      </c>
      <c r="B748" s="1" t="n">
        <v>45946.34642361111</v>
      </c>
      <c r="C748" s="1" t="n">
        <v>46036</v>
      </c>
      <c r="D748" t="inlineStr">
        <is>
          <t>JÄMTLANDS LÄN</t>
        </is>
      </c>
      <c r="E748" t="inlineStr">
        <is>
          <t>RAGUNDA</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26645-2024</t>
        </is>
      </c>
      <c r="B749" s="1" t="n">
        <v>45469.94667824074</v>
      </c>
      <c r="C749" s="1" t="n">
        <v>46036</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893-2025</t>
        </is>
      </c>
      <c r="B750" s="1" t="n">
        <v>45665.65684027778</v>
      </c>
      <c r="C750" s="1" t="n">
        <v>46036</v>
      </c>
      <c r="D750" t="inlineStr">
        <is>
          <t>JÄMTLANDS LÄN</t>
        </is>
      </c>
      <c r="E750" t="inlineStr">
        <is>
          <t>RAGUNDA</t>
        </is>
      </c>
      <c r="F750" t="inlineStr">
        <is>
          <t>SCA</t>
        </is>
      </c>
      <c r="G750" t="n">
        <v>45.1</v>
      </c>
      <c r="H750" t="n">
        <v>0</v>
      </c>
      <c r="I750" t="n">
        <v>0</v>
      </c>
      <c r="J750" t="n">
        <v>0</v>
      </c>
      <c r="K750" t="n">
        <v>0</v>
      </c>
      <c r="L750" t="n">
        <v>0</v>
      </c>
      <c r="M750" t="n">
        <v>0</v>
      </c>
      <c r="N750" t="n">
        <v>0</v>
      </c>
      <c r="O750" t="n">
        <v>0</v>
      </c>
      <c r="P750" t="n">
        <v>0</v>
      </c>
      <c r="Q750" t="n">
        <v>0</v>
      </c>
      <c r="R750" s="2" t="inlineStr"/>
    </row>
    <row r="751" ht="15" customHeight="1">
      <c r="A751" t="inlineStr">
        <is>
          <t>A 31135-2023</t>
        </is>
      </c>
      <c r="B751" s="1" t="n">
        <v>45103</v>
      </c>
      <c r="C751" s="1" t="n">
        <v>46036</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51019-2025</t>
        </is>
      </c>
      <c r="B752" s="1" t="n">
        <v>45947.38623842593</v>
      </c>
      <c r="C752" s="1" t="n">
        <v>46036</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50985-2025</t>
        </is>
      </c>
      <c r="B753" s="1" t="n">
        <v>45947.34506944445</v>
      </c>
      <c r="C753" s="1" t="n">
        <v>46036</v>
      </c>
      <c r="D753" t="inlineStr">
        <is>
          <t>JÄMTLANDS LÄN</t>
        </is>
      </c>
      <c r="E753" t="inlineStr">
        <is>
          <t>RAGUNDA</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51034-2025</t>
        </is>
      </c>
      <c r="B754" s="1" t="n">
        <v>45947.40670138889</v>
      </c>
      <c r="C754" s="1" t="n">
        <v>46036</v>
      </c>
      <c r="D754" t="inlineStr">
        <is>
          <t>JÄMTLANDS LÄN</t>
        </is>
      </c>
      <c r="E754" t="inlineStr">
        <is>
          <t>RAGUNDA</t>
        </is>
      </c>
      <c r="F754" t="inlineStr">
        <is>
          <t>SCA</t>
        </is>
      </c>
      <c r="G754" t="n">
        <v>44.1</v>
      </c>
      <c r="H754" t="n">
        <v>0</v>
      </c>
      <c r="I754" t="n">
        <v>0</v>
      </c>
      <c r="J754" t="n">
        <v>0</v>
      </c>
      <c r="K754" t="n">
        <v>0</v>
      </c>
      <c r="L754" t="n">
        <v>0</v>
      </c>
      <c r="M754" t="n">
        <v>0</v>
      </c>
      <c r="N754" t="n">
        <v>0</v>
      </c>
      <c r="O754" t="n">
        <v>0</v>
      </c>
      <c r="P754" t="n">
        <v>0</v>
      </c>
      <c r="Q754" t="n">
        <v>0</v>
      </c>
      <c r="R754" s="2" t="inlineStr"/>
    </row>
    <row r="755" ht="15" customHeight="1">
      <c r="A755" t="inlineStr">
        <is>
          <t>A 51592-2025</t>
        </is>
      </c>
      <c r="B755" s="1" t="n">
        <v>45951.36541666667</v>
      </c>
      <c r="C755" s="1" t="n">
        <v>46036</v>
      </c>
      <c r="D755" t="inlineStr">
        <is>
          <t>JÄMTLANDS LÄN</t>
        </is>
      </c>
      <c r="E755" t="inlineStr">
        <is>
          <t>RAGUNDA</t>
        </is>
      </c>
      <c r="G755" t="n">
        <v>1.3</v>
      </c>
      <c r="H755" t="n">
        <v>0</v>
      </c>
      <c r="I755" t="n">
        <v>0</v>
      </c>
      <c r="J755" t="n">
        <v>0</v>
      </c>
      <c r="K755" t="n">
        <v>0</v>
      </c>
      <c r="L755" t="n">
        <v>0</v>
      </c>
      <c r="M755" t="n">
        <v>0</v>
      </c>
      <c r="N755" t="n">
        <v>0</v>
      </c>
      <c r="O755" t="n">
        <v>0</v>
      </c>
      <c r="P755" t="n">
        <v>0</v>
      </c>
      <c r="Q755" t="n">
        <v>0</v>
      </c>
      <c r="R755" s="2" t="inlineStr"/>
    </row>
    <row r="756" ht="15" customHeight="1">
      <c r="A756" t="inlineStr">
        <is>
          <t>A 51395-2025</t>
        </is>
      </c>
      <c r="B756" s="1" t="n">
        <v>45950.46989583333</v>
      </c>
      <c r="C756" s="1" t="n">
        <v>46036</v>
      </c>
      <c r="D756" t="inlineStr">
        <is>
          <t>JÄMTLANDS LÄN</t>
        </is>
      </c>
      <c r="E756" t="inlineStr">
        <is>
          <t>RAGUNDA</t>
        </is>
      </c>
      <c r="F756" t="inlineStr">
        <is>
          <t>SCA</t>
        </is>
      </c>
      <c r="G756" t="n">
        <v>30.7</v>
      </c>
      <c r="H756" t="n">
        <v>0</v>
      </c>
      <c r="I756" t="n">
        <v>0</v>
      </c>
      <c r="J756" t="n">
        <v>0</v>
      </c>
      <c r="K756" t="n">
        <v>0</v>
      </c>
      <c r="L756" t="n">
        <v>0</v>
      </c>
      <c r="M756" t="n">
        <v>0</v>
      </c>
      <c r="N756" t="n">
        <v>0</v>
      </c>
      <c r="O756" t="n">
        <v>0</v>
      </c>
      <c r="P756" t="n">
        <v>0</v>
      </c>
      <c r="Q756" t="n">
        <v>0</v>
      </c>
      <c r="R756" s="2" t="inlineStr"/>
    </row>
    <row r="757" ht="15" customHeight="1">
      <c r="A757" t="inlineStr">
        <is>
          <t>A 51678-2025</t>
        </is>
      </c>
      <c r="B757" s="1" t="n">
        <v>45951.51106481482</v>
      </c>
      <c r="C757" s="1" t="n">
        <v>46036</v>
      </c>
      <c r="D757" t="inlineStr">
        <is>
          <t>JÄMTLANDS LÄN</t>
        </is>
      </c>
      <c r="E757" t="inlineStr">
        <is>
          <t>RAGUNDA</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43132-2023</t>
        </is>
      </c>
      <c r="B758" s="1" t="n">
        <v>45182</v>
      </c>
      <c r="C758" s="1" t="n">
        <v>46036</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51593-2025</t>
        </is>
      </c>
      <c r="B759" s="1" t="n">
        <v>45951.36548611111</v>
      </c>
      <c r="C759" s="1" t="n">
        <v>46036</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51484-2025</t>
        </is>
      </c>
      <c r="B760" s="1" t="n">
        <v>45950.62196759259</v>
      </c>
      <c r="C760" s="1" t="n">
        <v>46036</v>
      </c>
      <c r="D760" t="inlineStr">
        <is>
          <t>JÄMTLANDS LÄN</t>
        </is>
      </c>
      <c r="E760" t="inlineStr">
        <is>
          <t>RAGUNDA</t>
        </is>
      </c>
      <c r="F760" t="inlineStr">
        <is>
          <t>SCA</t>
        </is>
      </c>
      <c r="G760" t="n">
        <v>23.1</v>
      </c>
      <c r="H760" t="n">
        <v>0</v>
      </c>
      <c r="I760" t="n">
        <v>0</v>
      </c>
      <c r="J760" t="n">
        <v>0</v>
      </c>
      <c r="K760" t="n">
        <v>0</v>
      </c>
      <c r="L760" t="n">
        <v>0</v>
      </c>
      <c r="M760" t="n">
        <v>0</v>
      </c>
      <c r="N760" t="n">
        <v>0</v>
      </c>
      <c r="O760" t="n">
        <v>0</v>
      </c>
      <c r="P760" t="n">
        <v>0</v>
      </c>
      <c r="Q760" t="n">
        <v>0</v>
      </c>
      <c r="R760" s="2" t="inlineStr"/>
    </row>
    <row r="761" ht="15" customHeight="1">
      <c r="A761" t="inlineStr">
        <is>
          <t>A 51491-2025</t>
        </is>
      </c>
      <c r="B761" s="1" t="n">
        <v>45950.63362268519</v>
      </c>
      <c r="C761" s="1" t="n">
        <v>46036</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51791-2025</t>
        </is>
      </c>
      <c r="B762" s="1" t="n">
        <v>45951.69833333333</v>
      </c>
      <c r="C762" s="1" t="n">
        <v>46036</v>
      </c>
      <c r="D762" t="inlineStr">
        <is>
          <t>JÄMTLANDS LÄN</t>
        </is>
      </c>
      <c r="E762" t="inlineStr">
        <is>
          <t>RAGUNDA</t>
        </is>
      </c>
      <c r="F762" t="inlineStr">
        <is>
          <t>SCA</t>
        </is>
      </c>
      <c r="G762" t="n">
        <v>43.3</v>
      </c>
      <c r="H762" t="n">
        <v>0</v>
      </c>
      <c r="I762" t="n">
        <v>0</v>
      </c>
      <c r="J762" t="n">
        <v>0</v>
      </c>
      <c r="K762" t="n">
        <v>0</v>
      </c>
      <c r="L762" t="n">
        <v>0</v>
      </c>
      <c r="M762" t="n">
        <v>0</v>
      </c>
      <c r="N762" t="n">
        <v>0</v>
      </c>
      <c r="O762" t="n">
        <v>0</v>
      </c>
      <c r="P762" t="n">
        <v>0</v>
      </c>
      <c r="Q762" t="n">
        <v>0</v>
      </c>
      <c r="R762" s="2" t="inlineStr"/>
    </row>
    <row r="763" ht="15" customHeight="1">
      <c r="A763" t="inlineStr">
        <is>
          <t>A 51702-2025</t>
        </is>
      </c>
      <c r="B763" s="1" t="n">
        <v>45951.55305555555</v>
      </c>
      <c r="C763" s="1" t="n">
        <v>46036</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56284-2023</t>
        </is>
      </c>
      <c r="B764" s="1" t="n">
        <v>45241.95724537037</v>
      </c>
      <c r="C764" s="1" t="n">
        <v>46036</v>
      </c>
      <c r="D764" t="inlineStr">
        <is>
          <t>JÄMTLANDS LÄN</t>
        </is>
      </c>
      <c r="E764" t="inlineStr">
        <is>
          <t>RAGUNDA</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51394-2025</t>
        </is>
      </c>
      <c r="B765" s="1" t="n">
        <v>45950.46972222222</v>
      </c>
      <c r="C765" s="1" t="n">
        <v>46036</v>
      </c>
      <c r="D765" t="inlineStr">
        <is>
          <t>JÄMTLANDS LÄN</t>
        </is>
      </c>
      <c r="E765" t="inlineStr">
        <is>
          <t>RAGUNDA</t>
        </is>
      </c>
      <c r="F765" t="inlineStr">
        <is>
          <t>SCA</t>
        </is>
      </c>
      <c r="G765" t="n">
        <v>36.5</v>
      </c>
      <c r="H765" t="n">
        <v>0</v>
      </c>
      <c r="I765" t="n">
        <v>0</v>
      </c>
      <c r="J765" t="n">
        <v>0</v>
      </c>
      <c r="K765" t="n">
        <v>0</v>
      </c>
      <c r="L765" t="n">
        <v>0</v>
      </c>
      <c r="M765" t="n">
        <v>0</v>
      </c>
      <c r="N765" t="n">
        <v>0</v>
      </c>
      <c r="O765" t="n">
        <v>0</v>
      </c>
      <c r="P765" t="n">
        <v>0</v>
      </c>
      <c r="Q765" t="n">
        <v>0</v>
      </c>
      <c r="R765" s="2" t="inlineStr"/>
    </row>
    <row r="766" ht="15" customHeight="1">
      <c r="A766" t="inlineStr">
        <is>
          <t>A 52317-2025</t>
        </is>
      </c>
      <c r="B766" s="1" t="n">
        <v>45953.65675925926</v>
      </c>
      <c r="C766" s="1" t="n">
        <v>46036</v>
      </c>
      <c r="D766" t="inlineStr">
        <is>
          <t>JÄMTLANDS LÄN</t>
        </is>
      </c>
      <c r="E766" t="inlineStr">
        <is>
          <t>RAGUNDA</t>
        </is>
      </c>
      <c r="F766" t="inlineStr">
        <is>
          <t>SCA</t>
        </is>
      </c>
      <c r="G766" t="n">
        <v>27.2</v>
      </c>
      <c r="H766" t="n">
        <v>0</v>
      </c>
      <c r="I766" t="n">
        <v>0</v>
      </c>
      <c r="J766" t="n">
        <v>0</v>
      </c>
      <c r="K766" t="n">
        <v>0</v>
      </c>
      <c r="L766" t="n">
        <v>0</v>
      </c>
      <c r="M766" t="n">
        <v>0</v>
      </c>
      <c r="N766" t="n">
        <v>0</v>
      </c>
      <c r="O766" t="n">
        <v>0</v>
      </c>
      <c r="P766" t="n">
        <v>0</v>
      </c>
      <c r="Q766" t="n">
        <v>0</v>
      </c>
      <c r="R766" s="2" t="inlineStr"/>
    </row>
    <row r="767" ht="15" customHeight="1">
      <c r="A767" t="inlineStr">
        <is>
          <t>A 60389-2025</t>
        </is>
      </c>
      <c r="B767" s="1" t="n">
        <v>45995.38628472222</v>
      </c>
      <c r="C767" s="1" t="n">
        <v>46036</v>
      </c>
      <c r="D767" t="inlineStr">
        <is>
          <t>JÄMTLANDS LÄN</t>
        </is>
      </c>
      <c r="E767" t="inlineStr">
        <is>
          <t>RAGUNDA</t>
        </is>
      </c>
      <c r="G767" t="n">
        <v>3.3</v>
      </c>
      <c r="H767" t="n">
        <v>0</v>
      </c>
      <c r="I767" t="n">
        <v>0</v>
      </c>
      <c r="J767" t="n">
        <v>0</v>
      </c>
      <c r="K767" t="n">
        <v>0</v>
      </c>
      <c r="L767" t="n">
        <v>0</v>
      </c>
      <c r="M767" t="n">
        <v>0</v>
      </c>
      <c r="N767" t="n">
        <v>0</v>
      </c>
      <c r="O767" t="n">
        <v>0</v>
      </c>
      <c r="P767" t="n">
        <v>0</v>
      </c>
      <c r="Q767" t="n">
        <v>0</v>
      </c>
      <c r="R767" s="2" t="inlineStr"/>
    </row>
    <row r="768" ht="15" customHeight="1">
      <c r="A768" t="inlineStr">
        <is>
          <t>A 60130-2025</t>
        </is>
      </c>
      <c r="B768" s="1" t="n">
        <v>45994.34467592592</v>
      </c>
      <c r="C768" s="1" t="n">
        <v>46036</v>
      </c>
      <c r="D768" t="inlineStr">
        <is>
          <t>JÄMTLANDS LÄN</t>
        </is>
      </c>
      <c r="E768" t="inlineStr">
        <is>
          <t>RAGUNDA</t>
        </is>
      </c>
      <c r="G768" t="n">
        <v>4.9</v>
      </c>
      <c r="H768" t="n">
        <v>0</v>
      </c>
      <c r="I768" t="n">
        <v>0</v>
      </c>
      <c r="J768" t="n">
        <v>0</v>
      </c>
      <c r="K768" t="n">
        <v>0</v>
      </c>
      <c r="L768" t="n">
        <v>0</v>
      </c>
      <c r="M768" t="n">
        <v>0</v>
      </c>
      <c r="N768" t="n">
        <v>0</v>
      </c>
      <c r="O768" t="n">
        <v>0</v>
      </c>
      <c r="P768" t="n">
        <v>0</v>
      </c>
      <c r="Q768" t="n">
        <v>0</v>
      </c>
      <c r="R768" s="2" t="inlineStr"/>
    </row>
    <row r="769" ht="15" customHeight="1">
      <c r="A769" t="inlineStr">
        <is>
          <t>A 52122-2025</t>
        </is>
      </c>
      <c r="B769" s="1" t="n">
        <v>45952.71946759259</v>
      </c>
      <c r="C769" s="1" t="n">
        <v>46036</v>
      </c>
      <c r="D769" t="inlineStr">
        <is>
          <t>JÄMTLANDS LÄN</t>
        </is>
      </c>
      <c r="E769" t="inlineStr">
        <is>
          <t>RAGUNDA</t>
        </is>
      </c>
      <c r="F769" t="inlineStr">
        <is>
          <t>SCA</t>
        </is>
      </c>
      <c r="G769" t="n">
        <v>8</v>
      </c>
      <c r="H769" t="n">
        <v>0</v>
      </c>
      <c r="I769" t="n">
        <v>0</v>
      </c>
      <c r="J769" t="n">
        <v>0</v>
      </c>
      <c r="K769" t="n">
        <v>0</v>
      </c>
      <c r="L769" t="n">
        <v>0</v>
      </c>
      <c r="M769" t="n">
        <v>0</v>
      </c>
      <c r="N769" t="n">
        <v>0</v>
      </c>
      <c r="O769" t="n">
        <v>0</v>
      </c>
      <c r="P769" t="n">
        <v>0</v>
      </c>
      <c r="Q769" t="n">
        <v>0</v>
      </c>
      <c r="R769" s="2" t="inlineStr"/>
    </row>
    <row r="770" ht="15" customHeight="1">
      <c r="A770" t="inlineStr">
        <is>
          <t>A 60128-2025</t>
        </is>
      </c>
      <c r="B770" s="1" t="n">
        <v>45994.34456018519</v>
      </c>
      <c r="C770" s="1" t="n">
        <v>46036</v>
      </c>
      <c r="D770" t="inlineStr">
        <is>
          <t>JÄMTLANDS LÄN</t>
        </is>
      </c>
      <c r="E770" t="inlineStr">
        <is>
          <t>RAGUNDA</t>
        </is>
      </c>
      <c r="G770" t="n">
        <v>7.1</v>
      </c>
      <c r="H770" t="n">
        <v>0</v>
      </c>
      <c r="I770" t="n">
        <v>0</v>
      </c>
      <c r="J770" t="n">
        <v>0</v>
      </c>
      <c r="K770" t="n">
        <v>0</v>
      </c>
      <c r="L770" t="n">
        <v>0</v>
      </c>
      <c r="M770" t="n">
        <v>0</v>
      </c>
      <c r="N770" t="n">
        <v>0</v>
      </c>
      <c r="O770" t="n">
        <v>0</v>
      </c>
      <c r="P770" t="n">
        <v>0</v>
      </c>
      <c r="Q770" t="n">
        <v>0</v>
      </c>
      <c r="R770" s="2" t="inlineStr"/>
    </row>
    <row r="771" ht="15" customHeight="1">
      <c r="A771" t="inlineStr">
        <is>
          <t>A 60387-2025</t>
        </is>
      </c>
      <c r="B771" s="1" t="n">
        <v>45995.38611111111</v>
      </c>
      <c r="C771" s="1" t="n">
        <v>46036</v>
      </c>
      <c r="D771" t="inlineStr">
        <is>
          <t>JÄMTLANDS LÄN</t>
        </is>
      </c>
      <c r="E771" t="inlineStr">
        <is>
          <t>RAGUNDA</t>
        </is>
      </c>
      <c r="G771" t="n">
        <v>8.5</v>
      </c>
      <c r="H771" t="n">
        <v>0</v>
      </c>
      <c r="I771" t="n">
        <v>0</v>
      </c>
      <c r="J771" t="n">
        <v>0</v>
      </c>
      <c r="K771" t="n">
        <v>0</v>
      </c>
      <c r="L771" t="n">
        <v>0</v>
      </c>
      <c r="M771" t="n">
        <v>0</v>
      </c>
      <c r="N771" t="n">
        <v>0</v>
      </c>
      <c r="O771" t="n">
        <v>0</v>
      </c>
      <c r="P771" t="n">
        <v>0</v>
      </c>
      <c r="Q771" t="n">
        <v>0</v>
      </c>
      <c r="R771" s="2" t="inlineStr"/>
    </row>
    <row r="772" ht="15" customHeight="1">
      <c r="A772" t="inlineStr">
        <is>
          <t>A 61045-2022</t>
        </is>
      </c>
      <c r="B772" s="1" t="n">
        <v>44914</v>
      </c>
      <c r="C772" s="1" t="n">
        <v>46036</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61197-2023</t>
        </is>
      </c>
      <c r="B773" s="1" t="n">
        <v>45260</v>
      </c>
      <c r="C773" s="1" t="n">
        <v>46036</v>
      </c>
      <c r="D773" t="inlineStr">
        <is>
          <t>JÄMTLANDS LÄN</t>
        </is>
      </c>
      <c r="E773" t="inlineStr">
        <is>
          <t>RAGUNDA</t>
        </is>
      </c>
      <c r="G773" t="n">
        <v>2.5</v>
      </c>
      <c r="H773" t="n">
        <v>0</v>
      </c>
      <c r="I773" t="n">
        <v>0</v>
      </c>
      <c r="J773" t="n">
        <v>0</v>
      </c>
      <c r="K773" t="n">
        <v>0</v>
      </c>
      <c r="L773" t="n">
        <v>0</v>
      </c>
      <c r="M773" t="n">
        <v>0</v>
      </c>
      <c r="N773" t="n">
        <v>0</v>
      </c>
      <c r="O773" t="n">
        <v>0</v>
      </c>
      <c r="P773" t="n">
        <v>0</v>
      </c>
      <c r="Q773" t="n">
        <v>0</v>
      </c>
      <c r="R773" s="2" t="inlineStr"/>
    </row>
    <row r="774" ht="15" customHeight="1">
      <c r="A774" t="inlineStr">
        <is>
          <t>A 13263-2025</t>
        </is>
      </c>
      <c r="B774" s="1" t="n">
        <v>45735.53177083333</v>
      </c>
      <c r="C774" s="1" t="n">
        <v>46036</v>
      </c>
      <c r="D774" t="inlineStr">
        <is>
          <t>JÄMTLANDS LÄN</t>
        </is>
      </c>
      <c r="E774" t="inlineStr">
        <is>
          <t>RAGUNDA</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52330-2025</t>
        </is>
      </c>
      <c r="B775" s="1" t="n">
        <v>45953.67752314815</v>
      </c>
      <c r="C775" s="1" t="n">
        <v>46036</v>
      </c>
      <c r="D775" t="inlineStr">
        <is>
          <t>JÄMTLANDS LÄN</t>
        </is>
      </c>
      <c r="E775" t="inlineStr">
        <is>
          <t>RAGUNDA</t>
        </is>
      </c>
      <c r="F775" t="inlineStr">
        <is>
          <t>SCA</t>
        </is>
      </c>
      <c r="G775" t="n">
        <v>10.1</v>
      </c>
      <c r="H775" t="n">
        <v>0</v>
      </c>
      <c r="I775" t="n">
        <v>0</v>
      </c>
      <c r="J775" t="n">
        <v>0</v>
      </c>
      <c r="K775" t="n">
        <v>0</v>
      </c>
      <c r="L775" t="n">
        <v>0</v>
      </c>
      <c r="M775" t="n">
        <v>0</v>
      </c>
      <c r="N775" t="n">
        <v>0</v>
      </c>
      <c r="O775" t="n">
        <v>0</v>
      </c>
      <c r="P775" t="n">
        <v>0</v>
      </c>
      <c r="Q775" t="n">
        <v>0</v>
      </c>
      <c r="R775" s="2" t="inlineStr"/>
    </row>
    <row r="776" ht="15" customHeight="1">
      <c r="A776" t="inlineStr">
        <is>
          <t>A 48066-2022</t>
        </is>
      </c>
      <c r="B776" s="1" t="n">
        <v>44855</v>
      </c>
      <c r="C776" s="1" t="n">
        <v>46036</v>
      </c>
      <c r="D776" t="inlineStr">
        <is>
          <t>JÄMTLANDS LÄN</t>
        </is>
      </c>
      <c r="E776" t="inlineStr">
        <is>
          <t>RAGUNDA</t>
        </is>
      </c>
      <c r="F776" t="inlineStr">
        <is>
          <t>SCA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52093-2025</t>
        </is>
      </c>
      <c r="B777" s="1" t="n">
        <v>45952.67865740741</v>
      </c>
      <c r="C777" s="1" t="n">
        <v>46036</v>
      </c>
      <c r="D777" t="inlineStr">
        <is>
          <t>JÄMTLANDS LÄN</t>
        </is>
      </c>
      <c r="E777" t="inlineStr">
        <is>
          <t>RAGUNDA</t>
        </is>
      </c>
      <c r="F777" t="inlineStr">
        <is>
          <t>SCA</t>
        </is>
      </c>
      <c r="G777" t="n">
        <v>22.7</v>
      </c>
      <c r="H777" t="n">
        <v>0</v>
      </c>
      <c r="I777" t="n">
        <v>0</v>
      </c>
      <c r="J777" t="n">
        <v>0</v>
      </c>
      <c r="K777" t="n">
        <v>0</v>
      </c>
      <c r="L777" t="n">
        <v>0</v>
      </c>
      <c r="M777" t="n">
        <v>0</v>
      </c>
      <c r="N777" t="n">
        <v>0</v>
      </c>
      <c r="O777" t="n">
        <v>0</v>
      </c>
      <c r="P777" t="n">
        <v>0</v>
      </c>
      <c r="Q777" t="n">
        <v>0</v>
      </c>
      <c r="R777" s="2" t="inlineStr"/>
    </row>
    <row r="778" ht="15" customHeight="1">
      <c r="A778" t="inlineStr">
        <is>
          <t>A 51882-2025</t>
        </is>
      </c>
      <c r="B778" s="1" t="n">
        <v>45952.40685185185</v>
      </c>
      <c r="C778" s="1" t="n">
        <v>46036</v>
      </c>
      <c r="D778" t="inlineStr">
        <is>
          <t>JÄMTLANDS LÄN</t>
        </is>
      </c>
      <c r="E778" t="inlineStr">
        <is>
          <t>RAGUNDA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51903-2025</t>
        </is>
      </c>
      <c r="B779" s="1" t="n">
        <v>45952.44857638889</v>
      </c>
      <c r="C779" s="1" t="n">
        <v>46036</v>
      </c>
      <c r="D779" t="inlineStr">
        <is>
          <t>JÄMTLANDS LÄN</t>
        </is>
      </c>
      <c r="E779" t="inlineStr">
        <is>
          <t>RAGUNDA</t>
        </is>
      </c>
      <c r="F779" t="inlineStr">
        <is>
          <t>SCA</t>
        </is>
      </c>
      <c r="G779" t="n">
        <v>20.8</v>
      </c>
      <c r="H779" t="n">
        <v>0</v>
      </c>
      <c r="I779" t="n">
        <v>0</v>
      </c>
      <c r="J779" t="n">
        <v>0</v>
      </c>
      <c r="K779" t="n">
        <v>0</v>
      </c>
      <c r="L779" t="n">
        <v>0</v>
      </c>
      <c r="M779" t="n">
        <v>0</v>
      </c>
      <c r="N779" t="n">
        <v>0</v>
      </c>
      <c r="O779" t="n">
        <v>0</v>
      </c>
      <c r="P779" t="n">
        <v>0</v>
      </c>
      <c r="Q779" t="n">
        <v>0</v>
      </c>
      <c r="R779" s="2" t="inlineStr"/>
    </row>
    <row r="780" ht="15" customHeight="1">
      <c r="A780" t="inlineStr">
        <is>
          <t>A 64415-2023</t>
        </is>
      </c>
      <c r="B780" s="1" t="n">
        <v>45280</v>
      </c>
      <c r="C780" s="1" t="n">
        <v>46036</v>
      </c>
      <c r="D780" t="inlineStr">
        <is>
          <t>JÄMTLANDS LÄN</t>
        </is>
      </c>
      <c r="E780" t="inlineStr">
        <is>
          <t>RAGUNDA</t>
        </is>
      </c>
      <c r="G780" t="n">
        <v>5.1</v>
      </c>
      <c r="H780" t="n">
        <v>0</v>
      </c>
      <c r="I780" t="n">
        <v>0</v>
      </c>
      <c r="J780" t="n">
        <v>0</v>
      </c>
      <c r="K780" t="n">
        <v>0</v>
      </c>
      <c r="L780" t="n">
        <v>0</v>
      </c>
      <c r="M780" t="n">
        <v>0</v>
      </c>
      <c r="N780" t="n">
        <v>0</v>
      </c>
      <c r="O780" t="n">
        <v>0</v>
      </c>
      <c r="P780" t="n">
        <v>0</v>
      </c>
      <c r="Q780" t="n">
        <v>0</v>
      </c>
      <c r="R780" s="2" t="inlineStr"/>
    </row>
    <row r="781" ht="15" customHeight="1">
      <c r="A781" t="inlineStr">
        <is>
          <t>A 51932-2025</t>
        </is>
      </c>
      <c r="B781" s="1" t="n">
        <v>45952.51094907407</v>
      </c>
      <c r="C781" s="1" t="n">
        <v>46036</v>
      </c>
      <c r="D781" t="inlineStr">
        <is>
          <t>JÄMTLANDS LÄN</t>
        </is>
      </c>
      <c r="E781" t="inlineStr">
        <is>
          <t>RAGUNDA</t>
        </is>
      </c>
      <c r="F781" t="inlineStr">
        <is>
          <t>SCA</t>
        </is>
      </c>
      <c r="G781" t="n">
        <v>39.2</v>
      </c>
      <c r="H781" t="n">
        <v>0</v>
      </c>
      <c r="I781" t="n">
        <v>0</v>
      </c>
      <c r="J781" t="n">
        <v>0</v>
      </c>
      <c r="K781" t="n">
        <v>0</v>
      </c>
      <c r="L781" t="n">
        <v>0</v>
      </c>
      <c r="M781" t="n">
        <v>0</v>
      </c>
      <c r="N781" t="n">
        <v>0</v>
      </c>
      <c r="O781" t="n">
        <v>0</v>
      </c>
      <c r="P781" t="n">
        <v>0</v>
      </c>
      <c r="Q781" t="n">
        <v>0</v>
      </c>
      <c r="R781" s="2" t="inlineStr"/>
    </row>
    <row r="782" ht="15" customHeight="1">
      <c r="A782" t="inlineStr">
        <is>
          <t>A 60225-2022</t>
        </is>
      </c>
      <c r="B782" s="1" t="n">
        <v>44903</v>
      </c>
      <c r="C782" s="1" t="n">
        <v>46036</v>
      </c>
      <c r="D782" t="inlineStr">
        <is>
          <t>JÄMTLANDS LÄN</t>
        </is>
      </c>
      <c r="E782" t="inlineStr">
        <is>
          <t>RAGUNDA</t>
        </is>
      </c>
      <c r="G782" t="n">
        <v>1</v>
      </c>
      <c r="H782" t="n">
        <v>0</v>
      </c>
      <c r="I782" t="n">
        <v>0</v>
      </c>
      <c r="J782" t="n">
        <v>0</v>
      </c>
      <c r="K782" t="n">
        <v>0</v>
      </c>
      <c r="L782" t="n">
        <v>0</v>
      </c>
      <c r="M782" t="n">
        <v>0</v>
      </c>
      <c r="N782" t="n">
        <v>0</v>
      </c>
      <c r="O782" t="n">
        <v>0</v>
      </c>
      <c r="P782" t="n">
        <v>0</v>
      </c>
      <c r="Q782" t="n">
        <v>0</v>
      </c>
      <c r="R782" s="2" t="inlineStr"/>
    </row>
    <row r="783" ht="15" customHeight="1">
      <c r="A783" t="inlineStr">
        <is>
          <t>A 15864-2024</t>
        </is>
      </c>
      <c r="B783" s="1" t="n">
        <v>45404.99792824074</v>
      </c>
      <c r="C783" s="1" t="n">
        <v>46036</v>
      </c>
      <c r="D783" t="inlineStr">
        <is>
          <t>JÄMTLANDS LÄN</t>
        </is>
      </c>
      <c r="E783" t="inlineStr">
        <is>
          <t>RAGUNDA</t>
        </is>
      </c>
      <c r="F783" t="inlineStr">
        <is>
          <t>SCA</t>
        </is>
      </c>
      <c r="G783" t="n">
        <v>1.1</v>
      </c>
      <c r="H783" t="n">
        <v>0</v>
      </c>
      <c r="I783" t="n">
        <v>0</v>
      </c>
      <c r="J783" t="n">
        <v>0</v>
      </c>
      <c r="K783" t="n">
        <v>0</v>
      </c>
      <c r="L783" t="n">
        <v>0</v>
      </c>
      <c r="M783" t="n">
        <v>0</v>
      </c>
      <c r="N783" t="n">
        <v>0</v>
      </c>
      <c r="O783" t="n">
        <v>0</v>
      </c>
      <c r="P783" t="n">
        <v>0</v>
      </c>
      <c r="Q783" t="n">
        <v>0</v>
      </c>
      <c r="R783" s="2" t="inlineStr"/>
      <c r="U783">
        <f>HYPERLINK("https://klasma.github.io/Logging_2303/knärot/A 15864-2024 karta knärot.png", "A 15864-2024")</f>
        <v/>
      </c>
      <c r="V783">
        <f>HYPERLINK("https://klasma.github.io/Logging_2303/klagomål/A 15864-2024 FSC-klagomål.docx", "A 15864-2024")</f>
        <v/>
      </c>
      <c r="W783">
        <f>HYPERLINK("https://klasma.github.io/Logging_2303/klagomålsmail/A 15864-2024 FSC-klagomål mail.docx", "A 15864-2024")</f>
        <v/>
      </c>
      <c r="X783">
        <f>HYPERLINK("https://klasma.github.io/Logging_2303/tillsyn/A 15864-2024 tillsynsbegäran.docx", "A 15864-2024")</f>
        <v/>
      </c>
      <c r="Y783">
        <f>HYPERLINK("https://klasma.github.io/Logging_2303/tillsynsmail/A 15864-2024 tillsynsbegäran mail.docx", "A 15864-2024")</f>
        <v/>
      </c>
    </row>
    <row r="784" ht="15" customHeight="1">
      <c r="A784" t="inlineStr">
        <is>
          <t>A 51906-2025</t>
        </is>
      </c>
      <c r="B784" s="1" t="n">
        <v>45952.4615162037</v>
      </c>
      <c r="C784" s="1" t="n">
        <v>46036</v>
      </c>
      <c r="D784" t="inlineStr">
        <is>
          <t>JÄMTLANDS LÄN</t>
        </is>
      </c>
      <c r="E784" t="inlineStr">
        <is>
          <t>RAGUNDA</t>
        </is>
      </c>
      <c r="G784" t="n">
        <v>4.5</v>
      </c>
      <c r="H784" t="n">
        <v>0</v>
      </c>
      <c r="I784" t="n">
        <v>0</v>
      </c>
      <c r="J784" t="n">
        <v>0</v>
      </c>
      <c r="K784" t="n">
        <v>0</v>
      </c>
      <c r="L784" t="n">
        <v>0</v>
      </c>
      <c r="M784" t="n">
        <v>0</v>
      </c>
      <c r="N784" t="n">
        <v>0</v>
      </c>
      <c r="O784" t="n">
        <v>0</v>
      </c>
      <c r="P784" t="n">
        <v>0</v>
      </c>
      <c r="Q784" t="n">
        <v>0</v>
      </c>
      <c r="R784" s="2" t="inlineStr"/>
    </row>
    <row r="785" ht="15" customHeight="1">
      <c r="A785" t="inlineStr">
        <is>
          <t>A 57749-2024</t>
        </is>
      </c>
      <c r="B785" s="1" t="n">
        <v>45630.7862037037</v>
      </c>
      <c r="C785" s="1" t="n">
        <v>46036</v>
      </c>
      <c r="D785" t="inlineStr">
        <is>
          <t>JÄMTLANDS LÄN</t>
        </is>
      </c>
      <c r="E785" t="inlineStr">
        <is>
          <t>RAGUNDA</t>
        </is>
      </c>
      <c r="G785" t="n">
        <v>1.3</v>
      </c>
      <c r="H785" t="n">
        <v>0</v>
      </c>
      <c r="I785" t="n">
        <v>0</v>
      </c>
      <c r="J785" t="n">
        <v>0</v>
      </c>
      <c r="K785" t="n">
        <v>0</v>
      </c>
      <c r="L785" t="n">
        <v>0</v>
      </c>
      <c r="M785" t="n">
        <v>0</v>
      </c>
      <c r="N785" t="n">
        <v>0</v>
      </c>
      <c r="O785" t="n">
        <v>0</v>
      </c>
      <c r="P785" t="n">
        <v>0</v>
      </c>
      <c r="Q785" t="n">
        <v>0</v>
      </c>
      <c r="R785" s="2" t="inlineStr"/>
    </row>
    <row r="786" ht="15" customHeight="1">
      <c r="A786" t="inlineStr">
        <is>
          <t>A 24280-2021</t>
        </is>
      </c>
      <c r="B786" s="1" t="n">
        <v>44336</v>
      </c>
      <c r="C786" s="1" t="n">
        <v>46036</v>
      </c>
      <c r="D786" t="inlineStr">
        <is>
          <t>JÄMTLANDS LÄN</t>
        </is>
      </c>
      <c r="E786" t="inlineStr">
        <is>
          <t>RAGUNDA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60307-2025</t>
        </is>
      </c>
      <c r="B787" s="1" t="n">
        <v>45994.6842824074</v>
      </c>
      <c r="C787" s="1" t="n">
        <v>46036</v>
      </c>
      <c r="D787" t="inlineStr">
        <is>
          <t>JÄMTLANDS LÄN</t>
        </is>
      </c>
      <c r="E787" t="inlineStr">
        <is>
          <t>RAGUNDA</t>
        </is>
      </c>
      <c r="G787" t="n">
        <v>4</v>
      </c>
      <c r="H787" t="n">
        <v>0</v>
      </c>
      <c r="I787" t="n">
        <v>0</v>
      </c>
      <c r="J787" t="n">
        <v>0</v>
      </c>
      <c r="K787" t="n">
        <v>0</v>
      </c>
      <c r="L787" t="n">
        <v>0</v>
      </c>
      <c r="M787" t="n">
        <v>0</v>
      </c>
      <c r="N787" t="n">
        <v>0</v>
      </c>
      <c r="O787" t="n">
        <v>0</v>
      </c>
      <c r="P787" t="n">
        <v>0</v>
      </c>
      <c r="Q787" t="n">
        <v>0</v>
      </c>
      <c r="R787" s="2" t="inlineStr"/>
    </row>
    <row r="788" ht="15" customHeight="1">
      <c r="A788" t="inlineStr">
        <is>
          <t>A 8886-2024</t>
        </is>
      </c>
      <c r="B788" s="1" t="n">
        <v>45357.05300925926</v>
      </c>
      <c r="C788" s="1" t="n">
        <v>46036</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28596-2021</t>
        </is>
      </c>
      <c r="B789" s="1" t="n">
        <v>44356</v>
      </c>
      <c r="C789" s="1" t="n">
        <v>46036</v>
      </c>
      <c r="D789" t="inlineStr">
        <is>
          <t>JÄMTLANDS LÄN</t>
        </is>
      </c>
      <c r="E789" t="inlineStr">
        <is>
          <t>RAGUNDA</t>
        </is>
      </c>
      <c r="G789" t="n">
        <v>5.4</v>
      </c>
      <c r="H789" t="n">
        <v>0</v>
      </c>
      <c r="I789" t="n">
        <v>0</v>
      </c>
      <c r="J789" t="n">
        <v>0</v>
      </c>
      <c r="K789" t="n">
        <v>0</v>
      </c>
      <c r="L789" t="n">
        <v>0</v>
      </c>
      <c r="M789" t="n">
        <v>0</v>
      </c>
      <c r="N789" t="n">
        <v>0</v>
      </c>
      <c r="O789" t="n">
        <v>0</v>
      </c>
      <c r="P789" t="n">
        <v>0</v>
      </c>
      <c r="Q789" t="n">
        <v>0</v>
      </c>
      <c r="R789" s="2" t="inlineStr"/>
    </row>
    <row r="790" ht="15" customHeight="1">
      <c r="A790" t="inlineStr">
        <is>
          <t>A 52972-2025</t>
        </is>
      </c>
      <c r="B790" s="1" t="n">
        <v>45957.67783564814</v>
      </c>
      <c r="C790" s="1" t="n">
        <v>46036</v>
      </c>
      <c r="D790" t="inlineStr">
        <is>
          <t>JÄMTLANDS LÄN</t>
        </is>
      </c>
      <c r="E790" t="inlineStr">
        <is>
          <t>RAGUNDA</t>
        </is>
      </c>
      <c r="F790" t="inlineStr">
        <is>
          <t>SCA</t>
        </is>
      </c>
      <c r="G790" t="n">
        <v>53.4</v>
      </c>
      <c r="H790" t="n">
        <v>0</v>
      </c>
      <c r="I790" t="n">
        <v>0</v>
      </c>
      <c r="J790" t="n">
        <v>0</v>
      </c>
      <c r="K790" t="n">
        <v>0</v>
      </c>
      <c r="L790" t="n">
        <v>0</v>
      </c>
      <c r="M790" t="n">
        <v>0</v>
      </c>
      <c r="N790" t="n">
        <v>0</v>
      </c>
      <c r="O790" t="n">
        <v>0</v>
      </c>
      <c r="P790" t="n">
        <v>0</v>
      </c>
      <c r="Q790" t="n">
        <v>0</v>
      </c>
      <c r="R790" s="2" t="inlineStr"/>
    </row>
    <row r="791" ht="15" customHeight="1">
      <c r="A791" t="inlineStr">
        <is>
          <t>A 11058-2025</t>
        </is>
      </c>
      <c r="B791" s="1" t="n">
        <v>45723.51079861111</v>
      </c>
      <c r="C791" s="1" t="n">
        <v>46036</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38664-2022</t>
        </is>
      </c>
      <c r="B792" s="1" t="n">
        <v>44813</v>
      </c>
      <c r="C792" s="1" t="n">
        <v>46036</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52430-2025</t>
        </is>
      </c>
      <c r="B793" s="1" t="n">
        <v>45954.38592592593</v>
      </c>
      <c r="C793" s="1" t="n">
        <v>46036</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60760-2025</t>
        </is>
      </c>
      <c r="B794" s="1" t="n">
        <v>45999.38597222222</v>
      </c>
      <c r="C794" s="1" t="n">
        <v>46036</v>
      </c>
      <c r="D794" t="inlineStr">
        <is>
          <t>JÄMTLANDS LÄN</t>
        </is>
      </c>
      <c r="E794" t="inlineStr">
        <is>
          <t>RAGUNDA</t>
        </is>
      </c>
      <c r="F794" t="inlineStr">
        <is>
          <t>SCA</t>
        </is>
      </c>
      <c r="G794" t="n">
        <v>5.6</v>
      </c>
      <c r="H794" t="n">
        <v>0</v>
      </c>
      <c r="I794" t="n">
        <v>0</v>
      </c>
      <c r="J794" t="n">
        <v>0</v>
      </c>
      <c r="K794" t="n">
        <v>0</v>
      </c>
      <c r="L794" t="n">
        <v>0</v>
      </c>
      <c r="M794" t="n">
        <v>0</v>
      </c>
      <c r="N794" t="n">
        <v>0</v>
      </c>
      <c r="O794" t="n">
        <v>0</v>
      </c>
      <c r="P794" t="n">
        <v>0</v>
      </c>
      <c r="Q794" t="n">
        <v>0</v>
      </c>
      <c r="R794" s="2" t="inlineStr"/>
    </row>
    <row r="795" ht="15" customHeight="1">
      <c r="A795" t="inlineStr">
        <is>
          <t>A 60775-2025</t>
        </is>
      </c>
      <c r="B795" s="1" t="n">
        <v>45999.3905787037</v>
      </c>
      <c r="C795" s="1" t="n">
        <v>46036</v>
      </c>
      <c r="D795" t="inlineStr">
        <is>
          <t>JÄMTLANDS LÄN</t>
        </is>
      </c>
      <c r="E795" t="inlineStr">
        <is>
          <t>RAGUNDA</t>
        </is>
      </c>
      <c r="G795" t="n">
        <v>15.7</v>
      </c>
      <c r="H795" t="n">
        <v>0</v>
      </c>
      <c r="I795" t="n">
        <v>0</v>
      </c>
      <c r="J795" t="n">
        <v>0</v>
      </c>
      <c r="K795" t="n">
        <v>0</v>
      </c>
      <c r="L795" t="n">
        <v>0</v>
      </c>
      <c r="M795" t="n">
        <v>0</v>
      </c>
      <c r="N795" t="n">
        <v>0</v>
      </c>
      <c r="O795" t="n">
        <v>0</v>
      </c>
      <c r="P795" t="n">
        <v>0</v>
      </c>
      <c r="Q795" t="n">
        <v>0</v>
      </c>
      <c r="R795" s="2" t="inlineStr"/>
    </row>
    <row r="796" ht="15" customHeight="1">
      <c r="A796" t="inlineStr">
        <is>
          <t>A 52875-2025</t>
        </is>
      </c>
      <c r="B796" s="1" t="n">
        <v>45957.53211805555</v>
      </c>
      <c r="C796" s="1" t="n">
        <v>46036</v>
      </c>
      <c r="D796" t="inlineStr">
        <is>
          <t>JÄMTLANDS LÄN</t>
        </is>
      </c>
      <c r="E796" t="inlineStr">
        <is>
          <t>RAGUNDA</t>
        </is>
      </c>
      <c r="F796" t="inlineStr">
        <is>
          <t>SCA</t>
        </is>
      </c>
      <c r="G796" t="n">
        <v>34.3</v>
      </c>
      <c r="H796" t="n">
        <v>0</v>
      </c>
      <c r="I796" t="n">
        <v>0</v>
      </c>
      <c r="J796" t="n">
        <v>0</v>
      </c>
      <c r="K796" t="n">
        <v>0</v>
      </c>
      <c r="L796" t="n">
        <v>0</v>
      </c>
      <c r="M796" t="n">
        <v>0</v>
      </c>
      <c r="N796" t="n">
        <v>0</v>
      </c>
      <c r="O796" t="n">
        <v>0</v>
      </c>
      <c r="P796" t="n">
        <v>0</v>
      </c>
      <c r="Q796" t="n">
        <v>0</v>
      </c>
      <c r="R796" s="2" t="inlineStr"/>
    </row>
    <row r="797" ht="15" customHeight="1">
      <c r="A797" t="inlineStr">
        <is>
          <t>A 24441-2024</t>
        </is>
      </c>
      <c r="B797" s="1" t="n">
        <v>45457.96372685185</v>
      </c>
      <c r="C797" s="1" t="n">
        <v>46036</v>
      </c>
      <c r="D797" t="inlineStr">
        <is>
          <t>JÄMTLANDS LÄN</t>
        </is>
      </c>
      <c r="E797" t="inlineStr">
        <is>
          <t>RAGUNDA</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40801-2023</t>
        </is>
      </c>
      <c r="B798" s="1" t="n">
        <v>45170</v>
      </c>
      <c r="C798" s="1" t="n">
        <v>46036</v>
      </c>
      <c r="D798" t="inlineStr">
        <is>
          <t>JÄMTLANDS LÄN</t>
        </is>
      </c>
      <c r="E798" t="inlineStr">
        <is>
          <t>RAGUNDA</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52394-2025</t>
        </is>
      </c>
      <c r="B799" s="1" t="n">
        <v>45954.34466435185</v>
      </c>
      <c r="C799" s="1" t="n">
        <v>46036</v>
      </c>
      <c r="D799" t="inlineStr">
        <is>
          <t>JÄMTLANDS LÄN</t>
        </is>
      </c>
      <c r="E799" t="inlineStr">
        <is>
          <t>RAGUNDA</t>
        </is>
      </c>
      <c r="F799" t="inlineStr">
        <is>
          <t>SCA</t>
        </is>
      </c>
      <c r="G799" t="n">
        <v>53.8</v>
      </c>
      <c r="H799" t="n">
        <v>0</v>
      </c>
      <c r="I799" t="n">
        <v>0</v>
      </c>
      <c r="J799" t="n">
        <v>0</v>
      </c>
      <c r="K799" t="n">
        <v>0</v>
      </c>
      <c r="L799" t="n">
        <v>0</v>
      </c>
      <c r="M799" t="n">
        <v>0</v>
      </c>
      <c r="N799" t="n">
        <v>0</v>
      </c>
      <c r="O799" t="n">
        <v>0</v>
      </c>
      <c r="P799" t="n">
        <v>0</v>
      </c>
      <c r="Q799" t="n">
        <v>0</v>
      </c>
      <c r="R799" s="2" t="inlineStr"/>
    </row>
    <row r="800" ht="15" customHeight="1">
      <c r="A800" t="inlineStr">
        <is>
          <t>A 48065-2023</t>
        </is>
      </c>
      <c r="B800" s="1" t="n">
        <v>45204.94399305555</v>
      </c>
      <c r="C800" s="1" t="n">
        <v>46036</v>
      </c>
      <c r="D800" t="inlineStr">
        <is>
          <t>JÄMTLANDS LÄN</t>
        </is>
      </c>
      <c r="E800" t="inlineStr">
        <is>
          <t>RAGUNDA</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52395-2025</t>
        </is>
      </c>
      <c r="B801" s="1" t="n">
        <v>45954.34487268519</v>
      </c>
      <c r="C801" s="1" t="n">
        <v>46036</v>
      </c>
      <c r="D801" t="inlineStr">
        <is>
          <t>JÄMTLANDS LÄN</t>
        </is>
      </c>
      <c r="E801" t="inlineStr">
        <is>
          <t>RAGUNDA</t>
        </is>
      </c>
      <c r="F801" t="inlineStr">
        <is>
          <t>SCA</t>
        </is>
      </c>
      <c r="G801" t="n">
        <v>14.2</v>
      </c>
      <c r="H801" t="n">
        <v>0</v>
      </c>
      <c r="I801" t="n">
        <v>0</v>
      </c>
      <c r="J801" t="n">
        <v>0</v>
      </c>
      <c r="K801" t="n">
        <v>0</v>
      </c>
      <c r="L801" t="n">
        <v>0</v>
      </c>
      <c r="M801" t="n">
        <v>0</v>
      </c>
      <c r="N801" t="n">
        <v>0</v>
      </c>
      <c r="O801" t="n">
        <v>0</v>
      </c>
      <c r="P801" t="n">
        <v>0</v>
      </c>
      <c r="Q801" t="n">
        <v>0</v>
      </c>
      <c r="R801" s="2" t="inlineStr"/>
    </row>
    <row r="802" ht="15" customHeight="1">
      <c r="A802" t="inlineStr">
        <is>
          <t>A 60630-2025</t>
        </is>
      </c>
      <c r="B802" s="1" t="n">
        <v>45996.42120370371</v>
      </c>
      <c r="C802" s="1" t="n">
        <v>46036</v>
      </c>
      <c r="D802" t="inlineStr">
        <is>
          <t>JÄMTLANDS LÄN</t>
        </is>
      </c>
      <c r="E802" t="inlineStr">
        <is>
          <t>RAGUNDA</t>
        </is>
      </c>
      <c r="G802" t="n">
        <v>13.2</v>
      </c>
      <c r="H802" t="n">
        <v>0</v>
      </c>
      <c r="I802" t="n">
        <v>0</v>
      </c>
      <c r="J802" t="n">
        <v>0</v>
      </c>
      <c r="K802" t="n">
        <v>0</v>
      </c>
      <c r="L802" t="n">
        <v>0</v>
      </c>
      <c r="M802" t="n">
        <v>0</v>
      </c>
      <c r="N802" t="n">
        <v>0</v>
      </c>
      <c r="O802" t="n">
        <v>0</v>
      </c>
      <c r="P802" t="n">
        <v>0</v>
      </c>
      <c r="Q802" t="n">
        <v>0</v>
      </c>
      <c r="R802" s="2" t="inlineStr"/>
    </row>
    <row r="803" ht="15" customHeight="1">
      <c r="A803" t="inlineStr">
        <is>
          <t>A 53211-2025</t>
        </is>
      </c>
      <c r="B803" s="1" t="n">
        <v>45958.59490740741</v>
      </c>
      <c r="C803" s="1" t="n">
        <v>46036</v>
      </c>
      <c r="D803" t="inlineStr">
        <is>
          <t>JÄMTLANDS LÄN</t>
        </is>
      </c>
      <c r="E803" t="inlineStr">
        <is>
          <t>RAGUNDA</t>
        </is>
      </c>
      <c r="F803" t="inlineStr">
        <is>
          <t>SCA</t>
        </is>
      </c>
      <c r="G803" t="n">
        <v>7.4</v>
      </c>
      <c r="H803" t="n">
        <v>0</v>
      </c>
      <c r="I803" t="n">
        <v>0</v>
      </c>
      <c r="J803" t="n">
        <v>0</v>
      </c>
      <c r="K803" t="n">
        <v>0</v>
      </c>
      <c r="L803" t="n">
        <v>0</v>
      </c>
      <c r="M803" t="n">
        <v>0</v>
      </c>
      <c r="N803" t="n">
        <v>0</v>
      </c>
      <c r="O803" t="n">
        <v>0</v>
      </c>
      <c r="P803" t="n">
        <v>0</v>
      </c>
      <c r="Q803" t="n">
        <v>0</v>
      </c>
      <c r="R803" s="2" t="inlineStr"/>
    </row>
    <row r="804" ht="15" customHeight="1">
      <c r="A804" t="inlineStr">
        <is>
          <t>A 53032-2025</t>
        </is>
      </c>
      <c r="B804" s="1" t="n">
        <v>45958.34462962963</v>
      </c>
      <c r="C804" s="1" t="n">
        <v>46036</v>
      </c>
      <c r="D804" t="inlineStr">
        <is>
          <t>JÄMTLANDS LÄN</t>
        </is>
      </c>
      <c r="E804" t="inlineStr">
        <is>
          <t>RAGUNDA</t>
        </is>
      </c>
      <c r="G804" t="n">
        <v>2.6</v>
      </c>
      <c r="H804" t="n">
        <v>0</v>
      </c>
      <c r="I804" t="n">
        <v>0</v>
      </c>
      <c r="J804" t="n">
        <v>0</v>
      </c>
      <c r="K804" t="n">
        <v>0</v>
      </c>
      <c r="L804" t="n">
        <v>0</v>
      </c>
      <c r="M804" t="n">
        <v>0</v>
      </c>
      <c r="N804" t="n">
        <v>0</v>
      </c>
      <c r="O804" t="n">
        <v>0</v>
      </c>
      <c r="P804" t="n">
        <v>0</v>
      </c>
      <c r="Q804" t="n">
        <v>0</v>
      </c>
      <c r="R804" s="2" t="inlineStr"/>
    </row>
    <row r="805" ht="15" customHeight="1">
      <c r="A805" t="inlineStr">
        <is>
          <t>A 4592-2024</t>
        </is>
      </c>
      <c r="B805" s="1" t="n">
        <v>45327.94443287037</v>
      </c>
      <c r="C805" s="1" t="n">
        <v>46036</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60195-2023</t>
        </is>
      </c>
      <c r="B806" s="1" t="n">
        <v>45257</v>
      </c>
      <c r="C806" s="1" t="n">
        <v>46036</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61509-2025</t>
        </is>
      </c>
      <c r="B807" s="1" t="n">
        <v>46001.68189814815</v>
      </c>
      <c r="C807" s="1" t="n">
        <v>46036</v>
      </c>
      <c r="D807" t="inlineStr">
        <is>
          <t>JÄMTLANDS LÄN</t>
        </is>
      </c>
      <c r="E807" t="inlineStr">
        <is>
          <t>RAGUNDA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53075-2025</t>
        </is>
      </c>
      <c r="B808" s="1" t="n">
        <v>45958.38584490741</v>
      </c>
      <c r="C808" s="1" t="n">
        <v>46036</v>
      </c>
      <c r="D808" t="inlineStr">
        <is>
          <t>JÄMTLANDS LÄN</t>
        </is>
      </c>
      <c r="E808" t="inlineStr">
        <is>
          <t>RAGUNDA</t>
        </is>
      </c>
      <c r="F808" t="inlineStr">
        <is>
          <t>SCA</t>
        </is>
      </c>
      <c r="G808" t="n">
        <v>28.9</v>
      </c>
      <c r="H808" t="n">
        <v>0</v>
      </c>
      <c r="I808" t="n">
        <v>0</v>
      </c>
      <c r="J808" t="n">
        <v>0</v>
      </c>
      <c r="K808" t="n">
        <v>0</v>
      </c>
      <c r="L808" t="n">
        <v>0</v>
      </c>
      <c r="M808" t="n">
        <v>0</v>
      </c>
      <c r="N808" t="n">
        <v>0</v>
      </c>
      <c r="O808" t="n">
        <v>0</v>
      </c>
      <c r="P808" t="n">
        <v>0</v>
      </c>
      <c r="Q808" t="n">
        <v>0</v>
      </c>
      <c r="R808" s="2" t="inlineStr"/>
    </row>
    <row r="809" ht="15" customHeight="1">
      <c r="A809" t="inlineStr">
        <is>
          <t>A 22981-2023</t>
        </is>
      </c>
      <c r="B809" s="1" t="n">
        <v>45072.92737268518</v>
      </c>
      <c r="C809" s="1" t="n">
        <v>46036</v>
      </c>
      <c r="D809" t="inlineStr">
        <is>
          <t>JÄMTLANDS LÄN</t>
        </is>
      </c>
      <c r="E809" t="inlineStr">
        <is>
          <t>RAGUNDA</t>
        </is>
      </c>
      <c r="G809" t="n">
        <v>3.8</v>
      </c>
      <c r="H809" t="n">
        <v>0</v>
      </c>
      <c r="I809" t="n">
        <v>0</v>
      </c>
      <c r="J809" t="n">
        <v>0</v>
      </c>
      <c r="K809" t="n">
        <v>0</v>
      </c>
      <c r="L809" t="n">
        <v>0</v>
      </c>
      <c r="M809" t="n">
        <v>0</v>
      </c>
      <c r="N809" t="n">
        <v>0</v>
      </c>
      <c r="O809" t="n">
        <v>0</v>
      </c>
      <c r="P809" t="n">
        <v>0</v>
      </c>
      <c r="Q809" t="n">
        <v>0</v>
      </c>
      <c r="R809" s="2" t="inlineStr"/>
    </row>
    <row r="810" ht="15" customHeight="1">
      <c r="A810" t="inlineStr">
        <is>
          <t>A 26942-2021</t>
        </is>
      </c>
      <c r="B810" s="1" t="n">
        <v>44349.91978009259</v>
      </c>
      <c r="C810" s="1" t="n">
        <v>46036</v>
      </c>
      <c r="D810" t="inlineStr">
        <is>
          <t>JÄMTLANDS LÄN</t>
        </is>
      </c>
      <c r="E810" t="inlineStr">
        <is>
          <t>RAGUNDA</t>
        </is>
      </c>
      <c r="G810" t="n">
        <v>6.2</v>
      </c>
      <c r="H810" t="n">
        <v>0</v>
      </c>
      <c r="I810" t="n">
        <v>0</v>
      </c>
      <c r="J810" t="n">
        <v>0</v>
      </c>
      <c r="K810" t="n">
        <v>0</v>
      </c>
      <c r="L810" t="n">
        <v>0</v>
      </c>
      <c r="M810" t="n">
        <v>0</v>
      </c>
      <c r="N810" t="n">
        <v>0</v>
      </c>
      <c r="O810" t="n">
        <v>0</v>
      </c>
      <c r="P810" t="n">
        <v>0</v>
      </c>
      <c r="Q810" t="n">
        <v>0</v>
      </c>
      <c r="R810" s="2" t="inlineStr"/>
    </row>
    <row r="811" ht="15" customHeight="1">
      <c r="A811" t="inlineStr">
        <is>
          <t>A 52578-2025</t>
        </is>
      </c>
      <c r="B811" s="1" t="n">
        <v>45954.61508101852</v>
      </c>
      <c r="C811" s="1" t="n">
        <v>46036</v>
      </c>
      <c r="D811" t="inlineStr">
        <is>
          <t>JÄMTLANDS LÄN</t>
        </is>
      </c>
      <c r="E811" t="inlineStr">
        <is>
          <t>RAGUNDA</t>
        </is>
      </c>
      <c r="F811" t="inlineStr">
        <is>
          <t>SCA</t>
        </is>
      </c>
      <c r="G811" t="n">
        <v>25.2</v>
      </c>
      <c r="H811" t="n">
        <v>0</v>
      </c>
      <c r="I811" t="n">
        <v>0</v>
      </c>
      <c r="J811" t="n">
        <v>0</v>
      </c>
      <c r="K811" t="n">
        <v>0</v>
      </c>
      <c r="L811" t="n">
        <v>0</v>
      </c>
      <c r="M811" t="n">
        <v>0</v>
      </c>
      <c r="N811" t="n">
        <v>0</v>
      </c>
      <c r="O811" t="n">
        <v>0</v>
      </c>
      <c r="P811" t="n">
        <v>0</v>
      </c>
      <c r="Q811" t="n">
        <v>0</v>
      </c>
      <c r="R811" s="2" t="inlineStr"/>
    </row>
    <row r="812" ht="15" customHeight="1">
      <c r="A812" t="inlineStr">
        <is>
          <t>A 61266-2025</t>
        </is>
      </c>
      <c r="B812" s="1" t="n">
        <v>46000.67784722222</v>
      </c>
      <c r="C812" s="1" t="n">
        <v>46036</v>
      </c>
      <c r="D812" t="inlineStr">
        <is>
          <t>JÄMTLANDS LÄN</t>
        </is>
      </c>
      <c r="E812" t="inlineStr">
        <is>
          <t>RAGUNDA</t>
        </is>
      </c>
      <c r="G812" t="n">
        <v>7.9</v>
      </c>
      <c r="H812" t="n">
        <v>0</v>
      </c>
      <c r="I812" t="n">
        <v>0</v>
      </c>
      <c r="J812" t="n">
        <v>0</v>
      </c>
      <c r="K812" t="n">
        <v>0</v>
      </c>
      <c r="L812" t="n">
        <v>0</v>
      </c>
      <c r="M812" t="n">
        <v>0</v>
      </c>
      <c r="N812" t="n">
        <v>0</v>
      </c>
      <c r="O812" t="n">
        <v>0</v>
      </c>
      <c r="P812" t="n">
        <v>0</v>
      </c>
      <c r="Q812" t="n">
        <v>0</v>
      </c>
      <c r="R812" s="2" t="inlineStr"/>
    </row>
    <row r="813" ht="15" customHeight="1">
      <c r="A813" t="inlineStr">
        <is>
          <t>A 46546-2023</t>
        </is>
      </c>
      <c r="B813" s="1" t="n">
        <v>45197.94152777778</v>
      </c>
      <c r="C813" s="1" t="n">
        <v>46036</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61233-2025</t>
        </is>
      </c>
      <c r="B814" s="1" t="n">
        <v>46000.6359837963</v>
      </c>
      <c r="C814" s="1" t="n">
        <v>46036</v>
      </c>
      <c r="D814" t="inlineStr">
        <is>
          <t>JÄMTLANDS LÄN</t>
        </is>
      </c>
      <c r="E814" t="inlineStr">
        <is>
          <t>RAGUNDA</t>
        </is>
      </c>
      <c r="F814" t="inlineStr">
        <is>
          <t>SCA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19865-2023</t>
        </is>
      </c>
      <c r="B815" s="1" t="n">
        <v>45053.94305555556</v>
      </c>
      <c r="C815" s="1" t="n">
        <v>46036</v>
      </c>
      <c r="D815" t="inlineStr">
        <is>
          <t>JÄMTLANDS LÄN</t>
        </is>
      </c>
      <c r="E815" t="inlineStr">
        <is>
          <t>RAGUNDA</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53076-2025</t>
        </is>
      </c>
      <c r="B816" s="1" t="n">
        <v>45958.38604166666</v>
      </c>
      <c r="C816" s="1" t="n">
        <v>46036</v>
      </c>
      <c r="D816" t="inlineStr">
        <is>
          <t>JÄMTLANDS LÄN</t>
        </is>
      </c>
      <c r="E816" t="inlineStr">
        <is>
          <t>RAGUNDA</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25304-2023</t>
        </is>
      </c>
      <c r="B817" s="1" t="n">
        <v>45086</v>
      </c>
      <c r="C817" s="1" t="n">
        <v>46036</v>
      </c>
      <c r="D817" t="inlineStr">
        <is>
          <t>JÄMTLANDS LÄN</t>
        </is>
      </c>
      <c r="E817" t="inlineStr">
        <is>
          <t>RAGUNDA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53986-2025</t>
        </is>
      </c>
      <c r="B818" s="1" t="n">
        <v>45961.57381944444</v>
      </c>
      <c r="C818" s="1" t="n">
        <v>46036</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53973-2025</t>
        </is>
      </c>
      <c r="B819" s="1" t="n">
        <v>45961.55246527777</v>
      </c>
      <c r="C819" s="1" t="n">
        <v>46036</v>
      </c>
      <c r="D819" t="inlineStr">
        <is>
          <t>JÄMTLANDS LÄN</t>
        </is>
      </c>
      <c r="E819" t="inlineStr">
        <is>
          <t>RAGUNDA</t>
        </is>
      </c>
      <c r="G819" t="n">
        <v>2.4</v>
      </c>
      <c r="H819" t="n">
        <v>0</v>
      </c>
      <c r="I819" t="n">
        <v>0</v>
      </c>
      <c r="J819" t="n">
        <v>0</v>
      </c>
      <c r="K819" t="n">
        <v>0</v>
      </c>
      <c r="L819" t="n">
        <v>0</v>
      </c>
      <c r="M819" t="n">
        <v>0</v>
      </c>
      <c r="N819" t="n">
        <v>0</v>
      </c>
      <c r="O819" t="n">
        <v>0</v>
      </c>
      <c r="P819" t="n">
        <v>0</v>
      </c>
      <c r="Q819" t="n">
        <v>0</v>
      </c>
      <c r="R819" s="2" t="inlineStr"/>
    </row>
    <row r="820" ht="15" customHeight="1">
      <c r="A820" t="inlineStr">
        <is>
          <t>A 53549-2025</t>
        </is>
      </c>
      <c r="B820" s="1" t="n">
        <v>45960.38576388889</v>
      </c>
      <c r="C820" s="1" t="n">
        <v>46036</v>
      </c>
      <c r="D820" t="inlineStr">
        <is>
          <t>JÄMTLANDS LÄN</t>
        </is>
      </c>
      <c r="E820" t="inlineStr">
        <is>
          <t>RAGUNDA</t>
        </is>
      </c>
      <c r="G820" t="n">
        <v>5.4</v>
      </c>
      <c r="H820" t="n">
        <v>0</v>
      </c>
      <c r="I820" t="n">
        <v>0</v>
      </c>
      <c r="J820" t="n">
        <v>0</v>
      </c>
      <c r="K820" t="n">
        <v>0</v>
      </c>
      <c r="L820" t="n">
        <v>0</v>
      </c>
      <c r="M820" t="n">
        <v>0</v>
      </c>
      <c r="N820" t="n">
        <v>0</v>
      </c>
      <c r="O820" t="n">
        <v>0</v>
      </c>
      <c r="P820" t="n">
        <v>0</v>
      </c>
      <c r="Q820" t="n">
        <v>0</v>
      </c>
      <c r="R820" s="2" t="inlineStr"/>
    </row>
    <row r="821" ht="15" customHeight="1">
      <c r="A821" t="inlineStr">
        <is>
          <t>A 53975-2025</t>
        </is>
      </c>
      <c r="B821" s="1" t="n">
        <v>45961.55277777778</v>
      </c>
      <c r="C821" s="1" t="n">
        <v>46036</v>
      </c>
      <c r="D821" t="inlineStr">
        <is>
          <t>JÄMTLANDS LÄN</t>
        </is>
      </c>
      <c r="E821" t="inlineStr">
        <is>
          <t>RAGUNDA</t>
        </is>
      </c>
      <c r="F821" t="inlineStr">
        <is>
          <t>SCA</t>
        </is>
      </c>
      <c r="G821" t="n">
        <v>21.9</v>
      </c>
      <c r="H821" t="n">
        <v>0</v>
      </c>
      <c r="I821" t="n">
        <v>0</v>
      </c>
      <c r="J821" t="n">
        <v>0</v>
      </c>
      <c r="K821" t="n">
        <v>0</v>
      </c>
      <c r="L821" t="n">
        <v>0</v>
      </c>
      <c r="M821" t="n">
        <v>0</v>
      </c>
      <c r="N821" t="n">
        <v>0</v>
      </c>
      <c r="O821" t="n">
        <v>0</v>
      </c>
      <c r="P821" t="n">
        <v>0</v>
      </c>
      <c r="Q821" t="n">
        <v>0</v>
      </c>
      <c r="R821" s="2" t="inlineStr"/>
    </row>
    <row r="822" ht="15" customHeight="1">
      <c r="A822" t="inlineStr">
        <is>
          <t>A 564-2025</t>
        </is>
      </c>
      <c r="B822" s="1" t="n">
        <v>45664.55241898148</v>
      </c>
      <c r="C822" s="1" t="n">
        <v>46036</v>
      </c>
      <c r="D822" t="inlineStr">
        <is>
          <t>JÄMTLANDS LÄN</t>
        </is>
      </c>
      <c r="E822" t="inlineStr">
        <is>
          <t>RAGUNDA</t>
        </is>
      </c>
      <c r="F822" t="inlineStr">
        <is>
          <t>SCA</t>
        </is>
      </c>
      <c r="G822" t="n">
        <v>7</v>
      </c>
      <c r="H822" t="n">
        <v>0</v>
      </c>
      <c r="I822" t="n">
        <v>0</v>
      </c>
      <c r="J822" t="n">
        <v>0</v>
      </c>
      <c r="K822" t="n">
        <v>0</v>
      </c>
      <c r="L822" t="n">
        <v>0</v>
      </c>
      <c r="M822" t="n">
        <v>0</v>
      </c>
      <c r="N822" t="n">
        <v>0</v>
      </c>
      <c r="O822" t="n">
        <v>0</v>
      </c>
      <c r="P822" t="n">
        <v>0</v>
      </c>
      <c r="Q822" t="n">
        <v>0</v>
      </c>
      <c r="R822" s="2" t="inlineStr"/>
    </row>
    <row r="823" ht="15" customHeight="1">
      <c r="A823" t="inlineStr">
        <is>
          <t>A 50555-2024</t>
        </is>
      </c>
      <c r="B823" s="1" t="n">
        <v>45601.59518518519</v>
      </c>
      <c r="C823" s="1" t="n">
        <v>46036</v>
      </c>
      <c r="D823" t="inlineStr">
        <is>
          <t>JÄMTLANDS LÄN</t>
        </is>
      </c>
      <c r="E823" t="inlineStr">
        <is>
          <t>RAGUNDA</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53726-2025</t>
        </is>
      </c>
      <c r="B824" s="1" t="n">
        <v>45960.63597222222</v>
      </c>
      <c r="C824" s="1" t="n">
        <v>46036</v>
      </c>
      <c r="D824" t="inlineStr">
        <is>
          <t>JÄMTLANDS LÄN</t>
        </is>
      </c>
      <c r="E824" t="inlineStr">
        <is>
          <t>RAGUNDA</t>
        </is>
      </c>
      <c r="F824" t="inlineStr">
        <is>
          <t>SCA</t>
        </is>
      </c>
      <c r="G824" t="n">
        <v>10.9</v>
      </c>
      <c r="H824" t="n">
        <v>0</v>
      </c>
      <c r="I824" t="n">
        <v>0</v>
      </c>
      <c r="J824" t="n">
        <v>0</v>
      </c>
      <c r="K824" t="n">
        <v>0</v>
      </c>
      <c r="L824" t="n">
        <v>0</v>
      </c>
      <c r="M824" t="n">
        <v>0</v>
      </c>
      <c r="N824" t="n">
        <v>0</v>
      </c>
      <c r="O824" t="n">
        <v>0</v>
      </c>
      <c r="P824" t="n">
        <v>0</v>
      </c>
      <c r="Q824" t="n">
        <v>0</v>
      </c>
      <c r="R824" s="2" t="inlineStr"/>
    </row>
    <row r="825" ht="15" customHeight="1">
      <c r="A825" t="inlineStr">
        <is>
          <t>A 53748-2025</t>
        </is>
      </c>
      <c r="B825" s="1" t="n">
        <v>45960.65673611111</v>
      </c>
      <c r="C825" s="1" t="n">
        <v>46036</v>
      </c>
      <c r="D825" t="inlineStr">
        <is>
          <t>JÄMTLANDS LÄN</t>
        </is>
      </c>
      <c r="E825" t="inlineStr">
        <is>
          <t>RAGUNDA</t>
        </is>
      </c>
      <c r="F825" t="inlineStr">
        <is>
          <t>SCA</t>
        </is>
      </c>
      <c r="G825" t="n">
        <v>14.9</v>
      </c>
      <c r="H825" t="n">
        <v>0</v>
      </c>
      <c r="I825" t="n">
        <v>0</v>
      </c>
      <c r="J825" t="n">
        <v>0</v>
      </c>
      <c r="K825" t="n">
        <v>0</v>
      </c>
      <c r="L825" t="n">
        <v>0</v>
      </c>
      <c r="M825" t="n">
        <v>0</v>
      </c>
      <c r="N825" t="n">
        <v>0</v>
      </c>
      <c r="O825" t="n">
        <v>0</v>
      </c>
      <c r="P825" t="n">
        <v>0</v>
      </c>
      <c r="Q825" t="n">
        <v>0</v>
      </c>
      <c r="R825" s="2" t="inlineStr"/>
    </row>
    <row r="826" ht="15" customHeight="1">
      <c r="A826" t="inlineStr">
        <is>
          <t>A 59658-2023</t>
        </is>
      </c>
      <c r="B826" s="1" t="n">
        <v>45254.96402777778</v>
      </c>
      <c r="C826" s="1" t="n">
        <v>46036</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49649-2024</t>
        </is>
      </c>
      <c r="B827" s="1" t="n">
        <v>45596.61553240741</v>
      </c>
      <c r="C827" s="1" t="n">
        <v>46036</v>
      </c>
      <c r="D827" t="inlineStr">
        <is>
          <t>JÄMTLANDS LÄN</t>
        </is>
      </c>
      <c r="E827" t="inlineStr">
        <is>
          <t>RAGUNDA</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53727-2025</t>
        </is>
      </c>
      <c r="B828" s="1" t="n">
        <v>45960.63630787037</v>
      </c>
      <c r="C828" s="1" t="n">
        <v>46036</v>
      </c>
      <c r="D828" t="inlineStr">
        <is>
          <t>JÄMTLANDS LÄN</t>
        </is>
      </c>
      <c r="E828" t="inlineStr">
        <is>
          <t>RAGUNDA</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2831-2024</t>
        </is>
      </c>
      <c r="B829" s="1" t="n">
        <v>45314.92758101852</v>
      </c>
      <c r="C829" s="1" t="n">
        <v>46036</v>
      </c>
      <c r="D829" t="inlineStr">
        <is>
          <t>JÄMTLANDS LÄN</t>
        </is>
      </c>
      <c r="E829" t="inlineStr">
        <is>
          <t>RAGUNDA</t>
        </is>
      </c>
      <c r="G829" t="n">
        <v>0.6</v>
      </c>
      <c r="H829" t="n">
        <v>0</v>
      </c>
      <c r="I829" t="n">
        <v>0</v>
      </c>
      <c r="J829" t="n">
        <v>0</v>
      </c>
      <c r="K829" t="n">
        <v>0</v>
      </c>
      <c r="L829" t="n">
        <v>0</v>
      </c>
      <c r="M829" t="n">
        <v>0</v>
      </c>
      <c r="N829" t="n">
        <v>0</v>
      </c>
      <c r="O829" t="n">
        <v>0</v>
      </c>
      <c r="P829" t="n">
        <v>0</v>
      </c>
      <c r="Q829" t="n">
        <v>0</v>
      </c>
      <c r="R829" s="2" t="inlineStr"/>
    </row>
    <row r="830" ht="15" customHeight="1">
      <c r="A830" t="inlineStr">
        <is>
          <t>A 61697-2025</t>
        </is>
      </c>
      <c r="B830" s="1" t="n">
        <v>46002</v>
      </c>
      <c r="C830" s="1" t="n">
        <v>46036</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53765-2025</t>
        </is>
      </c>
      <c r="B831" s="1" t="n">
        <v>45960.67753472222</v>
      </c>
      <c r="C831" s="1" t="n">
        <v>46036</v>
      </c>
      <c r="D831" t="inlineStr">
        <is>
          <t>JÄMTLANDS LÄN</t>
        </is>
      </c>
      <c r="E831" t="inlineStr">
        <is>
          <t>RAGUNDA</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53740-2024</t>
        </is>
      </c>
      <c r="B832" s="1" t="n">
        <v>45615.47091435185</v>
      </c>
      <c r="C832" s="1" t="n">
        <v>46036</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53951-2025</t>
        </is>
      </c>
      <c r="B833" s="1" t="n">
        <v>45961.50200231482</v>
      </c>
      <c r="C833" s="1" t="n">
        <v>46036</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59372-2024</t>
        </is>
      </c>
      <c r="B834" s="1" t="n">
        <v>45638.34431712963</v>
      </c>
      <c r="C834" s="1" t="n">
        <v>46036</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53948-2025</t>
        </is>
      </c>
      <c r="B835" s="1" t="n">
        <v>45961.50033564815</v>
      </c>
      <c r="C835" s="1" t="n">
        <v>46036</v>
      </c>
      <c r="D835" t="inlineStr">
        <is>
          <t>JÄMTLANDS LÄN</t>
        </is>
      </c>
      <c r="E835" t="inlineStr">
        <is>
          <t>RAGUNDA</t>
        </is>
      </c>
      <c r="G835" t="n">
        <v>7.9</v>
      </c>
      <c r="H835" t="n">
        <v>0</v>
      </c>
      <c r="I835" t="n">
        <v>0</v>
      </c>
      <c r="J835" t="n">
        <v>0</v>
      </c>
      <c r="K835" t="n">
        <v>0</v>
      </c>
      <c r="L835" t="n">
        <v>0</v>
      </c>
      <c r="M835" t="n">
        <v>0</v>
      </c>
      <c r="N835" t="n">
        <v>0</v>
      </c>
      <c r="O835" t="n">
        <v>0</v>
      </c>
      <c r="P835" t="n">
        <v>0</v>
      </c>
      <c r="Q835" t="n">
        <v>0</v>
      </c>
      <c r="R835" s="2" t="inlineStr"/>
    </row>
    <row r="836" ht="15" customHeight="1">
      <c r="A836" t="inlineStr">
        <is>
          <t>A 62432-2025</t>
        </is>
      </c>
      <c r="B836" s="1" t="n">
        <v>46007</v>
      </c>
      <c r="C836" s="1" t="n">
        <v>46036</v>
      </c>
      <c r="D836" t="inlineStr">
        <is>
          <t>JÄMTLANDS LÄN</t>
        </is>
      </c>
      <c r="E836" t="inlineStr">
        <is>
          <t>RAGUNDA</t>
        </is>
      </c>
      <c r="G836" t="n">
        <v>4.7</v>
      </c>
      <c r="H836" t="n">
        <v>0</v>
      </c>
      <c r="I836" t="n">
        <v>0</v>
      </c>
      <c r="J836" t="n">
        <v>0</v>
      </c>
      <c r="K836" t="n">
        <v>0</v>
      </c>
      <c r="L836" t="n">
        <v>0</v>
      </c>
      <c r="M836" t="n">
        <v>0</v>
      </c>
      <c r="N836" t="n">
        <v>0</v>
      </c>
      <c r="O836" t="n">
        <v>0</v>
      </c>
      <c r="P836" t="n">
        <v>0</v>
      </c>
      <c r="Q836" t="n">
        <v>0</v>
      </c>
      <c r="R836" s="2" t="inlineStr"/>
    </row>
    <row r="837" ht="15" customHeight="1">
      <c r="A837" t="inlineStr">
        <is>
          <t>A 62436-2025</t>
        </is>
      </c>
      <c r="B837" s="1" t="n">
        <v>46007</v>
      </c>
      <c r="C837" s="1" t="n">
        <v>46036</v>
      </c>
      <c r="D837" t="inlineStr">
        <is>
          <t>JÄMTLANDS LÄN</t>
        </is>
      </c>
      <c r="E837" t="inlineStr">
        <is>
          <t>RAGUNDA</t>
        </is>
      </c>
      <c r="G837" t="n">
        <v>0.7</v>
      </c>
      <c r="H837" t="n">
        <v>0</v>
      </c>
      <c r="I837" t="n">
        <v>0</v>
      </c>
      <c r="J837" t="n">
        <v>0</v>
      </c>
      <c r="K837" t="n">
        <v>0</v>
      </c>
      <c r="L837" t="n">
        <v>0</v>
      </c>
      <c r="M837" t="n">
        <v>0</v>
      </c>
      <c r="N837" t="n">
        <v>0</v>
      </c>
      <c r="O837" t="n">
        <v>0</v>
      </c>
      <c r="P837" t="n">
        <v>0</v>
      </c>
      <c r="Q837" t="n">
        <v>0</v>
      </c>
      <c r="R837" s="2" t="inlineStr"/>
    </row>
    <row r="838" ht="15" customHeight="1">
      <c r="A838" t="inlineStr">
        <is>
          <t>A 62467-2025</t>
        </is>
      </c>
      <c r="B838" s="1" t="n">
        <v>46007.5108912037</v>
      </c>
      <c r="C838" s="1" t="n">
        <v>46036</v>
      </c>
      <c r="D838" t="inlineStr">
        <is>
          <t>JÄMTLANDS LÄN</t>
        </is>
      </c>
      <c r="E838" t="inlineStr">
        <is>
          <t>RAGUNDA</t>
        </is>
      </c>
      <c r="F838" t="inlineStr">
        <is>
          <t>SCA</t>
        </is>
      </c>
      <c r="G838" t="n">
        <v>4.7</v>
      </c>
      <c r="H838" t="n">
        <v>0</v>
      </c>
      <c r="I838" t="n">
        <v>0</v>
      </c>
      <c r="J838" t="n">
        <v>0</v>
      </c>
      <c r="K838" t="n">
        <v>0</v>
      </c>
      <c r="L838" t="n">
        <v>0</v>
      </c>
      <c r="M838" t="n">
        <v>0</v>
      </c>
      <c r="N838" t="n">
        <v>0</v>
      </c>
      <c r="O838" t="n">
        <v>0</v>
      </c>
      <c r="P838" t="n">
        <v>0</v>
      </c>
      <c r="Q838" t="n">
        <v>0</v>
      </c>
      <c r="R838" s="2" t="inlineStr"/>
    </row>
    <row r="839" ht="15" customHeight="1">
      <c r="A839" t="inlineStr">
        <is>
          <t>A 50160-2023</t>
        </is>
      </c>
      <c r="B839" s="1" t="n">
        <v>45208</v>
      </c>
      <c r="C839" s="1" t="n">
        <v>46036</v>
      </c>
      <c r="D839" t="inlineStr">
        <is>
          <t>JÄMTLANDS LÄN</t>
        </is>
      </c>
      <c r="E839" t="inlineStr">
        <is>
          <t>RAGUNDA</t>
        </is>
      </c>
      <c r="G839" t="n">
        <v>4.6</v>
      </c>
      <c r="H839" t="n">
        <v>0</v>
      </c>
      <c r="I839" t="n">
        <v>0</v>
      </c>
      <c r="J839" t="n">
        <v>0</v>
      </c>
      <c r="K839" t="n">
        <v>0</v>
      </c>
      <c r="L839" t="n">
        <v>0</v>
      </c>
      <c r="M839" t="n">
        <v>0</v>
      </c>
      <c r="N839" t="n">
        <v>0</v>
      </c>
      <c r="O839" t="n">
        <v>0</v>
      </c>
      <c r="P839" t="n">
        <v>0</v>
      </c>
      <c r="Q839" t="n">
        <v>0</v>
      </c>
      <c r="R839" s="2" t="inlineStr"/>
    </row>
    <row r="840" ht="15" customHeight="1">
      <c r="A840" t="inlineStr">
        <is>
          <t>A 54195-2025</t>
        </is>
      </c>
      <c r="B840" s="1" t="n">
        <v>45964.57413194444</v>
      </c>
      <c r="C840" s="1" t="n">
        <v>46036</v>
      </c>
      <c r="D840" t="inlineStr">
        <is>
          <t>JÄMTLANDS LÄN</t>
        </is>
      </c>
      <c r="E840" t="inlineStr">
        <is>
          <t>RAGUNDA</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54396-2025</t>
        </is>
      </c>
      <c r="B841" s="1" t="n">
        <v>45965.44849537037</v>
      </c>
      <c r="C841" s="1" t="n">
        <v>46036</v>
      </c>
      <c r="D841" t="inlineStr">
        <is>
          <t>JÄMTLANDS LÄN</t>
        </is>
      </c>
      <c r="E841" t="inlineStr">
        <is>
          <t>RAGUNDA</t>
        </is>
      </c>
      <c r="F841" t="inlineStr">
        <is>
          <t>SCA</t>
        </is>
      </c>
      <c r="G841" t="n">
        <v>35.2</v>
      </c>
      <c r="H841" t="n">
        <v>0</v>
      </c>
      <c r="I841" t="n">
        <v>0</v>
      </c>
      <c r="J841" t="n">
        <v>0</v>
      </c>
      <c r="K841" t="n">
        <v>0</v>
      </c>
      <c r="L841" t="n">
        <v>0</v>
      </c>
      <c r="M841" t="n">
        <v>0</v>
      </c>
      <c r="N841" t="n">
        <v>0</v>
      </c>
      <c r="O841" t="n">
        <v>0</v>
      </c>
      <c r="P841" t="n">
        <v>0</v>
      </c>
      <c r="Q841" t="n">
        <v>0</v>
      </c>
      <c r="R841" s="2" t="inlineStr"/>
    </row>
    <row r="842" ht="15" customHeight="1">
      <c r="A842" t="inlineStr">
        <is>
          <t>A 12522-2023</t>
        </is>
      </c>
      <c r="B842" s="1" t="n">
        <v>45000</v>
      </c>
      <c r="C842" s="1" t="n">
        <v>46036</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12523-2023</t>
        </is>
      </c>
      <c r="B843" s="1" t="n">
        <v>45000</v>
      </c>
      <c r="C843" s="1" t="n">
        <v>46036</v>
      </c>
      <c r="D843" t="inlineStr">
        <is>
          <t>JÄMTLANDS LÄN</t>
        </is>
      </c>
      <c r="E843" t="inlineStr">
        <is>
          <t>RAGUNDA</t>
        </is>
      </c>
      <c r="F843" t="inlineStr">
        <is>
          <t>SCA</t>
        </is>
      </c>
      <c r="G843" t="n">
        <v>14.3</v>
      </c>
      <c r="H843" t="n">
        <v>0</v>
      </c>
      <c r="I843" t="n">
        <v>0</v>
      </c>
      <c r="J843" t="n">
        <v>0</v>
      </c>
      <c r="K843" t="n">
        <v>0</v>
      </c>
      <c r="L843" t="n">
        <v>0</v>
      </c>
      <c r="M843" t="n">
        <v>0</v>
      </c>
      <c r="N843" t="n">
        <v>0</v>
      </c>
      <c r="O843" t="n">
        <v>0</v>
      </c>
      <c r="P843" t="n">
        <v>0</v>
      </c>
      <c r="Q843" t="n">
        <v>0</v>
      </c>
      <c r="R843" s="2" t="inlineStr"/>
    </row>
    <row r="844" ht="15" customHeight="1">
      <c r="A844" t="inlineStr">
        <is>
          <t>A 24861-2023</t>
        </is>
      </c>
      <c r="B844" s="1" t="n">
        <v>45078</v>
      </c>
      <c r="C844" s="1" t="n">
        <v>46036</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62490-2025</t>
        </is>
      </c>
      <c r="B845" s="1" t="n">
        <v>46007.5697337963</v>
      </c>
      <c r="C845" s="1" t="n">
        <v>46036</v>
      </c>
      <c r="D845" t="inlineStr">
        <is>
          <t>JÄMTLANDS LÄN</t>
        </is>
      </c>
      <c r="E845" t="inlineStr">
        <is>
          <t>RAGUNDA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50157-2023</t>
        </is>
      </c>
      <c r="B846" s="1" t="n">
        <v>45208</v>
      </c>
      <c r="C846" s="1" t="n">
        <v>46036</v>
      </c>
      <c r="D846" t="inlineStr">
        <is>
          <t>JÄMTLANDS LÄN</t>
        </is>
      </c>
      <c r="E846" t="inlineStr">
        <is>
          <t>RAGUNDA</t>
        </is>
      </c>
      <c r="G846" t="n">
        <v>0.9</v>
      </c>
      <c r="H846" t="n">
        <v>0</v>
      </c>
      <c r="I846" t="n">
        <v>0</v>
      </c>
      <c r="J846" t="n">
        <v>0</v>
      </c>
      <c r="K846" t="n">
        <v>0</v>
      </c>
      <c r="L846" t="n">
        <v>0</v>
      </c>
      <c r="M846" t="n">
        <v>0</v>
      </c>
      <c r="N846" t="n">
        <v>0</v>
      </c>
      <c r="O846" t="n">
        <v>0</v>
      </c>
      <c r="P846" t="n">
        <v>0</v>
      </c>
      <c r="Q846" t="n">
        <v>0</v>
      </c>
      <c r="R846" s="2" t="inlineStr"/>
    </row>
    <row r="847" ht="15" customHeight="1">
      <c r="A847" t="inlineStr">
        <is>
          <t>A 13905-2025</t>
        </is>
      </c>
      <c r="B847" s="1" t="n">
        <v>45737.63574074074</v>
      </c>
      <c r="C847" s="1" t="n">
        <v>46036</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13941-2025</t>
        </is>
      </c>
      <c r="B848" s="1" t="n">
        <v>45737.69822916666</v>
      </c>
      <c r="C848" s="1" t="n">
        <v>46036</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63060-2025</t>
        </is>
      </c>
      <c r="B849" s="1" t="n">
        <v>46009.64414351852</v>
      </c>
      <c r="C849" s="1" t="n">
        <v>46036</v>
      </c>
      <c r="D849" t="inlineStr">
        <is>
          <t>JÄMTLANDS LÄN</t>
        </is>
      </c>
      <c r="E849" t="inlineStr">
        <is>
          <t>RAGUNDA</t>
        </is>
      </c>
      <c r="G849" t="n">
        <v>6.5</v>
      </c>
      <c r="H849" t="n">
        <v>0</v>
      </c>
      <c r="I849" t="n">
        <v>0</v>
      </c>
      <c r="J849" t="n">
        <v>0</v>
      </c>
      <c r="K849" t="n">
        <v>0</v>
      </c>
      <c r="L849" t="n">
        <v>0</v>
      </c>
      <c r="M849" t="n">
        <v>0</v>
      </c>
      <c r="N849" t="n">
        <v>0</v>
      </c>
      <c r="O849" t="n">
        <v>0</v>
      </c>
      <c r="P849" t="n">
        <v>0</v>
      </c>
      <c r="Q849" t="n">
        <v>0</v>
      </c>
      <c r="R849" s="2" t="inlineStr"/>
    </row>
    <row r="850" ht="15" customHeight="1">
      <c r="A850" t="inlineStr">
        <is>
          <t>A 51245-2024</t>
        </is>
      </c>
      <c r="B850" s="1" t="n">
        <v>45603.67850694444</v>
      </c>
      <c r="C850" s="1" t="n">
        <v>46036</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54794-2025</t>
        </is>
      </c>
      <c r="B851" s="1" t="n">
        <v>45966.63592592593</v>
      </c>
      <c r="C851" s="1" t="n">
        <v>46036</v>
      </c>
      <c r="D851" t="inlineStr">
        <is>
          <t>JÄMTLANDS LÄN</t>
        </is>
      </c>
      <c r="E851" t="inlineStr">
        <is>
          <t>RAGUNDA</t>
        </is>
      </c>
      <c r="G851" t="n">
        <v>4</v>
      </c>
      <c r="H851" t="n">
        <v>0</v>
      </c>
      <c r="I851" t="n">
        <v>0</v>
      </c>
      <c r="J851" t="n">
        <v>0</v>
      </c>
      <c r="K851" t="n">
        <v>0</v>
      </c>
      <c r="L851" t="n">
        <v>0</v>
      </c>
      <c r="M851" t="n">
        <v>0</v>
      </c>
      <c r="N851" t="n">
        <v>0</v>
      </c>
      <c r="O851" t="n">
        <v>0</v>
      </c>
      <c r="P851" t="n">
        <v>0</v>
      </c>
      <c r="Q851" t="n">
        <v>0</v>
      </c>
      <c r="R851" s="2" t="inlineStr"/>
    </row>
    <row r="852" ht="15" customHeight="1">
      <c r="A852" t="inlineStr">
        <is>
          <t>A 62638-2025</t>
        </is>
      </c>
      <c r="B852" s="1" t="n">
        <v>46008.36564814814</v>
      </c>
      <c r="C852" s="1" t="n">
        <v>46036</v>
      </c>
      <c r="D852" t="inlineStr">
        <is>
          <t>JÄMTLANDS LÄN</t>
        </is>
      </c>
      <c r="E852" t="inlineStr">
        <is>
          <t>RAGUNDA</t>
        </is>
      </c>
      <c r="G852" t="n">
        <v>0.9</v>
      </c>
      <c r="H852" t="n">
        <v>0</v>
      </c>
      <c r="I852" t="n">
        <v>0</v>
      </c>
      <c r="J852" t="n">
        <v>0</v>
      </c>
      <c r="K852" t="n">
        <v>0</v>
      </c>
      <c r="L852" t="n">
        <v>0</v>
      </c>
      <c r="M852" t="n">
        <v>0</v>
      </c>
      <c r="N852" t="n">
        <v>0</v>
      </c>
      <c r="O852" t="n">
        <v>0</v>
      </c>
      <c r="P852" t="n">
        <v>0</v>
      </c>
      <c r="Q852" t="n">
        <v>0</v>
      </c>
      <c r="R852" s="2" t="inlineStr"/>
    </row>
    <row r="853" ht="15" customHeight="1">
      <c r="A853" t="inlineStr">
        <is>
          <t>A 62691-2025</t>
        </is>
      </c>
      <c r="B853" s="1" t="n">
        <v>46008.4759837963</v>
      </c>
      <c r="C853" s="1" t="n">
        <v>46036</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62927-2025</t>
        </is>
      </c>
      <c r="B854" s="1" t="n">
        <v>46009.38609953703</v>
      </c>
      <c r="C854" s="1" t="n">
        <v>46036</v>
      </c>
      <c r="D854" t="inlineStr">
        <is>
          <t>JÄMTLANDS LÄN</t>
        </is>
      </c>
      <c r="E854" t="inlineStr">
        <is>
          <t>RAGUNDA</t>
        </is>
      </c>
      <c r="G854" t="n">
        <v>6.3</v>
      </c>
      <c r="H854" t="n">
        <v>0</v>
      </c>
      <c r="I854" t="n">
        <v>0</v>
      </c>
      <c r="J854" t="n">
        <v>0</v>
      </c>
      <c r="K854" t="n">
        <v>0</v>
      </c>
      <c r="L854" t="n">
        <v>0</v>
      </c>
      <c r="M854" t="n">
        <v>0</v>
      </c>
      <c r="N854" t="n">
        <v>0</v>
      </c>
      <c r="O854" t="n">
        <v>0</v>
      </c>
      <c r="P854" t="n">
        <v>0</v>
      </c>
      <c r="Q854" t="n">
        <v>0</v>
      </c>
      <c r="R854" s="2" t="inlineStr"/>
      <c r="U854">
        <f>HYPERLINK("https://klasma.github.io/Logging_2303/knärot/A 62927-2025 karta knärot.png", "A 62927-2025")</f>
        <v/>
      </c>
      <c r="V854">
        <f>HYPERLINK("https://klasma.github.io/Logging_2303/klagomål/A 62927-2025 FSC-klagomål.docx", "A 62927-2025")</f>
        <v/>
      </c>
      <c r="W854">
        <f>HYPERLINK("https://klasma.github.io/Logging_2303/klagomålsmail/A 62927-2025 FSC-klagomål mail.docx", "A 62927-2025")</f>
        <v/>
      </c>
      <c r="X854">
        <f>HYPERLINK("https://klasma.github.io/Logging_2303/tillsyn/A 62927-2025 tillsynsbegäran.docx", "A 62927-2025")</f>
        <v/>
      </c>
      <c r="Y854">
        <f>HYPERLINK("https://klasma.github.io/Logging_2303/tillsynsmail/A 62927-2025 tillsynsbegäran mail.docx", "A 62927-2025")</f>
        <v/>
      </c>
    </row>
    <row r="855" ht="15" customHeight="1">
      <c r="A855" t="inlineStr">
        <is>
          <t>A 53955-2022</t>
        </is>
      </c>
      <c r="B855" s="1" t="n">
        <v>44880.95741898148</v>
      </c>
      <c r="C855" s="1" t="n">
        <v>46036</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62819-2025</t>
        </is>
      </c>
      <c r="B856" s="1" t="n">
        <v>46008</v>
      </c>
      <c r="C856" s="1" t="n">
        <v>46036</v>
      </c>
      <c r="D856" t="inlineStr">
        <is>
          <t>JÄMTLANDS LÄN</t>
        </is>
      </c>
      <c r="E856" t="inlineStr">
        <is>
          <t>RAGUNDA</t>
        </is>
      </c>
      <c r="G856" t="n">
        <v>3.5</v>
      </c>
      <c r="H856" t="n">
        <v>0</v>
      </c>
      <c r="I856" t="n">
        <v>0</v>
      </c>
      <c r="J856" t="n">
        <v>0</v>
      </c>
      <c r="K856" t="n">
        <v>0</v>
      </c>
      <c r="L856" t="n">
        <v>0</v>
      </c>
      <c r="M856" t="n">
        <v>0</v>
      </c>
      <c r="N856" t="n">
        <v>0</v>
      </c>
      <c r="O856" t="n">
        <v>0</v>
      </c>
      <c r="P856" t="n">
        <v>0</v>
      </c>
      <c r="Q856" t="n">
        <v>0</v>
      </c>
      <c r="R856" s="2" t="inlineStr"/>
    </row>
    <row r="857" ht="15" customHeight="1">
      <c r="A857" t="inlineStr">
        <is>
          <t>A 54820-2025</t>
        </is>
      </c>
      <c r="B857" s="1" t="n">
        <v>45966.65728009259</v>
      </c>
      <c r="C857" s="1" t="n">
        <v>46036</v>
      </c>
      <c r="D857" t="inlineStr">
        <is>
          <t>JÄMTLANDS LÄN</t>
        </is>
      </c>
      <c r="E857" t="inlineStr">
        <is>
          <t>RAGUNDA</t>
        </is>
      </c>
      <c r="G857" t="n">
        <v>15.3</v>
      </c>
      <c r="H857" t="n">
        <v>0</v>
      </c>
      <c r="I857" t="n">
        <v>0</v>
      </c>
      <c r="J857" t="n">
        <v>0</v>
      </c>
      <c r="K857" t="n">
        <v>0</v>
      </c>
      <c r="L857" t="n">
        <v>0</v>
      </c>
      <c r="M857" t="n">
        <v>0</v>
      </c>
      <c r="N857" t="n">
        <v>0</v>
      </c>
      <c r="O857" t="n">
        <v>0</v>
      </c>
      <c r="P857" t="n">
        <v>0</v>
      </c>
      <c r="Q857" t="n">
        <v>0</v>
      </c>
      <c r="R857" s="2" t="inlineStr"/>
    </row>
    <row r="858" ht="15" customHeight="1">
      <c r="A858" t="inlineStr">
        <is>
          <t>A 58909-2025</t>
        </is>
      </c>
      <c r="B858" s="1" t="n">
        <v>45987</v>
      </c>
      <c r="C858" s="1" t="n">
        <v>46036</v>
      </c>
      <c r="D858" t="inlineStr">
        <is>
          <t>JÄMTLANDS LÄN</t>
        </is>
      </c>
      <c r="E858" t="inlineStr">
        <is>
          <t>RAGUNDA</t>
        </is>
      </c>
      <c r="G858" t="n">
        <v>9.5</v>
      </c>
      <c r="H858" t="n">
        <v>0</v>
      </c>
      <c r="I858" t="n">
        <v>0</v>
      </c>
      <c r="J858" t="n">
        <v>0</v>
      </c>
      <c r="K858" t="n">
        <v>0</v>
      </c>
      <c r="L858" t="n">
        <v>0</v>
      </c>
      <c r="M858" t="n">
        <v>0</v>
      </c>
      <c r="N858" t="n">
        <v>0</v>
      </c>
      <c r="O858" t="n">
        <v>0</v>
      </c>
      <c r="P858" t="n">
        <v>0</v>
      </c>
      <c r="Q858" t="n">
        <v>0</v>
      </c>
      <c r="R858" s="2" t="inlineStr"/>
    </row>
    <row r="859" ht="15" customHeight="1">
      <c r="A859" t="inlineStr">
        <is>
          <t>A 41772-2024</t>
        </is>
      </c>
      <c r="B859" s="1" t="n">
        <v>45561.34663194444</v>
      </c>
      <c r="C859" s="1" t="n">
        <v>46036</v>
      </c>
      <c r="D859" t="inlineStr">
        <is>
          <t>JÄMTLANDS LÄN</t>
        </is>
      </c>
      <c r="E859" t="inlineStr">
        <is>
          <t>RAGUNDA</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10972-2022</t>
        </is>
      </c>
      <c r="B860" s="1" t="n">
        <v>44628</v>
      </c>
      <c r="C860" s="1" t="n">
        <v>46036</v>
      </c>
      <c r="D860" t="inlineStr">
        <is>
          <t>JÄMTLANDS LÄN</t>
        </is>
      </c>
      <c r="E860" t="inlineStr">
        <is>
          <t>RAGUNDA</t>
        </is>
      </c>
      <c r="G860" t="n">
        <v>9.5</v>
      </c>
      <c r="H860" t="n">
        <v>0</v>
      </c>
      <c r="I860" t="n">
        <v>0</v>
      </c>
      <c r="J860" t="n">
        <v>0</v>
      </c>
      <c r="K860" t="n">
        <v>0</v>
      </c>
      <c r="L860" t="n">
        <v>0</v>
      </c>
      <c r="M860" t="n">
        <v>0</v>
      </c>
      <c r="N860" t="n">
        <v>0</v>
      </c>
      <c r="O860" t="n">
        <v>0</v>
      </c>
      <c r="P860" t="n">
        <v>0</v>
      </c>
      <c r="Q860" t="n">
        <v>0</v>
      </c>
      <c r="R860" s="2" t="inlineStr"/>
    </row>
    <row r="861" ht="15" customHeight="1">
      <c r="A861" t="inlineStr">
        <is>
          <t>A 63057-2025</t>
        </is>
      </c>
      <c r="B861" s="1" t="n">
        <v>46009.63837962963</v>
      </c>
      <c r="C861" s="1" t="n">
        <v>46036</v>
      </c>
      <c r="D861" t="inlineStr">
        <is>
          <t>JÄMTLANDS LÄN</t>
        </is>
      </c>
      <c r="E861" t="inlineStr">
        <is>
          <t>RAGUNDA</t>
        </is>
      </c>
      <c r="G861" t="n">
        <v>13.7</v>
      </c>
      <c r="H861" t="n">
        <v>0</v>
      </c>
      <c r="I861" t="n">
        <v>0</v>
      </c>
      <c r="J861" t="n">
        <v>0</v>
      </c>
      <c r="K861" t="n">
        <v>0</v>
      </c>
      <c r="L861" t="n">
        <v>0</v>
      </c>
      <c r="M861" t="n">
        <v>0</v>
      </c>
      <c r="N861" t="n">
        <v>0</v>
      </c>
      <c r="O861" t="n">
        <v>0</v>
      </c>
      <c r="P861" t="n">
        <v>0</v>
      </c>
      <c r="Q861" t="n">
        <v>0</v>
      </c>
      <c r="R861" s="2" t="inlineStr"/>
    </row>
    <row r="862" ht="15" customHeight="1">
      <c r="A862" t="inlineStr">
        <is>
          <t>A 11834-2023</t>
        </is>
      </c>
      <c r="B862" s="1" t="n">
        <v>44994.94296296296</v>
      </c>
      <c r="C862" s="1" t="n">
        <v>46036</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17559-2023</t>
        </is>
      </c>
      <c r="B863" s="1" t="n">
        <v>45034</v>
      </c>
      <c r="C863" s="1" t="n">
        <v>46036</v>
      </c>
      <c r="D863" t="inlineStr">
        <is>
          <t>JÄMTLANDS LÄN</t>
        </is>
      </c>
      <c r="E863" t="inlineStr">
        <is>
          <t>RAGUNDA</t>
        </is>
      </c>
      <c r="G863" t="n">
        <v>7.5</v>
      </c>
      <c r="H863" t="n">
        <v>0</v>
      </c>
      <c r="I863" t="n">
        <v>0</v>
      </c>
      <c r="J863" t="n">
        <v>0</v>
      </c>
      <c r="K863" t="n">
        <v>0</v>
      </c>
      <c r="L863" t="n">
        <v>0</v>
      </c>
      <c r="M863" t="n">
        <v>0</v>
      </c>
      <c r="N863" t="n">
        <v>0</v>
      </c>
      <c r="O863" t="n">
        <v>0</v>
      </c>
      <c r="P863" t="n">
        <v>0</v>
      </c>
      <c r="Q863" t="n">
        <v>0</v>
      </c>
      <c r="R863" s="2" t="inlineStr"/>
    </row>
    <row r="864" ht="15" customHeight="1">
      <c r="A864" t="inlineStr">
        <is>
          <t>A 38312-2024</t>
        </is>
      </c>
      <c r="B864" s="1" t="n">
        <v>45545.64957175926</v>
      </c>
      <c r="C864" s="1" t="n">
        <v>46036</v>
      </c>
      <c r="D864" t="inlineStr">
        <is>
          <t>JÄMTLANDS LÄN</t>
        </is>
      </c>
      <c r="E864" t="inlineStr">
        <is>
          <t>RAGUNDA</t>
        </is>
      </c>
      <c r="G864" t="n">
        <v>1.2</v>
      </c>
      <c r="H864" t="n">
        <v>0</v>
      </c>
      <c r="I864" t="n">
        <v>0</v>
      </c>
      <c r="J864" t="n">
        <v>0</v>
      </c>
      <c r="K864" t="n">
        <v>0</v>
      </c>
      <c r="L864" t="n">
        <v>0</v>
      </c>
      <c r="M864" t="n">
        <v>0</v>
      </c>
      <c r="N864" t="n">
        <v>0</v>
      </c>
      <c r="O864" t="n">
        <v>0</v>
      </c>
      <c r="P864" t="n">
        <v>0</v>
      </c>
      <c r="Q864" t="n">
        <v>0</v>
      </c>
      <c r="R864" s="2" t="inlineStr"/>
    </row>
    <row r="865" ht="15" customHeight="1">
      <c r="A865" t="inlineStr">
        <is>
          <t>A 32832-2021</t>
        </is>
      </c>
      <c r="B865" s="1" t="n">
        <v>44375</v>
      </c>
      <c r="C865" s="1" t="n">
        <v>46036</v>
      </c>
      <c r="D865" t="inlineStr">
        <is>
          <t>JÄMTLANDS LÄN</t>
        </is>
      </c>
      <c r="E865" t="inlineStr">
        <is>
          <t>RAGUNDA</t>
        </is>
      </c>
      <c r="G865" t="n">
        <v>3</v>
      </c>
      <c r="H865" t="n">
        <v>0</v>
      </c>
      <c r="I865" t="n">
        <v>0</v>
      </c>
      <c r="J865" t="n">
        <v>0</v>
      </c>
      <c r="K865" t="n">
        <v>0</v>
      </c>
      <c r="L865" t="n">
        <v>0</v>
      </c>
      <c r="M865" t="n">
        <v>0</v>
      </c>
      <c r="N865" t="n">
        <v>0</v>
      </c>
      <c r="O865" t="n">
        <v>0</v>
      </c>
      <c r="P865" t="n">
        <v>0</v>
      </c>
      <c r="Q865" t="n">
        <v>0</v>
      </c>
      <c r="R865" s="2" t="inlineStr"/>
    </row>
    <row r="866" ht="15" customHeight="1">
      <c r="A866" t="inlineStr">
        <is>
          <t>A 22011-2023</t>
        </is>
      </c>
      <c r="B866" s="1" t="n">
        <v>45068</v>
      </c>
      <c r="C866" s="1" t="n">
        <v>46036</v>
      </c>
      <c r="D866" t="inlineStr">
        <is>
          <t>JÄMTLANDS LÄN</t>
        </is>
      </c>
      <c r="E866" t="inlineStr">
        <is>
          <t>RAGUNDA</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55547-2025</t>
        </is>
      </c>
      <c r="B867" s="1" t="n">
        <v>45971</v>
      </c>
      <c r="C867" s="1" t="n">
        <v>46036</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63141-2025</t>
        </is>
      </c>
      <c r="B868" s="1" t="n">
        <v>46010.34440972222</v>
      </c>
      <c r="C868" s="1" t="n">
        <v>46036</v>
      </c>
      <c r="D868" t="inlineStr">
        <is>
          <t>JÄMTLANDS LÄN</t>
        </is>
      </c>
      <c r="E868" t="inlineStr">
        <is>
          <t>RAGUNDA</t>
        </is>
      </c>
      <c r="F868" t="inlineStr">
        <is>
          <t>SCA</t>
        </is>
      </c>
      <c r="G868" t="n">
        <v>24.4</v>
      </c>
      <c r="H868" t="n">
        <v>0</v>
      </c>
      <c r="I868" t="n">
        <v>0</v>
      </c>
      <c r="J868" t="n">
        <v>0</v>
      </c>
      <c r="K868" t="n">
        <v>0</v>
      </c>
      <c r="L868" t="n">
        <v>0</v>
      </c>
      <c r="M868" t="n">
        <v>0</v>
      </c>
      <c r="N868" t="n">
        <v>0</v>
      </c>
      <c r="O868" t="n">
        <v>0</v>
      </c>
      <c r="P868" t="n">
        <v>0</v>
      </c>
      <c r="Q868" t="n">
        <v>0</v>
      </c>
      <c r="R868" s="2" t="inlineStr"/>
    </row>
    <row r="869" ht="15" customHeight="1">
      <c r="A869" t="inlineStr">
        <is>
          <t>A 14158-2024</t>
        </is>
      </c>
      <c r="B869" s="1" t="n">
        <v>45392</v>
      </c>
      <c r="C869" s="1" t="n">
        <v>46036</v>
      </c>
      <c r="D869" t="inlineStr">
        <is>
          <t>JÄMTLANDS LÄN</t>
        </is>
      </c>
      <c r="E869" t="inlineStr">
        <is>
          <t>RAGUNDA</t>
        </is>
      </c>
      <c r="G869" t="n">
        <v>0.7</v>
      </c>
      <c r="H869" t="n">
        <v>0</v>
      </c>
      <c r="I869" t="n">
        <v>0</v>
      </c>
      <c r="J869" t="n">
        <v>0</v>
      </c>
      <c r="K869" t="n">
        <v>0</v>
      </c>
      <c r="L869" t="n">
        <v>0</v>
      </c>
      <c r="M869" t="n">
        <v>0</v>
      </c>
      <c r="N869" t="n">
        <v>0</v>
      </c>
      <c r="O869" t="n">
        <v>0</v>
      </c>
      <c r="P869" t="n">
        <v>0</v>
      </c>
      <c r="Q869" t="n">
        <v>0</v>
      </c>
      <c r="R869" s="2" t="inlineStr"/>
    </row>
    <row r="870" ht="15" customHeight="1">
      <c r="A870" t="inlineStr">
        <is>
          <t>A 63578-2025</t>
        </is>
      </c>
      <c r="B870" s="1" t="n">
        <v>46013.67690972222</v>
      </c>
      <c r="C870" s="1" t="n">
        <v>46036</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42508-2023</t>
        </is>
      </c>
      <c r="B871" s="1" t="n">
        <v>45180.95907407408</v>
      </c>
      <c r="C871" s="1" t="n">
        <v>46036</v>
      </c>
      <c r="D871" t="inlineStr">
        <is>
          <t>JÄMTLANDS LÄN</t>
        </is>
      </c>
      <c r="E871" t="inlineStr">
        <is>
          <t>RAGUNDA</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55797-2025</t>
        </is>
      </c>
      <c r="B872" s="1" t="n">
        <v>45972.65693287037</v>
      </c>
      <c r="C872" s="1" t="n">
        <v>46036</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55671-2025</t>
        </is>
      </c>
      <c r="B873" s="1" t="n">
        <v>45972</v>
      </c>
      <c r="C873" s="1" t="n">
        <v>46036</v>
      </c>
      <c r="D873" t="inlineStr">
        <is>
          <t>JÄMTLANDS LÄN</t>
        </is>
      </c>
      <c r="E873" t="inlineStr">
        <is>
          <t>RAGUNDA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55897-2025</t>
        </is>
      </c>
      <c r="B874" s="1" t="n">
        <v>45973.38600694444</v>
      </c>
      <c r="C874" s="1" t="n">
        <v>46036</v>
      </c>
      <c r="D874" t="inlineStr">
        <is>
          <t>JÄMTLANDS LÄN</t>
        </is>
      </c>
      <c r="E874" t="inlineStr">
        <is>
          <t>RAGUNDA</t>
        </is>
      </c>
      <c r="F874" t="inlineStr">
        <is>
          <t>SCA</t>
        </is>
      </c>
      <c r="G874" t="n">
        <v>14.1</v>
      </c>
      <c r="H874" t="n">
        <v>0</v>
      </c>
      <c r="I874" t="n">
        <v>0</v>
      </c>
      <c r="J874" t="n">
        <v>0</v>
      </c>
      <c r="K874" t="n">
        <v>0</v>
      </c>
      <c r="L874" t="n">
        <v>0</v>
      </c>
      <c r="M874" t="n">
        <v>0</v>
      </c>
      <c r="N874" t="n">
        <v>0</v>
      </c>
      <c r="O874" t="n">
        <v>0</v>
      </c>
      <c r="P874" t="n">
        <v>0</v>
      </c>
      <c r="Q874" t="n">
        <v>0</v>
      </c>
      <c r="R874" s="2" t="inlineStr"/>
    </row>
    <row r="875" ht="15" customHeight="1">
      <c r="A875" t="inlineStr">
        <is>
          <t>A 63672-2025</t>
        </is>
      </c>
      <c r="B875" s="1" t="n">
        <v>46014.47575231481</v>
      </c>
      <c r="C875" s="1" t="n">
        <v>46036</v>
      </c>
      <c r="D875" t="inlineStr">
        <is>
          <t>JÄMTLANDS LÄN</t>
        </is>
      </c>
      <c r="E875" t="inlineStr">
        <is>
          <t>RAGUNDA</t>
        </is>
      </c>
      <c r="G875" t="n">
        <v>0.8</v>
      </c>
      <c r="H875" t="n">
        <v>0</v>
      </c>
      <c r="I875" t="n">
        <v>0</v>
      </c>
      <c r="J875" t="n">
        <v>0</v>
      </c>
      <c r="K875" t="n">
        <v>0</v>
      </c>
      <c r="L875" t="n">
        <v>0</v>
      </c>
      <c r="M875" t="n">
        <v>0</v>
      </c>
      <c r="N875" t="n">
        <v>0</v>
      </c>
      <c r="O875" t="n">
        <v>0</v>
      </c>
      <c r="P875" t="n">
        <v>0</v>
      </c>
      <c r="Q875" t="n">
        <v>0</v>
      </c>
      <c r="R875" s="2" t="inlineStr"/>
    </row>
    <row r="876" ht="15" customHeight="1">
      <c r="A876" t="inlineStr">
        <is>
          <t>A 55633-2025</t>
        </is>
      </c>
      <c r="B876" s="1" t="n">
        <v>45972</v>
      </c>
      <c r="C876" s="1" t="n">
        <v>46036</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63671-2025</t>
        </is>
      </c>
      <c r="B877" s="1" t="n">
        <v>46014.46555555556</v>
      </c>
      <c r="C877" s="1" t="n">
        <v>46036</v>
      </c>
      <c r="D877" t="inlineStr">
        <is>
          <t>JÄMTLANDS LÄN</t>
        </is>
      </c>
      <c r="E877" t="inlineStr">
        <is>
          <t>RAGUNDA</t>
        </is>
      </c>
      <c r="G877" t="n">
        <v>0.9</v>
      </c>
      <c r="H877" t="n">
        <v>0</v>
      </c>
      <c r="I877" t="n">
        <v>0</v>
      </c>
      <c r="J877" t="n">
        <v>0</v>
      </c>
      <c r="K877" t="n">
        <v>0</v>
      </c>
      <c r="L877" t="n">
        <v>0</v>
      </c>
      <c r="M877" t="n">
        <v>0</v>
      </c>
      <c r="N877" t="n">
        <v>0</v>
      </c>
      <c r="O877" t="n">
        <v>0</v>
      </c>
      <c r="P877" t="n">
        <v>0</v>
      </c>
      <c r="Q877" t="n">
        <v>0</v>
      </c>
      <c r="R877" s="2" t="inlineStr"/>
    </row>
    <row r="878" ht="15" customHeight="1">
      <c r="A878" t="inlineStr">
        <is>
          <t>A 35274-2023</t>
        </is>
      </c>
      <c r="B878" s="1" t="n">
        <v>45145</v>
      </c>
      <c r="C878" s="1" t="n">
        <v>46036</v>
      </c>
      <c r="D878" t="inlineStr">
        <is>
          <t>JÄMTLANDS LÄN</t>
        </is>
      </c>
      <c r="E878" t="inlineStr">
        <is>
          <t>RAGUNDA</t>
        </is>
      </c>
      <c r="F878" t="inlineStr">
        <is>
          <t>SCA</t>
        </is>
      </c>
      <c r="G878" t="n">
        <v>6.1</v>
      </c>
      <c r="H878" t="n">
        <v>0</v>
      </c>
      <c r="I878" t="n">
        <v>0</v>
      </c>
      <c r="J878" t="n">
        <v>0</v>
      </c>
      <c r="K878" t="n">
        <v>0</v>
      </c>
      <c r="L878" t="n">
        <v>0</v>
      </c>
      <c r="M878" t="n">
        <v>0</v>
      </c>
      <c r="N878" t="n">
        <v>0</v>
      </c>
      <c r="O878" t="n">
        <v>0</v>
      </c>
      <c r="P878" t="n">
        <v>0</v>
      </c>
      <c r="Q878" t="n">
        <v>0</v>
      </c>
      <c r="R878" s="2" t="inlineStr"/>
    </row>
    <row r="879" ht="15" customHeight="1">
      <c r="A879" t="inlineStr">
        <is>
          <t>A 56435-2025</t>
        </is>
      </c>
      <c r="B879" s="1" t="n">
        <v>45975.34679398148</v>
      </c>
      <c r="C879" s="1" t="n">
        <v>46036</v>
      </c>
      <c r="D879" t="inlineStr">
        <is>
          <t>JÄMTLANDS LÄN</t>
        </is>
      </c>
      <c r="E879" t="inlineStr">
        <is>
          <t>RAGUNDA</t>
        </is>
      </c>
      <c r="F879" t="inlineStr">
        <is>
          <t>SCA</t>
        </is>
      </c>
      <c r="G879" t="n">
        <v>9.199999999999999</v>
      </c>
      <c r="H879" t="n">
        <v>0</v>
      </c>
      <c r="I879" t="n">
        <v>0</v>
      </c>
      <c r="J879" t="n">
        <v>0</v>
      </c>
      <c r="K879" t="n">
        <v>0</v>
      </c>
      <c r="L879" t="n">
        <v>0</v>
      </c>
      <c r="M879" t="n">
        <v>0</v>
      </c>
      <c r="N879" t="n">
        <v>0</v>
      </c>
      <c r="O879" t="n">
        <v>0</v>
      </c>
      <c r="P879" t="n">
        <v>0</v>
      </c>
      <c r="Q879" t="n">
        <v>0</v>
      </c>
      <c r="R879" s="2" t="inlineStr"/>
      <c r="U879">
        <f>HYPERLINK("https://klasma.github.io/Logging_2303/knärot/A 56435-2025 karta knärot.png", "A 56435-2025")</f>
        <v/>
      </c>
      <c r="V879">
        <f>HYPERLINK("https://klasma.github.io/Logging_2303/klagomål/A 56435-2025 FSC-klagomål.docx", "A 56435-2025")</f>
        <v/>
      </c>
      <c r="W879">
        <f>HYPERLINK("https://klasma.github.io/Logging_2303/klagomålsmail/A 56435-2025 FSC-klagomål mail.docx", "A 56435-2025")</f>
        <v/>
      </c>
      <c r="X879">
        <f>HYPERLINK("https://klasma.github.io/Logging_2303/tillsyn/A 56435-2025 tillsynsbegäran.docx", "A 56435-2025")</f>
        <v/>
      </c>
      <c r="Y879">
        <f>HYPERLINK("https://klasma.github.io/Logging_2303/tillsynsmail/A 56435-2025 tillsynsbegäran mail.docx", "A 56435-2025")</f>
        <v/>
      </c>
    </row>
    <row r="880" ht="15" customHeight="1">
      <c r="A880" t="inlineStr">
        <is>
          <t>A 12983-2025</t>
        </is>
      </c>
      <c r="B880" s="1" t="n">
        <v>45734.4633912037</v>
      </c>
      <c r="C880" s="1" t="n">
        <v>46036</v>
      </c>
      <c r="D880" t="inlineStr">
        <is>
          <t>JÄMTLANDS LÄN</t>
        </is>
      </c>
      <c r="E880" t="inlineStr">
        <is>
          <t>RAGUNDA</t>
        </is>
      </c>
      <c r="G880" t="n">
        <v>5.2</v>
      </c>
      <c r="H880" t="n">
        <v>0</v>
      </c>
      <c r="I880" t="n">
        <v>0</v>
      </c>
      <c r="J880" t="n">
        <v>0</v>
      </c>
      <c r="K880" t="n">
        <v>0</v>
      </c>
      <c r="L880" t="n">
        <v>0</v>
      </c>
      <c r="M880" t="n">
        <v>0</v>
      </c>
      <c r="N880" t="n">
        <v>0</v>
      </c>
      <c r="O880" t="n">
        <v>0</v>
      </c>
      <c r="P880" t="n">
        <v>0</v>
      </c>
      <c r="Q880" t="n">
        <v>0</v>
      </c>
      <c r="R880" s="2" t="inlineStr"/>
    </row>
    <row r="881" ht="15" customHeight="1">
      <c r="A881" t="inlineStr">
        <is>
          <t>A 17598-2021</t>
        </is>
      </c>
      <c r="B881" s="1" t="n">
        <v>44299</v>
      </c>
      <c r="C881" s="1" t="n">
        <v>46036</v>
      </c>
      <c r="D881" t="inlineStr">
        <is>
          <t>JÄMTLANDS LÄN</t>
        </is>
      </c>
      <c r="E881" t="inlineStr">
        <is>
          <t>RAGUNDA</t>
        </is>
      </c>
      <c r="G881" t="n">
        <v>4.6</v>
      </c>
      <c r="H881" t="n">
        <v>0</v>
      </c>
      <c r="I881" t="n">
        <v>0</v>
      </c>
      <c r="J881" t="n">
        <v>0</v>
      </c>
      <c r="K881" t="n">
        <v>0</v>
      </c>
      <c r="L881" t="n">
        <v>0</v>
      </c>
      <c r="M881" t="n">
        <v>0</v>
      </c>
      <c r="N881" t="n">
        <v>0</v>
      </c>
      <c r="O881" t="n">
        <v>0</v>
      </c>
      <c r="P881" t="n">
        <v>0</v>
      </c>
      <c r="Q881" t="n">
        <v>0</v>
      </c>
      <c r="R881" s="2" t="inlineStr"/>
    </row>
    <row r="882" ht="15" customHeight="1">
      <c r="A882" t="inlineStr">
        <is>
          <t>A 56170-2025</t>
        </is>
      </c>
      <c r="B882" s="1" t="n">
        <v>45974.39398148148</v>
      </c>
      <c r="C882" s="1" t="n">
        <v>46036</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3938-2024</t>
        </is>
      </c>
      <c r="B883" s="1" t="n">
        <v>45322</v>
      </c>
      <c r="C883" s="1" t="n">
        <v>46036</v>
      </c>
      <c r="D883" t="inlineStr">
        <is>
          <t>JÄMTLANDS LÄN</t>
        </is>
      </c>
      <c r="E883" t="inlineStr">
        <is>
          <t>RAGUNDA</t>
        </is>
      </c>
      <c r="G883" t="n">
        <v>3.2</v>
      </c>
      <c r="H883" t="n">
        <v>0</v>
      </c>
      <c r="I883" t="n">
        <v>0</v>
      </c>
      <c r="J883" t="n">
        <v>0</v>
      </c>
      <c r="K883" t="n">
        <v>0</v>
      </c>
      <c r="L883" t="n">
        <v>0</v>
      </c>
      <c r="M883" t="n">
        <v>0</v>
      </c>
      <c r="N883" t="n">
        <v>0</v>
      </c>
      <c r="O883" t="n">
        <v>0</v>
      </c>
      <c r="P883" t="n">
        <v>0</v>
      </c>
      <c r="Q883" t="n">
        <v>0</v>
      </c>
      <c r="R883" s="2" t="inlineStr"/>
    </row>
    <row r="884" ht="15" customHeight="1">
      <c r="A884" t="inlineStr">
        <is>
          <t>A 63828-2025</t>
        </is>
      </c>
      <c r="B884" s="1" t="n">
        <v>46020.37814814815</v>
      </c>
      <c r="C884" s="1" t="n">
        <v>46036</v>
      </c>
      <c r="D884" t="inlineStr">
        <is>
          <t>JÄMTLANDS LÄN</t>
        </is>
      </c>
      <c r="E884" t="inlineStr">
        <is>
          <t>RAGUNDA</t>
        </is>
      </c>
      <c r="G884" t="n">
        <v>4.7</v>
      </c>
      <c r="H884" t="n">
        <v>0</v>
      </c>
      <c r="I884" t="n">
        <v>0</v>
      </c>
      <c r="J884" t="n">
        <v>0</v>
      </c>
      <c r="K884" t="n">
        <v>0</v>
      </c>
      <c r="L884" t="n">
        <v>0</v>
      </c>
      <c r="M884" t="n">
        <v>0</v>
      </c>
      <c r="N884" t="n">
        <v>0</v>
      </c>
      <c r="O884" t="n">
        <v>0</v>
      </c>
      <c r="P884" t="n">
        <v>0</v>
      </c>
      <c r="Q884" t="n">
        <v>0</v>
      </c>
      <c r="R884" s="2" t="inlineStr"/>
    </row>
    <row r="885" ht="15" customHeight="1">
      <c r="A885" t="inlineStr">
        <is>
          <t>A 53144-2024</t>
        </is>
      </c>
      <c r="B885" s="1" t="n">
        <v>45611</v>
      </c>
      <c r="C885" s="1" t="n">
        <v>46036</v>
      </c>
      <c r="D885" t="inlineStr">
        <is>
          <t>JÄMTLANDS LÄN</t>
        </is>
      </c>
      <c r="E885" t="inlineStr">
        <is>
          <t>RAGUNDA</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57111-2025</t>
        </is>
      </c>
      <c r="B886" s="1" t="n">
        <v>45978</v>
      </c>
      <c r="C886" s="1" t="n">
        <v>46036</v>
      </c>
      <c r="D886" t="inlineStr">
        <is>
          <t>JÄMTLANDS LÄN</t>
        </is>
      </c>
      <c r="E886" t="inlineStr">
        <is>
          <t>RAGUNDA</t>
        </is>
      </c>
      <c r="G886" t="n">
        <v>2.3</v>
      </c>
      <c r="H886" t="n">
        <v>0</v>
      </c>
      <c r="I886" t="n">
        <v>0</v>
      </c>
      <c r="J886" t="n">
        <v>0</v>
      </c>
      <c r="K886" t="n">
        <v>0</v>
      </c>
      <c r="L886" t="n">
        <v>0</v>
      </c>
      <c r="M886" t="n">
        <v>0</v>
      </c>
      <c r="N886" t="n">
        <v>0</v>
      </c>
      <c r="O886" t="n">
        <v>0</v>
      </c>
      <c r="P886" t="n">
        <v>0</v>
      </c>
      <c r="Q886" t="n">
        <v>0</v>
      </c>
      <c r="R886" s="2" t="inlineStr"/>
    </row>
    <row r="887" ht="15" customHeight="1">
      <c r="A887" t="inlineStr">
        <is>
          <t>A 57117-2025</t>
        </is>
      </c>
      <c r="B887" s="1" t="n">
        <v>45978</v>
      </c>
      <c r="C887" s="1" t="n">
        <v>46036</v>
      </c>
      <c r="D887" t="inlineStr">
        <is>
          <t>JÄMTLANDS LÄN</t>
        </is>
      </c>
      <c r="E887" t="inlineStr">
        <is>
          <t>RAGUNDA</t>
        </is>
      </c>
      <c r="G887" t="n">
        <v>4.2</v>
      </c>
      <c r="H887" t="n">
        <v>0</v>
      </c>
      <c r="I887" t="n">
        <v>0</v>
      </c>
      <c r="J887" t="n">
        <v>0</v>
      </c>
      <c r="K887" t="n">
        <v>0</v>
      </c>
      <c r="L887" t="n">
        <v>0</v>
      </c>
      <c r="M887" t="n">
        <v>0</v>
      </c>
      <c r="N887" t="n">
        <v>0</v>
      </c>
      <c r="O887" t="n">
        <v>0</v>
      </c>
      <c r="P887" t="n">
        <v>0</v>
      </c>
      <c r="Q887" t="n">
        <v>0</v>
      </c>
      <c r="R887" s="2" t="inlineStr"/>
    </row>
    <row r="888" ht="15" customHeight="1">
      <c r="A888" t="inlineStr">
        <is>
          <t>A 56751-2025</t>
        </is>
      </c>
      <c r="B888" s="1" t="n">
        <v>45978.36538194444</v>
      </c>
      <c r="C888" s="1" t="n">
        <v>46036</v>
      </c>
      <c r="D888" t="inlineStr">
        <is>
          <t>JÄMTLANDS LÄN</t>
        </is>
      </c>
      <c r="E888" t="inlineStr">
        <is>
          <t>RAGUNDA</t>
        </is>
      </c>
      <c r="F888" t="inlineStr">
        <is>
          <t>SCA</t>
        </is>
      </c>
      <c r="G888" t="n">
        <v>34.5</v>
      </c>
      <c r="H888" t="n">
        <v>0</v>
      </c>
      <c r="I888" t="n">
        <v>0</v>
      </c>
      <c r="J888" t="n">
        <v>0</v>
      </c>
      <c r="K888" t="n">
        <v>0</v>
      </c>
      <c r="L888" t="n">
        <v>0</v>
      </c>
      <c r="M888" t="n">
        <v>0</v>
      </c>
      <c r="N888" t="n">
        <v>0</v>
      </c>
      <c r="O888" t="n">
        <v>0</v>
      </c>
      <c r="P888" t="n">
        <v>0</v>
      </c>
      <c r="Q888" t="n">
        <v>0</v>
      </c>
      <c r="R888" s="2" t="inlineStr"/>
    </row>
    <row r="889" ht="15" customHeight="1">
      <c r="A889" t="inlineStr">
        <is>
          <t>A 56806-2025</t>
        </is>
      </c>
      <c r="B889" s="1" t="n">
        <v>45978.44842592593</v>
      </c>
      <c r="C889" s="1" t="n">
        <v>46036</v>
      </c>
      <c r="D889" t="inlineStr">
        <is>
          <t>JÄMTLANDS LÄN</t>
        </is>
      </c>
      <c r="E889" t="inlineStr">
        <is>
          <t>RAGUNDA</t>
        </is>
      </c>
      <c r="F889" t="inlineStr">
        <is>
          <t>SCA</t>
        </is>
      </c>
      <c r="G889" t="n">
        <v>7.5</v>
      </c>
      <c r="H889" t="n">
        <v>0</v>
      </c>
      <c r="I889" t="n">
        <v>0</v>
      </c>
      <c r="J889" t="n">
        <v>0</v>
      </c>
      <c r="K889" t="n">
        <v>0</v>
      </c>
      <c r="L889" t="n">
        <v>0</v>
      </c>
      <c r="M889" t="n">
        <v>0</v>
      </c>
      <c r="N889" t="n">
        <v>0</v>
      </c>
      <c r="O889" t="n">
        <v>0</v>
      </c>
      <c r="P889" t="n">
        <v>0</v>
      </c>
      <c r="Q889" t="n">
        <v>0</v>
      </c>
      <c r="R889" s="2" t="inlineStr"/>
    </row>
    <row r="890" ht="15" customHeight="1">
      <c r="A890" t="inlineStr">
        <is>
          <t>A 63714-2025</t>
        </is>
      </c>
      <c r="B890" s="1" t="n">
        <v>46014</v>
      </c>
      <c r="C890" s="1" t="n">
        <v>46036</v>
      </c>
      <c r="D890" t="inlineStr">
        <is>
          <t>JÄMTLANDS LÄN</t>
        </is>
      </c>
      <c r="E890" t="inlineStr">
        <is>
          <t>RAGUNDA</t>
        </is>
      </c>
      <c r="F890" t="inlineStr">
        <is>
          <t>Sveaskog</t>
        </is>
      </c>
      <c r="G890" t="n">
        <v>8.5</v>
      </c>
      <c r="H890" t="n">
        <v>0</v>
      </c>
      <c r="I890" t="n">
        <v>0</v>
      </c>
      <c r="J890" t="n">
        <v>0</v>
      </c>
      <c r="K890" t="n">
        <v>0</v>
      </c>
      <c r="L890" t="n">
        <v>0</v>
      </c>
      <c r="M890" t="n">
        <v>0</v>
      </c>
      <c r="N890" t="n">
        <v>0</v>
      </c>
      <c r="O890" t="n">
        <v>0</v>
      </c>
      <c r="P890" t="n">
        <v>0</v>
      </c>
      <c r="Q890" t="n">
        <v>0</v>
      </c>
      <c r="R890" s="2" t="inlineStr"/>
    </row>
    <row r="891" ht="15" customHeight="1">
      <c r="A891" t="inlineStr">
        <is>
          <t>A 57184-2025</t>
        </is>
      </c>
      <c r="B891" s="1" t="n">
        <v>45979.57361111111</v>
      </c>
      <c r="C891" s="1" t="n">
        <v>46036</v>
      </c>
      <c r="D891" t="inlineStr">
        <is>
          <t>JÄMTLANDS LÄN</t>
        </is>
      </c>
      <c r="E891" t="inlineStr">
        <is>
          <t>RAGUNDA</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57561-2025</t>
        </is>
      </c>
      <c r="B892" s="1" t="n">
        <v>45980.69885416667</v>
      </c>
      <c r="C892" s="1" t="n">
        <v>46036</v>
      </c>
      <c r="D892" t="inlineStr">
        <is>
          <t>JÄMTLANDS LÄN</t>
        </is>
      </c>
      <c r="E892" t="inlineStr">
        <is>
          <t>RAGUNDA</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22311-2024</t>
        </is>
      </c>
      <c r="B893" s="1" t="n">
        <v>45446.57052083333</v>
      </c>
      <c r="C893" s="1" t="n">
        <v>46036</v>
      </c>
      <c r="D893" t="inlineStr">
        <is>
          <t>JÄMTLANDS LÄN</t>
        </is>
      </c>
      <c r="E893" t="inlineStr">
        <is>
          <t>RAGUNDA</t>
        </is>
      </c>
      <c r="G893" t="n">
        <v>1.3</v>
      </c>
      <c r="H893" t="n">
        <v>0</v>
      </c>
      <c r="I893" t="n">
        <v>0</v>
      </c>
      <c r="J893" t="n">
        <v>0</v>
      </c>
      <c r="K893" t="n">
        <v>0</v>
      </c>
      <c r="L893" t="n">
        <v>0</v>
      </c>
      <c r="M893" t="n">
        <v>0</v>
      </c>
      <c r="N893" t="n">
        <v>0</v>
      </c>
      <c r="O893" t="n">
        <v>0</v>
      </c>
      <c r="P893" t="n">
        <v>0</v>
      </c>
      <c r="Q893" t="n">
        <v>0</v>
      </c>
      <c r="R893" s="2" t="inlineStr"/>
    </row>
    <row r="894" ht="15" customHeight="1">
      <c r="A894" t="inlineStr">
        <is>
          <t>A 57332-2025</t>
        </is>
      </c>
      <c r="B894" s="1" t="n">
        <v>45980.34467592592</v>
      </c>
      <c r="C894" s="1" t="n">
        <v>46036</v>
      </c>
      <c r="D894" t="inlineStr">
        <is>
          <t>JÄMTLANDS LÄN</t>
        </is>
      </c>
      <c r="E894" t="inlineStr">
        <is>
          <t>RAGUNDA</t>
        </is>
      </c>
      <c r="F894" t="inlineStr">
        <is>
          <t>SCA</t>
        </is>
      </c>
      <c r="G894" t="n">
        <v>22.6</v>
      </c>
      <c r="H894" t="n">
        <v>0</v>
      </c>
      <c r="I894" t="n">
        <v>0</v>
      </c>
      <c r="J894" t="n">
        <v>0</v>
      </c>
      <c r="K894" t="n">
        <v>0</v>
      </c>
      <c r="L894" t="n">
        <v>0</v>
      </c>
      <c r="M894" t="n">
        <v>0</v>
      </c>
      <c r="N894" t="n">
        <v>0</v>
      </c>
      <c r="O894" t="n">
        <v>0</v>
      </c>
      <c r="P894" t="n">
        <v>0</v>
      </c>
      <c r="Q894" t="n">
        <v>0</v>
      </c>
      <c r="R894" s="2" t="inlineStr"/>
    </row>
    <row r="895" ht="15" customHeight="1">
      <c r="A895" t="inlineStr">
        <is>
          <t>A 57560-2025</t>
        </is>
      </c>
      <c r="B895" s="1" t="n">
        <v>45980.6987962963</v>
      </c>
      <c r="C895" s="1" t="n">
        <v>46036</v>
      </c>
      <c r="D895" t="inlineStr">
        <is>
          <t>JÄMTLANDS LÄN</t>
        </is>
      </c>
      <c r="E895" t="inlineStr">
        <is>
          <t>RAGUNDA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57916-2025</t>
        </is>
      </c>
      <c r="B896" s="1" t="n">
        <v>45981</v>
      </c>
      <c r="C896" s="1" t="n">
        <v>46036</v>
      </c>
      <c r="D896" t="inlineStr">
        <is>
          <t>JÄMTLANDS LÄN</t>
        </is>
      </c>
      <c r="E896" t="inlineStr">
        <is>
          <t>RAGUNDA</t>
        </is>
      </c>
      <c r="G896" t="n">
        <v>5.3</v>
      </c>
      <c r="H896" t="n">
        <v>0</v>
      </c>
      <c r="I896" t="n">
        <v>0</v>
      </c>
      <c r="J896" t="n">
        <v>0</v>
      </c>
      <c r="K896" t="n">
        <v>0</v>
      </c>
      <c r="L896" t="n">
        <v>0</v>
      </c>
      <c r="M896" t="n">
        <v>0</v>
      </c>
      <c r="N896" t="n">
        <v>0</v>
      </c>
      <c r="O896" t="n">
        <v>0</v>
      </c>
      <c r="P896" t="n">
        <v>0</v>
      </c>
      <c r="Q896" t="n">
        <v>0</v>
      </c>
      <c r="R896" s="2" t="inlineStr"/>
    </row>
    <row r="897" ht="15" customHeight="1">
      <c r="A897" t="inlineStr">
        <is>
          <t>A 57914-2025</t>
        </is>
      </c>
      <c r="B897" s="1" t="n">
        <v>45981</v>
      </c>
      <c r="C897" s="1" t="n">
        <v>46036</v>
      </c>
      <c r="D897" t="inlineStr">
        <is>
          <t>JÄMTLANDS LÄN</t>
        </is>
      </c>
      <c r="E897" t="inlineStr">
        <is>
          <t>RAGUNDA</t>
        </is>
      </c>
      <c r="G897" t="n">
        <v>3.2</v>
      </c>
      <c r="H897" t="n">
        <v>0</v>
      </c>
      <c r="I897" t="n">
        <v>0</v>
      </c>
      <c r="J897" t="n">
        <v>0</v>
      </c>
      <c r="K897" t="n">
        <v>0</v>
      </c>
      <c r="L897" t="n">
        <v>0</v>
      </c>
      <c r="M897" t="n">
        <v>0</v>
      </c>
      <c r="N897" t="n">
        <v>0</v>
      </c>
      <c r="O897" t="n">
        <v>0</v>
      </c>
      <c r="P897" t="n">
        <v>0</v>
      </c>
      <c r="Q897" t="n">
        <v>0</v>
      </c>
      <c r="R897" s="2" t="inlineStr"/>
    </row>
    <row r="898" ht="15" customHeight="1">
      <c r="A898" t="inlineStr">
        <is>
          <t>A 57915-2025</t>
        </is>
      </c>
      <c r="B898" s="1" t="n">
        <v>45981</v>
      </c>
      <c r="C898" s="1" t="n">
        <v>46036</v>
      </c>
      <c r="D898" t="inlineStr">
        <is>
          <t>JÄMTLANDS LÄN</t>
        </is>
      </c>
      <c r="E898" t="inlineStr">
        <is>
          <t>RAGUNDA</t>
        </is>
      </c>
      <c r="G898" t="n">
        <v>6.4</v>
      </c>
      <c r="H898" t="n">
        <v>0</v>
      </c>
      <c r="I898" t="n">
        <v>0</v>
      </c>
      <c r="J898" t="n">
        <v>0</v>
      </c>
      <c r="K898" t="n">
        <v>0</v>
      </c>
      <c r="L898" t="n">
        <v>0</v>
      </c>
      <c r="M898" t="n">
        <v>0</v>
      </c>
      <c r="N898" t="n">
        <v>0</v>
      </c>
      <c r="O898" t="n">
        <v>0</v>
      </c>
      <c r="P898" t="n">
        <v>0</v>
      </c>
      <c r="Q898" t="n">
        <v>0</v>
      </c>
      <c r="R898" s="2" t="inlineStr"/>
    </row>
    <row r="899" ht="15" customHeight="1">
      <c r="A899" t="inlineStr">
        <is>
          <t>A 57833-2025</t>
        </is>
      </c>
      <c r="B899" s="1" t="n">
        <v>45981.61541666667</v>
      </c>
      <c r="C899" s="1" t="n">
        <v>46036</v>
      </c>
      <c r="D899" t="inlineStr">
        <is>
          <t>JÄMTLANDS LÄN</t>
        </is>
      </c>
      <c r="E899" t="inlineStr">
        <is>
          <t>RAGUNDA</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19403-2025</t>
        </is>
      </c>
      <c r="B900" s="1" t="n">
        <v>45769.67790509259</v>
      </c>
      <c r="C900" s="1" t="n">
        <v>46036</v>
      </c>
      <c r="D900" t="inlineStr">
        <is>
          <t>JÄMTLANDS LÄN</t>
        </is>
      </c>
      <c r="E900" t="inlineStr">
        <is>
          <t>RAGUNDA</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64108-2025</t>
        </is>
      </c>
      <c r="B901" s="1" t="n">
        <v>46013</v>
      </c>
      <c r="C901" s="1" t="n">
        <v>46036</v>
      </c>
      <c r="D901" t="inlineStr">
        <is>
          <t>JÄMTLANDS LÄN</t>
        </is>
      </c>
      <c r="E901" t="inlineStr">
        <is>
          <t>RAGUNDA</t>
        </is>
      </c>
      <c r="F901" t="inlineStr">
        <is>
          <t>Kyrkan</t>
        </is>
      </c>
      <c r="G901" t="n">
        <v>1.6</v>
      </c>
      <c r="H901" t="n">
        <v>0</v>
      </c>
      <c r="I901" t="n">
        <v>0</v>
      </c>
      <c r="J901" t="n">
        <v>0</v>
      </c>
      <c r="K901" t="n">
        <v>0</v>
      </c>
      <c r="L901" t="n">
        <v>0</v>
      </c>
      <c r="M901" t="n">
        <v>0</v>
      </c>
      <c r="N901" t="n">
        <v>0</v>
      </c>
      <c r="O901" t="n">
        <v>0</v>
      </c>
      <c r="P901" t="n">
        <v>0</v>
      </c>
      <c r="Q901" t="n">
        <v>0</v>
      </c>
      <c r="R901" s="2" t="inlineStr"/>
    </row>
    <row r="902" ht="15" customHeight="1">
      <c r="A902" t="inlineStr">
        <is>
          <t>A 57785-2025</t>
        </is>
      </c>
      <c r="B902" s="1" t="n">
        <v>45981.57393518519</v>
      </c>
      <c r="C902" s="1" t="n">
        <v>46036</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58093-2025</t>
        </is>
      </c>
      <c r="B903" s="1" t="n">
        <v>45982.5741087963</v>
      </c>
      <c r="C903" s="1" t="n">
        <v>46036</v>
      </c>
      <c r="D903" t="inlineStr">
        <is>
          <t>JÄMTLANDS LÄN</t>
        </is>
      </c>
      <c r="E903" t="inlineStr">
        <is>
          <t>RAGUNDA</t>
        </is>
      </c>
      <c r="G903" t="n">
        <v>22.2</v>
      </c>
      <c r="H903" t="n">
        <v>0</v>
      </c>
      <c r="I903" t="n">
        <v>0</v>
      </c>
      <c r="J903" t="n">
        <v>0</v>
      </c>
      <c r="K903" t="n">
        <v>0</v>
      </c>
      <c r="L903" t="n">
        <v>0</v>
      </c>
      <c r="M903" t="n">
        <v>0</v>
      </c>
      <c r="N903" t="n">
        <v>0</v>
      </c>
      <c r="O903" t="n">
        <v>0</v>
      </c>
      <c r="P903" t="n">
        <v>0</v>
      </c>
      <c r="Q903" t="n">
        <v>0</v>
      </c>
      <c r="R903" s="2" t="inlineStr"/>
    </row>
    <row r="904" ht="15" customHeight="1">
      <c r="A904" t="inlineStr">
        <is>
          <t>A 222-2026</t>
        </is>
      </c>
      <c r="B904" s="1" t="n">
        <v>46026.84054398148</v>
      </c>
      <c r="C904" s="1" t="n">
        <v>46036</v>
      </c>
      <c r="D904" t="inlineStr">
        <is>
          <t>JÄMTLANDS LÄN</t>
        </is>
      </c>
      <c r="E904" t="inlineStr">
        <is>
          <t>RAGUNDA</t>
        </is>
      </c>
      <c r="G904" t="n">
        <v>10.6</v>
      </c>
      <c r="H904" t="n">
        <v>0</v>
      </c>
      <c r="I904" t="n">
        <v>0</v>
      </c>
      <c r="J904" t="n">
        <v>0</v>
      </c>
      <c r="K904" t="n">
        <v>0</v>
      </c>
      <c r="L904" t="n">
        <v>0</v>
      </c>
      <c r="M904" t="n">
        <v>0</v>
      </c>
      <c r="N904" t="n">
        <v>0</v>
      </c>
      <c r="O904" t="n">
        <v>0</v>
      </c>
      <c r="P904" t="n">
        <v>0</v>
      </c>
      <c r="Q904" t="n">
        <v>0</v>
      </c>
      <c r="R904" s="2" t="inlineStr"/>
    </row>
    <row r="905" ht="15" customHeight="1">
      <c r="A905" t="inlineStr">
        <is>
          <t>A 57970-2025</t>
        </is>
      </c>
      <c r="B905" s="1" t="n">
        <v>45982.38582175926</v>
      </c>
      <c r="C905" s="1" t="n">
        <v>46036</v>
      </c>
      <c r="D905" t="inlineStr">
        <is>
          <t>JÄMTLANDS LÄN</t>
        </is>
      </c>
      <c r="E905" t="inlineStr">
        <is>
          <t>RAGUNDA</t>
        </is>
      </c>
      <c r="G905" t="n">
        <v>4.9</v>
      </c>
      <c r="H905" t="n">
        <v>0</v>
      </c>
      <c r="I905" t="n">
        <v>0</v>
      </c>
      <c r="J905" t="n">
        <v>0</v>
      </c>
      <c r="K905" t="n">
        <v>0</v>
      </c>
      <c r="L905" t="n">
        <v>0</v>
      </c>
      <c r="M905" t="n">
        <v>0</v>
      </c>
      <c r="N905" t="n">
        <v>0</v>
      </c>
      <c r="O905" t="n">
        <v>0</v>
      </c>
      <c r="P905" t="n">
        <v>0</v>
      </c>
      <c r="Q905" t="n">
        <v>0</v>
      </c>
      <c r="R905" s="2" t="inlineStr"/>
    </row>
    <row r="906" ht="15" customHeight="1">
      <c r="A906" t="inlineStr">
        <is>
          <t>A 58076-2025</t>
        </is>
      </c>
      <c r="B906" s="1" t="n">
        <v>45982.55273148148</v>
      </c>
      <c r="C906" s="1" t="n">
        <v>46036</v>
      </c>
      <c r="D906" t="inlineStr">
        <is>
          <t>JÄMTLANDS LÄN</t>
        </is>
      </c>
      <c r="E906" t="inlineStr">
        <is>
          <t>RAGUNDA</t>
        </is>
      </c>
      <c r="G906" t="n">
        <v>0.1</v>
      </c>
      <c r="H906" t="n">
        <v>0</v>
      </c>
      <c r="I906" t="n">
        <v>0</v>
      </c>
      <c r="J906" t="n">
        <v>0</v>
      </c>
      <c r="K906" t="n">
        <v>0</v>
      </c>
      <c r="L906" t="n">
        <v>0</v>
      </c>
      <c r="M906" t="n">
        <v>0</v>
      </c>
      <c r="N906" t="n">
        <v>0</v>
      </c>
      <c r="O906" t="n">
        <v>0</v>
      </c>
      <c r="P906" t="n">
        <v>0</v>
      </c>
      <c r="Q906" t="n">
        <v>0</v>
      </c>
      <c r="R906" s="2" t="inlineStr"/>
    </row>
    <row r="907" ht="15" customHeight="1">
      <c r="A907" t="inlineStr">
        <is>
          <t>A 57963-2025</t>
        </is>
      </c>
      <c r="B907" s="1" t="n">
        <v>45982.37800925926</v>
      </c>
      <c r="C907" s="1" t="n">
        <v>46036</v>
      </c>
      <c r="D907" t="inlineStr">
        <is>
          <t>JÄMTLANDS LÄN</t>
        </is>
      </c>
      <c r="E907" t="inlineStr">
        <is>
          <t>RAGUNDA</t>
        </is>
      </c>
      <c r="G907" t="n">
        <v>1.7</v>
      </c>
      <c r="H907" t="n">
        <v>0</v>
      </c>
      <c r="I907" t="n">
        <v>0</v>
      </c>
      <c r="J907" t="n">
        <v>0</v>
      </c>
      <c r="K907" t="n">
        <v>0</v>
      </c>
      <c r="L907" t="n">
        <v>0</v>
      </c>
      <c r="M907" t="n">
        <v>0</v>
      </c>
      <c r="N907" t="n">
        <v>0</v>
      </c>
      <c r="O907" t="n">
        <v>0</v>
      </c>
      <c r="P907" t="n">
        <v>0</v>
      </c>
      <c r="Q907" t="n">
        <v>0</v>
      </c>
      <c r="R907" s="2" t="inlineStr"/>
    </row>
    <row r="908" ht="15" customHeight="1">
      <c r="A908" t="inlineStr">
        <is>
          <t>A 11147-2025</t>
        </is>
      </c>
      <c r="B908" s="1" t="n">
        <v>45723.67777777778</v>
      </c>
      <c r="C908" s="1" t="n">
        <v>46036</v>
      </c>
      <c r="D908" t="inlineStr">
        <is>
          <t>JÄMTLANDS LÄN</t>
        </is>
      </c>
      <c r="E908" t="inlineStr">
        <is>
          <t>RAGUNDA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9847-2025</t>
        </is>
      </c>
      <c r="B909" s="1" t="n">
        <v>45716.61487268518</v>
      </c>
      <c r="C909" s="1" t="n">
        <v>46036</v>
      </c>
      <c r="D909" t="inlineStr">
        <is>
          <t>JÄMTLANDS LÄN</t>
        </is>
      </c>
      <c r="E909" t="inlineStr">
        <is>
          <t>RAGUNDA</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122-2026</t>
        </is>
      </c>
      <c r="B910" s="1" t="n">
        <v>46024.57335648148</v>
      </c>
      <c r="C910" s="1" t="n">
        <v>46036</v>
      </c>
      <c r="D910" t="inlineStr">
        <is>
          <t>JÄMTLANDS LÄN</t>
        </is>
      </c>
      <c r="E910" t="inlineStr">
        <is>
          <t>RAGUNDA</t>
        </is>
      </c>
      <c r="F910" t="inlineStr">
        <is>
          <t>SCA</t>
        </is>
      </c>
      <c r="G910" t="n">
        <v>15.3</v>
      </c>
      <c r="H910" t="n">
        <v>0</v>
      </c>
      <c r="I910" t="n">
        <v>0</v>
      </c>
      <c r="J910" t="n">
        <v>0</v>
      </c>
      <c r="K910" t="n">
        <v>0</v>
      </c>
      <c r="L910" t="n">
        <v>0</v>
      </c>
      <c r="M910" t="n">
        <v>0</v>
      </c>
      <c r="N910" t="n">
        <v>0</v>
      </c>
      <c r="O910" t="n">
        <v>0</v>
      </c>
      <c r="P910" t="n">
        <v>0</v>
      </c>
      <c r="Q910" t="n">
        <v>0</v>
      </c>
      <c r="R910" s="2" t="inlineStr"/>
    </row>
    <row r="911" ht="15" customHeight="1">
      <c r="A911" t="inlineStr">
        <is>
          <t>A 28173-2024</t>
        </is>
      </c>
      <c r="B911" s="1" t="n">
        <v>45476.94533564815</v>
      </c>
      <c r="C911" s="1" t="n">
        <v>46036</v>
      </c>
      <c r="D911" t="inlineStr">
        <is>
          <t>JÄMTLANDS LÄN</t>
        </is>
      </c>
      <c r="E911" t="inlineStr">
        <is>
          <t>RAGUNDA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265-2026</t>
        </is>
      </c>
      <c r="B912" s="1" t="n">
        <v>46027.44956018519</v>
      </c>
      <c r="C912" s="1" t="n">
        <v>46036</v>
      </c>
      <c r="D912" t="inlineStr">
        <is>
          <t>JÄMTLANDS LÄN</t>
        </is>
      </c>
      <c r="E912" t="inlineStr">
        <is>
          <t>RAGUNDA</t>
        </is>
      </c>
      <c r="G912" t="n">
        <v>3.8</v>
      </c>
      <c r="H912" t="n">
        <v>0</v>
      </c>
      <c r="I912" t="n">
        <v>0</v>
      </c>
      <c r="J912" t="n">
        <v>0</v>
      </c>
      <c r="K912" t="n">
        <v>0</v>
      </c>
      <c r="L912" t="n">
        <v>0</v>
      </c>
      <c r="M912" t="n">
        <v>0</v>
      </c>
      <c r="N912" t="n">
        <v>0</v>
      </c>
      <c r="O912" t="n">
        <v>0</v>
      </c>
      <c r="P912" t="n">
        <v>0</v>
      </c>
      <c r="Q912" t="n">
        <v>0</v>
      </c>
      <c r="R912" s="2" t="inlineStr"/>
    </row>
    <row r="913" ht="15" customHeight="1">
      <c r="A913" t="inlineStr">
        <is>
          <t>A 23734-2024</t>
        </is>
      </c>
      <c r="B913" s="1" t="n">
        <v>45454.95960648148</v>
      </c>
      <c r="C913" s="1" t="n">
        <v>46036</v>
      </c>
      <c r="D913" t="inlineStr">
        <is>
          <t>JÄMTLANDS LÄN</t>
        </is>
      </c>
      <c r="E913" t="inlineStr">
        <is>
          <t>RAGUNDA</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38425-2022</t>
        </is>
      </c>
      <c r="B914" s="1" t="n">
        <v>44812.94709490741</v>
      </c>
      <c r="C914" s="1" t="n">
        <v>46036</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12995-2023</t>
        </is>
      </c>
      <c r="B915" s="1" t="n">
        <v>45002.0328125</v>
      </c>
      <c r="C915" s="1" t="n">
        <v>46036</v>
      </c>
      <c r="D915" t="inlineStr">
        <is>
          <t>JÄMTLANDS LÄN</t>
        </is>
      </c>
      <c r="E915" t="inlineStr">
        <is>
          <t>RAGUNDA</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53109-2025</t>
        </is>
      </c>
      <c r="B916" s="1" t="n">
        <v>45958</v>
      </c>
      <c r="C916" s="1" t="n">
        <v>46036</v>
      </c>
      <c r="D916" t="inlineStr">
        <is>
          <t>JÄMTLANDS LÄN</t>
        </is>
      </c>
      <c r="E916" t="inlineStr">
        <is>
          <t>RAGUNDA</t>
        </is>
      </c>
      <c r="G916" t="n">
        <v>2.1</v>
      </c>
      <c r="H916" t="n">
        <v>0</v>
      </c>
      <c r="I916" t="n">
        <v>0</v>
      </c>
      <c r="J916" t="n">
        <v>0</v>
      </c>
      <c r="K916" t="n">
        <v>0</v>
      </c>
      <c r="L916" t="n">
        <v>0</v>
      </c>
      <c r="M916" t="n">
        <v>0</v>
      </c>
      <c r="N916" t="n">
        <v>0</v>
      </c>
      <c r="O916" t="n">
        <v>0</v>
      </c>
      <c r="P916" t="n">
        <v>0</v>
      </c>
      <c r="Q916" t="n">
        <v>0</v>
      </c>
      <c r="R916" s="2" t="inlineStr"/>
    </row>
    <row r="917" ht="15" customHeight="1">
      <c r="A917" t="inlineStr">
        <is>
          <t>A 44755-2024</t>
        </is>
      </c>
      <c r="B917" s="1" t="n">
        <v>45574.61184027778</v>
      </c>
      <c r="C917" s="1" t="n">
        <v>46036</v>
      </c>
      <c r="D917" t="inlineStr">
        <is>
          <t>JÄMTLANDS LÄN</t>
        </is>
      </c>
      <c r="E917" t="inlineStr">
        <is>
          <t>RAGUNDA</t>
        </is>
      </c>
      <c r="G917" t="n">
        <v>4.4</v>
      </c>
      <c r="H917" t="n">
        <v>0</v>
      </c>
      <c r="I917" t="n">
        <v>0</v>
      </c>
      <c r="J917" t="n">
        <v>0</v>
      </c>
      <c r="K917" t="n">
        <v>0</v>
      </c>
      <c r="L917" t="n">
        <v>0</v>
      </c>
      <c r="M917" t="n">
        <v>0</v>
      </c>
      <c r="N917" t="n">
        <v>0</v>
      </c>
      <c r="O917" t="n">
        <v>0</v>
      </c>
      <c r="P917" t="n">
        <v>0</v>
      </c>
      <c r="Q917" t="n">
        <v>0</v>
      </c>
      <c r="R917" s="2" t="inlineStr"/>
    </row>
    <row r="918" ht="15" customHeight="1">
      <c r="A918" t="inlineStr">
        <is>
          <t>A 44766-2024</t>
        </is>
      </c>
      <c r="B918" s="1" t="n">
        <v>45574.62297453704</v>
      </c>
      <c r="C918" s="1" t="n">
        <v>46036</v>
      </c>
      <c r="D918" t="inlineStr">
        <is>
          <t>JÄMTLANDS LÄN</t>
        </is>
      </c>
      <c r="E918" t="inlineStr">
        <is>
          <t>RAGUNDA</t>
        </is>
      </c>
      <c r="G918" t="n">
        <v>3.2</v>
      </c>
      <c r="H918" t="n">
        <v>0</v>
      </c>
      <c r="I918" t="n">
        <v>0</v>
      </c>
      <c r="J918" t="n">
        <v>0</v>
      </c>
      <c r="K918" t="n">
        <v>0</v>
      </c>
      <c r="L918" t="n">
        <v>0</v>
      </c>
      <c r="M918" t="n">
        <v>0</v>
      </c>
      <c r="N918" t="n">
        <v>0</v>
      </c>
      <c r="O918" t="n">
        <v>0</v>
      </c>
      <c r="P918" t="n">
        <v>0</v>
      </c>
      <c r="Q918" t="n">
        <v>0</v>
      </c>
      <c r="R918" s="2" t="inlineStr"/>
    </row>
    <row r="919" ht="15" customHeight="1">
      <c r="A919" t="inlineStr">
        <is>
          <t>A 58918-2025</t>
        </is>
      </c>
      <c r="B919" s="1" t="n">
        <v>45987.52952546296</v>
      </c>
      <c r="C919" s="1" t="n">
        <v>46036</v>
      </c>
      <c r="D919" t="inlineStr">
        <is>
          <t>JÄMTLANDS LÄN</t>
        </is>
      </c>
      <c r="E919" t="inlineStr">
        <is>
          <t>RAGUNDA</t>
        </is>
      </c>
      <c r="G919" t="n">
        <v>2</v>
      </c>
      <c r="H919" t="n">
        <v>0</v>
      </c>
      <c r="I919" t="n">
        <v>0</v>
      </c>
      <c r="J919" t="n">
        <v>0</v>
      </c>
      <c r="K919" t="n">
        <v>0</v>
      </c>
      <c r="L919" t="n">
        <v>0</v>
      </c>
      <c r="M919" t="n">
        <v>0</v>
      </c>
      <c r="N919" t="n">
        <v>0</v>
      </c>
      <c r="O919" t="n">
        <v>0</v>
      </c>
      <c r="P919" t="n">
        <v>0</v>
      </c>
      <c r="Q919" t="n">
        <v>0</v>
      </c>
      <c r="R919" s="2" t="inlineStr"/>
    </row>
    <row r="920" ht="15" customHeight="1">
      <c r="A920" t="inlineStr">
        <is>
          <t>A 16676-2022</t>
        </is>
      </c>
      <c r="B920" s="1" t="n">
        <v>44672.94018518519</v>
      </c>
      <c r="C920" s="1" t="n">
        <v>46036</v>
      </c>
      <c r="D920" t="inlineStr">
        <is>
          <t>JÄMTLANDS LÄN</t>
        </is>
      </c>
      <c r="E920" t="inlineStr">
        <is>
          <t>RAGUNDA</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55536-2024</t>
        </is>
      </c>
      <c r="B921" s="1" t="n">
        <v>45622</v>
      </c>
      <c r="C921" s="1" t="n">
        <v>46036</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44597-2024</t>
        </is>
      </c>
      <c r="B922" s="1" t="n">
        <v>45574.51087962963</v>
      </c>
      <c r="C922" s="1" t="n">
        <v>46036</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44598-2024</t>
        </is>
      </c>
      <c r="B923" s="1" t="n">
        <v>45574.51090277778</v>
      </c>
      <c r="C923" s="1" t="n">
        <v>46036</v>
      </c>
      <c r="D923" t="inlineStr">
        <is>
          <t>JÄMTLANDS LÄN</t>
        </is>
      </c>
      <c r="E923" t="inlineStr">
        <is>
          <t>RAGUNDA</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647-2026</t>
        </is>
      </c>
      <c r="B924" s="1" t="n">
        <v>46029.57357638889</v>
      </c>
      <c r="C924" s="1" t="n">
        <v>46036</v>
      </c>
      <c r="D924" t="inlineStr">
        <is>
          <t>JÄMTLANDS LÄN</t>
        </is>
      </c>
      <c r="E924" t="inlineStr">
        <is>
          <t>RAGUNDA</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58638-2025</t>
        </is>
      </c>
      <c r="B925" s="1" t="n">
        <v>45986.49016203704</v>
      </c>
      <c r="C925" s="1" t="n">
        <v>46036</v>
      </c>
      <c r="D925" t="inlineStr">
        <is>
          <t>JÄMTLANDS LÄN</t>
        </is>
      </c>
      <c r="E925" t="inlineStr">
        <is>
          <t>RAGUNDA</t>
        </is>
      </c>
      <c r="G925" t="n">
        <v>1.3</v>
      </c>
      <c r="H925" t="n">
        <v>0</v>
      </c>
      <c r="I925" t="n">
        <v>0</v>
      </c>
      <c r="J925" t="n">
        <v>0</v>
      </c>
      <c r="K925" t="n">
        <v>0</v>
      </c>
      <c r="L925" t="n">
        <v>0</v>
      </c>
      <c r="M925" t="n">
        <v>0</v>
      </c>
      <c r="N925" t="n">
        <v>0</v>
      </c>
      <c r="O925" t="n">
        <v>0</v>
      </c>
      <c r="P925" t="n">
        <v>0</v>
      </c>
      <c r="Q925" t="n">
        <v>0</v>
      </c>
      <c r="R925" s="2" t="inlineStr"/>
    </row>
    <row r="926" ht="15" customHeight="1">
      <c r="A926" t="inlineStr">
        <is>
          <t>A 557-2026</t>
        </is>
      </c>
      <c r="B926" s="1" t="n">
        <v>46021</v>
      </c>
      <c r="C926" s="1" t="n">
        <v>46036</v>
      </c>
      <c r="D926" t="inlineStr">
        <is>
          <t>JÄMTLANDS LÄN</t>
        </is>
      </c>
      <c r="E926" t="inlineStr">
        <is>
          <t>RAGUNDA</t>
        </is>
      </c>
      <c r="G926" t="n">
        <v>1.5</v>
      </c>
      <c r="H926" t="n">
        <v>0</v>
      </c>
      <c r="I926" t="n">
        <v>0</v>
      </c>
      <c r="J926" t="n">
        <v>0</v>
      </c>
      <c r="K926" t="n">
        <v>0</v>
      </c>
      <c r="L926" t="n">
        <v>0</v>
      </c>
      <c r="M926" t="n">
        <v>0</v>
      </c>
      <c r="N926" t="n">
        <v>0</v>
      </c>
      <c r="O926" t="n">
        <v>0</v>
      </c>
      <c r="P926" t="n">
        <v>0</v>
      </c>
      <c r="Q926" t="n">
        <v>0</v>
      </c>
      <c r="R926" s="2" t="inlineStr"/>
    </row>
    <row r="927" ht="15" customHeight="1">
      <c r="A927" t="inlineStr">
        <is>
          <t>A 58559-2025</t>
        </is>
      </c>
      <c r="B927" s="1" t="n">
        <v>45986.34475694445</v>
      </c>
      <c r="C927" s="1" t="n">
        <v>46036</v>
      </c>
      <c r="D927" t="inlineStr">
        <is>
          <t>JÄMTLANDS LÄN</t>
        </is>
      </c>
      <c r="E927" t="inlineStr">
        <is>
          <t>RAGUNDA</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59214-2025</t>
        </is>
      </c>
      <c r="B928" s="1" t="n">
        <v>45988.61623842592</v>
      </c>
      <c r="C928" s="1" t="n">
        <v>46036</v>
      </c>
      <c r="D928" t="inlineStr">
        <is>
          <t>JÄMTLANDS LÄN</t>
        </is>
      </c>
      <c r="E928" t="inlineStr">
        <is>
          <t>RAGUNDA</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18610-2024</t>
        </is>
      </c>
      <c r="B929" s="1" t="n">
        <v>45425.96230324074</v>
      </c>
      <c r="C929" s="1" t="n">
        <v>46036</v>
      </c>
      <c r="D929" t="inlineStr">
        <is>
          <t>JÄMTLANDS LÄN</t>
        </is>
      </c>
      <c r="E929" t="inlineStr">
        <is>
          <t>RAGUNDA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57116-2024</t>
        </is>
      </c>
      <c r="B930" s="1" t="n">
        <v>45629.36513888889</v>
      </c>
      <c r="C930" s="1" t="n">
        <v>46036</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59499-2025</t>
        </is>
      </c>
      <c r="B931" s="1" t="n">
        <v>45989.61846064815</v>
      </c>
      <c r="C931" s="1" t="n">
        <v>46036</v>
      </c>
      <c r="D931" t="inlineStr">
        <is>
          <t>JÄMTLANDS LÄN</t>
        </is>
      </c>
      <c r="E931" t="inlineStr">
        <is>
          <t>RAGUNDA</t>
        </is>
      </c>
      <c r="G931" t="n">
        <v>2</v>
      </c>
      <c r="H931" t="n">
        <v>0</v>
      </c>
      <c r="I931" t="n">
        <v>0</v>
      </c>
      <c r="J931" t="n">
        <v>0</v>
      </c>
      <c r="K931" t="n">
        <v>0</v>
      </c>
      <c r="L931" t="n">
        <v>0</v>
      </c>
      <c r="M931" t="n">
        <v>0</v>
      </c>
      <c r="N931" t="n">
        <v>0</v>
      </c>
      <c r="O931" t="n">
        <v>0</v>
      </c>
      <c r="P931" t="n">
        <v>0</v>
      </c>
      <c r="Q931" t="n">
        <v>0</v>
      </c>
      <c r="R931" s="2" t="inlineStr"/>
    </row>
    <row r="932" ht="15" customHeight="1">
      <c r="A932" t="inlineStr">
        <is>
          <t>A 3104-2025</t>
        </is>
      </c>
      <c r="B932" s="1" t="n">
        <v>45678.67761574074</v>
      </c>
      <c r="C932" s="1" t="n">
        <v>46036</v>
      </c>
      <c r="D932" t="inlineStr">
        <is>
          <t>JÄMTLANDS LÄN</t>
        </is>
      </c>
      <c r="E932" t="inlineStr">
        <is>
          <t>RAGUNDA</t>
        </is>
      </c>
      <c r="F932" t="inlineStr">
        <is>
          <t>SCA</t>
        </is>
      </c>
      <c r="G932" t="n">
        <v>46.2</v>
      </c>
      <c r="H932" t="n">
        <v>0</v>
      </c>
      <c r="I932" t="n">
        <v>0</v>
      </c>
      <c r="J932" t="n">
        <v>0</v>
      </c>
      <c r="K932" t="n">
        <v>0</v>
      </c>
      <c r="L932" t="n">
        <v>0</v>
      </c>
      <c r="M932" t="n">
        <v>0</v>
      </c>
      <c r="N932" t="n">
        <v>0</v>
      </c>
      <c r="O932" t="n">
        <v>0</v>
      </c>
      <c r="P932" t="n">
        <v>0</v>
      </c>
      <c r="Q932" t="n">
        <v>0</v>
      </c>
      <c r="R932" s="2" t="inlineStr"/>
    </row>
    <row r="933" ht="15" customHeight="1">
      <c r="A933" t="inlineStr">
        <is>
          <t>A 59491-2025</t>
        </is>
      </c>
      <c r="B933" s="1" t="n">
        <v>45989.60376157407</v>
      </c>
      <c r="C933" s="1" t="n">
        <v>46036</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40246-2024</t>
        </is>
      </c>
      <c r="B934" s="1" t="n">
        <v>45554.61583333334</v>
      </c>
      <c r="C934" s="1" t="n">
        <v>46036</v>
      </c>
      <c r="D934" t="inlineStr">
        <is>
          <t>JÄMTLANDS LÄN</t>
        </is>
      </c>
      <c r="E934" t="inlineStr">
        <is>
          <t>RAGUNDA</t>
        </is>
      </c>
      <c r="G934" t="n">
        <v>1</v>
      </c>
      <c r="H934" t="n">
        <v>0</v>
      </c>
      <c r="I934" t="n">
        <v>0</v>
      </c>
      <c r="J934" t="n">
        <v>0</v>
      </c>
      <c r="K934" t="n">
        <v>0</v>
      </c>
      <c r="L934" t="n">
        <v>0</v>
      </c>
      <c r="M934" t="n">
        <v>0</v>
      </c>
      <c r="N934" t="n">
        <v>0</v>
      </c>
      <c r="O934" t="n">
        <v>0</v>
      </c>
      <c r="P934" t="n">
        <v>0</v>
      </c>
      <c r="Q934" t="n">
        <v>0</v>
      </c>
      <c r="R934" s="2" t="inlineStr"/>
    </row>
    <row r="935" ht="15" customHeight="1">
      <c r="A935" t="inlineStr">
        <is>
          <t>A 4878-2022</t>
        </is>
      </c>
      <c r="B935" s="1" t="n">
        <v>44593</v>
      </c>
      <c r="C935" s="1" t="n">
        <v>46036</v>
      </c>
      <c r="D935" t="inlineStr">
        <is>
          <t>JÄMTLANDS LÄN</t>
        </is>
      </c>
      <c r="E935" t="inlineStr">
        <is>
          <t>RAGUNDA</t>
        </is>
      </c>
      <c r="G935" t="n">
        <v>21.7</v>
      </c>
      <c r="H935" t="n">
        <v>0</v>
      </c>
      <c r="I935" t="n">
        <v>0</v>
      </c>
      <c r="J935" t="n">
        <v>0</v>
      </c>
      <c r="K935" t="n">
        <v>0</v>
      </c>
      <c r="L935" t="n">
        <v>0</v>
      </c>
      <c r="M935" t="n">
        <v>0</v>
      </c>
      <c r="N935" t="n">
        <v>0</v>
      </c>
      <c r="O935" t="n">
        <v>0</v>
      </c>
      <c r="P935" t="n">
        <v>0</v>
      </c>
      <c r="Q935" t="n">
        <v>0</v>
      </c>
      <c r="R935" s="2" t="inlineStr"/>
    </row>
    <row r="936" ht="15" customHeight="1">
      <c r="A936" t="inlineStr">
        <is>
          <t>A 57237-2022</t>
        </is>
      </c>
      <c r="B936" s="1" t="n">
        <v>44889</v>
      </c>
      <c r="C936" s="1" t="n">
        <v>46036</v>
      </c>
      <c r="D936" t="inlineStr">
        <is>
          <t>JÄMTLANDS LÄN</t>
        </is>
      </c>
      <c r="E936" t="inlineStr">
        <is>
          <t>RAGUNDA</t>
        </is>
      </c>
      <c r="G936" t="n">
        <v>2.2</v>
      </c>
      <c r="H936" t="n">
        <v>0</v>
      </c>
      <c r="I936" t="n">
        <v>0</v>
      </c>
      <c r="J936" t="n">
        <v>0</v>
      </c>
      <c r="K936" t="n">
        <v>0</v>
      </c>
      <c r="L936" t="n">
        <v>0</v>
      </c>
      <c r="M936" t="n">
        <v>0</v>
      </c>
      <c r="N936" t="n">
        <v>0</v>
      </c>
      <c r="O936" t="n">
        <v>0</v>
      </c>
      <c r="P936" t="n">
        <v>0</v>
      </c>
      <c r="Q936" t="n">
        <v>0</v>
      </c>
      <c r="R936" s="2" t="inlineStr"/>
    </row>
    <row r="937" ht="15" customHeight="1">
      <c r="A937" t="inlineStr">
        <is>
          <t>A 1333-2026</t>
        </is>
      </c>
      <c r="B937" s="1" t="n">
        <v>46031.57340277778</v>
      </c>
      <c r="C937" s="1" t="n">
        <v>46036</v>
      </c>
      <c r="D937" t="inlineStr">
        <is>
          <t>JÄMTLANDS LÄN</t>
        </is>
      </c>
      <c r="E937" t="inlineStr">
        <is>
          <t>RAGUNDA</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59503-2025</t>
        </is>
      </c>
      <c r="B938" s="1" t="n">
        <v>45989.62703703704</v>
      </c>
      <c r="C938" s="1" t="n">
        <v>46036</v>
      </c>
      <c r="D938" t="inlineStr">
        <is>
          <t>JÄMTLANDS LÄN</t>
        </is>
      </c>
      <c r="E938" t="inlineStr">
        <is>
          <t>RAGUNDA</t>
        </is>
      </c>
      <c r="G938" t="n">
        <v>0.6</v>
      </c>
      <c r="H938" t="n">
        <v>0</v>
      </c>
      <c r="I938" t="n">
        <v>0</v>
      </c>
      <c r="J938" t="n">
        <v>0</v>
      </c>
      <c r="K938" t="n">
        <v>0</v>
      </c>
      <c r="L938" t="n">
        <v>0</v>
      </c>
      <c r="M938" t="n">
        <v>0</v>
      </c>
      <c r="N938" t="n">
        <v>0</v>
      </c>
      <c r="O938" t="n">
        <v>0</v>
      </c>
      <c r="P938" t="n">
        <v>0</v>
      </c>
      <c r="Q938" t="n">
        <v>0</v>
      </c>
      <c r="R938" s="2" t="inlineStr"/>
    </row>
    <row r="939" ht="15" customHeight="1">
      <c r="A939" t="inlineStr">
        <is>
          <t>A 2133-2023</t>
        </is>
      </c>
      <c r="B939" s="1" t="n">
        <v>44939</v>
      </c>
      <c r="C939" s="1" t="n">
        <v>46036</v>
      </c>
      <c r="D939" t="inlineStr">
        <is>
          <t>JÄMTLANDS LÄN</t>
        </is>
      </c>
      <c r="E939" t="inlineStr">
        <is>
          <t>RAGUNDA</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19419-2024</t>
        </is>
      </c>
      <c r="B940" s="1" t="n">
        <v>45429</v>
      </c>
      <c r="C940" s="1" t="n">
        <v>46036</v>
      </c>
      <c r="D940" t="inlineStr">
        <is>
          <t>JÄMTLANDS LÄN</t>
        </is>
      </c>
      <c r="E940" t="inlineStr">
        <is>
          <t>RAGUNDA</t>
        </is>
      </c>
      <c r="G940" t="n">
        <v>3.5</v>
      </c>
      <c r="H940" t="n">
        <v>0</v>
      </c>
      <c r="I940" t="n">
        <v>0</v>
      </c>
      <c r="J940" t="n">
        <v>0</v>
      </c>
      <c r="K940" t="n">
        <v>0</v>
      </c>
      <c r="L940" t="n">
        <v>0</v>
      </c>
      <c r="M940" t="n">
        <v>0</v>
      </c>
      <c r="N940" t="n">
        <v>0</v>
      </c>
      <c r="O940" t="n">
        <v>0</v>
      </c>
      <c r="P940" t="n">
        <v>0</v>
      </c>
      <c r="Q940" t="n">
        <v>0</v>
      </c>
      <c r="R940" s="2" t="inlineStr"/>
    </row>
    <row r="941" ht="15" customHeight="1">
      <c r="A941" t="inlineStr">
        <is>
          <t>A 59692-2025</t>
        </is>
      </c>
      <c r="B941" s="1" t="n">
        <v>45992.49001157407</v>
      </c>
      <c r="C941" s="1" t="n">
        <v>46036</v>
      </c>
      <c r="D941" t="inlineStr">
        <is>
          <t>JÄMTLANDS LÄN</t>
        </is>
      </c>
      <c r="E941" t="inlineStr">
        <is>
          <t>RAGUNDA</t>
        </is>
      </c>
      <c r="G941" t="n">
        <v>2.7</v>
      </c>
      <c r="H941" t="n">
        <v>0</v>
      </c>
      <c r="I941" t="n">
        <v>0</v>
      </c>
      <c r="J941" t="n">
        <v>0</v>
      </c>
      <c r="K941" t="n">
        <v>0</v>
      </c>
      <c r="L941" t="n">
        <v>0</v>
      </c>
      <c r="M941" t="n">
        <v>0</v>
      </c>
      <c r="N941" t="n">
        <v>0</v>
      </c>
      <c r="O941" t="n">
        <v>0</v>
      </c>
      <c r="P941" t="n">
        <v>0</v>
      </c>
      <c r="Q941" t="n">
        <v>0</v>
      </c>
      <c r="R941" s="2" t="inlineStr"/>
    </row>
    <row r="942" ht="15" customHeight="1">
      <c r="A942" t="inlineStr">
        <is>
          <t>A 59738-2025</t>
        </is>
      </c>
      <c r="B942" s="1" t="n">
        <v>45992.57408564815</v>
      </c>
      <c r="C942" s="1" t="n">
        <v>46036</v>
      </c>
      <c r="D942" t="inlineStr">
        <is>
          <t>JÄMTLANDS LÄN</t>
        </is>
      </c>
      <c r="E942" t="inlineStr">
        <is>
          <t>RAGUNDA</t>
        </is>
      </c>
      <c r="F942" t="inlineStr">
        <is>
          <t>SCA</t>
        </is>
      </c>
      <c r="G942" t="n">
        <v>12.5</v>
      </c>
      <c r="H942" t="n">
        <v>0</v>
      </c>
      <c r="I942" t="n">
        <v>0</v>
      </c>
      <c r="J942" t="n">
        <v>0</v>
      </c>
      <c r="K942" t="n">
        <v>0</v>
      </c>
      <c r="L942" t="n">
        <v>0</v>
      </c>
      <c r="M942" t="n">
        <v>0</v>
      </c>
      <c r="N942" t="n">
        <v>0</v>
      </c>
      <c r="O942" t="n">
        <v>0</v>
      </c>
      <c r="P942" t="n">
        <v>0</v>
      </c>
      <c r="Q942" t="n">
        <v>0</v>
      </c>
      <c r="R942" s="2" t="inlineStr"/>
    </row>
    <row r="943" ht="15" customHeight="1">
      <c r="A943" t="inlineStr">
        <is>
          <t>A 59739-2025</t>
        </is>
      </c>
      <c r="B943" s="1" t="n">
        <v>45992.57417824074</v>
      </c>
      <c r="C943" s="1" t="n">
        <v>46036</v>
      </c>
      <c r="D943" t="inlineStr">
        <is>
          <t>JÄMTLANDS LÄN</t>
        </is>
      </c>
      <c r="E943" t="inlineStr">
        <is>
          <t>RAGUNDA</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19383-2025</t>
        </is>
      </c>
      <c r="B944" s="1" t="n">
        <v>45769.65688657408</v>
      </c>
      <c r="C944" s="1" t="n">
        <v>46036</v>
      </c>
      <c r="D944" t="inlineStr">
        <is>
          <t>JÄMTLANDS LÄN</t>
        </is>
      </c>
      <c r="E944" t="inlineStr">
        <is>
          <t>RAGUNDA</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59740-2025</t>
        </is>
      </c>
      <c r="B945" s="1" t="n">
        <v>45992.5743287037</v>
      </c>
      <c r="C945" s="1" t="n">
        <v>46036</v>
      </c>
      <c r="D945" t="inlineStr">
        <is>
          <t>JÄMTLANDS LÄN</t>
        </is>
      </c>
      <c r="E945" t="inlineStr">
        <is>
          <t>RAGUNDA</t>
        </is>
      </c>
      <c r="F945" t="inlineStr">
        <is>
          <t>SCA</t>
        </is>
      </c>
      <c r="G945" t="n">
        <v>14.1</v>
      </c>
      <c r="H945" t="n">
        <v>0</v>
      </c>
      <c r="I945" t="n">
        <v>0</v>
      </c>
      <c r="J945" t="n">
        <v>0</v>
      </c>
      <c r="K945" t="n">
        <v>0</v>
      </c>
      <c r="L945" t="n">
        <v>0</v>
      </c>
      <c r="M945" t="n">
        <v>0</v>
      </c>
      <c r="N945" t="n">
        <v>0</v>
      </c>
      <c r="O945" t="n">
        <v>0</v>
      </c>
      <c r="P945" t="n">
        <v>0</v>
      </c>
      <c r="Q945" t="n">
        <v>0</v>
      </c>
      <c r="R945" s="2" t="inlineStr"/>
    </row>
    <row r="946" ht="15" customHeight="1">
      <c r="A946" t="inlineStr">
        <is>
          <t>A 49229-2024</t>
        </is>
      </c>
      <c r="B946" s="1" t="n">
        <v>45595.42738425926</v>
      </c>
      <c r="C946" s="1" t="n">
        <v>46036</v>
      </c>
      <c r="D946" t="inlineStr">
        <is>
          <t>JÄMTLANDS LÄN</t>
        </is>
      </c>
      <c r="E946" t="inlineStr">
        <is>
          <t>RAGUNDA</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13700-2023</t>
        </is>
      </c>
      <c r="B947" s="1" t="n">
        <v>45006</v>
      </c>
      <c r="C947" s="1" t="n">
        <v>46036</v>
      </c>
      <c r="D947" t="inlineStr">
        <is>
          <t>JÄMTLANDS LÄN</t>
        </is>
      </c>
      <c r="E947" t="inlineStr">
        <is>
          <t>RAGUNDA</t>
        </is>
      </c>
      <c r="F947" t="inlineStr">
        <is>
          <t>SCA</t>
        </is>
      </c>
      <c r="G947" t="n">
        <v>50.3</v>
      </c>
      <c r="H947" t="n">
        <v>0</v>
      </c>
      <c r="I947" t="n">
        <v>0</v>
      </c>
      <c r="J947" t="n">
        <v>0</v>
      </c>
      <c r="K947" t="n">
        <v>0</v>
      </c>
      <c r="L947" t="n">
        <v>0</v>
      </c>
      <c r="M947" t="n">
        <v>0</v>
      </c>
      <c r="N947" t="n">
        <v>0</v>
      </c>
      <c r="O947" t="n">
        <v>0</v>
      </c>
      <c r="P947" t="n">
        <v>0</v>
      </c>
      <c r="Q947" t="n">
        <v>0</v>
      </c>
      <c r="R947" s="2" t="inlineStr"/>
    </row>
    <row r="948" ht="15" customHeight="1">
      <c r="A948" t="inlineStr">
        <is>
          <t>A 51389-2024</t>
        </is>
      </c>
      <c r="B948" s="1" t="n">
        <v>45604.40540509259</v>
      </c>
      <c r="C948" s="1" t="n">
        <v>46036</v>
      </c>
      <c r="D948" t="inlineStr">
        <is>
          <t>JÄMTLANDS LÄN</t>
        </is>
      </c>
      <c r="E948" t="inlineStr">
        <is>
          <t>RAGUNDA</t>
        </is>
      </c>
      <c r="G948" t="n">
        <v>1.7</v>
      </c>
      <c r="H948" t="n">
        <v>0</v>
      </c>
      <c r="I948" t="n">
        <v>0</v>
      </c>
      <c r="J948" t="n">
        <v>0</v>
      </c>
      <c r="K948" t="n">
        <v>0</v>
      </c>
      <c r="L948" t="n">
        <v>0</v>
      </c>
      <c r="M948" t="n">
        <v>0</v>
      </c>
      <c r="N948" t="n">
        <v>0</v>
      </c>
      <c r="O948" t="n">
        <v>0</v>
      </c>
      <c r="P948" t="n">
        <v>0</v>
      </c>
      <c r="Q948" t="n">
        <v>0</v>
      </c>
      <c r="R948" s="2" t="inlineStr"/>
    </row>
    <row r="949" ht="15" customHeight="1">
      <c r="A949" t="inlineStr">
        <is>
          <t>A 51393-2024</t>
        </is>
      </c>
      <c r="B949" s="1" t="n">
        <v>45604.41625</v>
      </c>
      <c r="C949" s="1" t="n">
        <v>46036</v>
      </c>
      <c r="D949" t="inlineStr">
        <is>
          <t>JÄMTLANDS LÄN</t>
        </is>
      </c>
      <c r="E949" t="inlineStr">
        <is>
          <t>RAGUNDA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59931-2025</t>
        </is>
      </c>
      <c r="B950" s="1" t="n">
        <v>45993.40177083333</v>
      </c>
      <c r="C950" s="1" t="n">
        <v>46036</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59693-2025</t>
        </is>
      </c>
      <c r="B951" s="1" t="n">
        <v>45992.49009259259</v>
      </c>
      <c r="C951" s="1" t="n">
        <v>46036</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61755-2025</t>
        </is>
      </c>
      <c r="B952" s="1" t="n">
        <v>46002</v>
      </c>
      <c r="C952" s="1" t="n">
        <v>46036</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20987-2023</t>
        </is>
      </c>
      <c r="B953" s="1" t="n">
        <v>45056</v>
      </c>
      <c r="C953" s="1" t="n">
        <v>46036</v>
      </c>
      <c r="D953" t="inlineStr">
        <is>
          <t>JÄMTLANDS LÄN</t>
        </is>
      </c>
      <c r="E953" t="inlineStr">
        <is>
          <t>RAGUNDA</t>
        </is>
      </c>
      <c r="G953" t="n">
        <v>1.1</v>
      </c>
      <c r="H953" t="n">
        <v>0</v>
      </c>
      <c r="I953" t="n">
        <v>0</v>
      </c>
      <c r="J953" t="n">
        <v>0</v>
      </c>
      <c r="K953" t="n">
        <v>0</v>
      </c>
      <c r="L953" t="n">
        <v>0</v>
      </c>
      <c r="M953" t="n">
        <v>0</v>
      </c>
      <c r="N953" t="n">
        <v>0</v>
      </c>
      <c r="O953" t="n">
        <v>0</v>
      </c>
      <c r="P953" t="n">
        <v>0</v>
      </c>
      <c r="Q953" t="n">
        <v>0</v>
      </c>
      <c r="R953" s="2" t="inlineStr"/>
    </row>
    <row r="954" ht="15" customHeight="1">
      <c r="A954" t="inlineStr">
        <is>
          <t>A 20994-2023</t>
        </is>
      </c>
      <c r="B954" s="1" t="n">
        <v>45056</v>
      </c>
      <c r="C954" s="1" t="n">
        <v>46036</v>
      </c>
      <c r="D954" t="inlineStr">
        <is>
          <t>JÄMTLANDS LÄN</t>
        </is>
      </c>
      <c r="E954" t="inlineStr">
        <is>
          <t>RAGUNDA</t>
        </is>
      </c>
      <c r="G954" t="n">
        <v>1.3</v>
      </c>
      <c r="H954" t="n">
        <v>0</v>
      </c>
      <c r="I954" t="n">
        <v>0</v>
      </c>
      <c r="J954" t="n">
        <v>0</v>
      </c>
      <c r="K954" t="n">
        <v>0</v>
      </c>
      <c r="L954" t="n">
        <v>0</v>
      </c>
      <c r="M954" t="n">
        <v>0</v>
      </c>
      <c r="N954" t="n">
        <v>0</v>
      </c>
      <c r="O954" t="n">
        <v>0</v>
      </c>
      <c r="P954" t="n">
        <v>0</v>
      </c>
      <c r="Q954" t="n">
        <v>0</v>
      </c>
      <c r="R954" s="2" t="inlineStr"/>
    </row>
    <row r="955" ht="15" customHeight="1">
      <c r="A955" t="inlineStr">
        <is>
          <t>A 60062-2025</t>
        </is>
      </c>
      <c r="B955" s="1" t="n">
        <v>45993.65694444445</v>
      </c>
      <c r="C955" s="1" t="n">
        <v>46036</v>
      </c>
      <c r="D955" t="inlineStr">
        <is>
          <t>JÄMTLANDS LÄN</t>
        </is>
      </c>
      <c r="E955" t="inlineStr">
        <is>
          <t>RAGUNDA</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55669-2023</t>
        </is>
      </c>
      <c r="B956" s="1" t="n">
        <v>45238.96797453704</v>
      </c>
      <c r="C956" s="1" t="n">
        <v>46036</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32063-2024</t>
        </is>
      </c>
      <c r="B957" s="1" t="n">
        <v>45510</v>
      </c>
      <c r="C957" s="1" t="n">
        <v>46036</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10641-2024</t>
        </is>
      </c>
      <c r="B958" s="1" t="n">
        <v>45367.69850694444</v>
      </c>
      <c r="C958" s="1" t="n">
        <v>46036</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10644-2024</t>
        </is>
      </c>
      <c r="B959" s="1" t="n">
        <v>45367.71348379629</v>
      </c>
      <c r="C959" s="1" t="n">
        <v>46036</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20426-2024</t>
        </is>
      </c>
      <c r="B960" s="1" t="n">
        <v>45435</v>
      </c>
      <c r="C960" s="1" t="n">
        <v>46036</v>
      </c>
      <c r="D960" t="inlineStr">
        <is>
          <t>JÄMTLANDS LÄN</t>
        </is>
      </c>
      <c r="E960" t="inlineStr">
        <is>
          <t>RAGUNDA</t>
        </is>
      </c>
      <c r="G960" t="n">
        <v>2.1</v>
      </c>
      <c r="H960" t="n">
        <v>0</v>
      </c>
      <c r="I960" t="n">
        <v>0</v>
      </c>
      <c r="J960" t="n">
        <v>0</v>
      </c>
      <c r="K960" t="n">
        <v>0</v>
      </c>
      <c r="L960" t="n">
        <v>0</v>
      </c>
      <c r="M960" t="n">
        <v>0</v>
      </c>
      <c r="N960" t="n">
        <v>0</v>
      </c>
      <c r="O960" t="n">
        <v>0</v>
      </c>
      <c r="P960" t="n">
        <v>0</v>
      </c>
      <c r="Q960" t="n">
        <v>0</v>
      </c>
      <c r="R960" s="2" t="inlineStr"/>
    </row>
    <row r="961" ht="15" customHeight="1">
      <c r="A961" t="inlineStr">
        <is>
          <t>A 17742-2022</t>
        </is>
      </c>
      <c r="B961" s="1" t="n">
        <v>44680.95246527778</v>
      </c>
      <c r="C961" s="1" t="n">
        <v>46036</v>
      </c>
      <c r="D961" t="inlineStr">
        <is>
          <t>JÄMTLANDS LÄN</t>
        </is>
      </c>
      <c r="E961" t="inlineStr">
        <is>
          <t>RAGUNDA</t>
        </is>
      </c>
      <c r="F961" t="inlineStr">
        <is>
          <t>SCA</t>
        </is>
      </c>
      <c r="G961" t="n">
        <v>7.2</v>
      </c>
      <c r="H961" t="n">
        <v>0</v>
      </c>
      <c r="I961" t="n">
        <v>0</v>
      </c>
      <c r="J961" t="n">
        <v>0</v>
      </c>
      <c r="K961" t="n">
        <v>0</v>
      </c>
      <c r="L961" t="n">
        <v>0</v>
      </c>
      <c r="M961" t="n">
        <v>0</v>
      </c>
      <c r="N961" t="n">
        <v>0</v>
      </c>
      <c r="O961" t="n">
        <v>0</v>
      </c>
      <c r="P961" t="n">
        <v>0</v>
      </c>
      <c r="Q961" t="n">
        <v>0</v>
      </c>
      <c r="R961" s="2" t="inlineStr"/>
    </row>
    <row r="962" ht="15" customHeight="1">
      <c r="A962" t="inlineStr">
        <is>
          <t>A 30825-2023</t>
        </is>
      </c>
      <c r="B962" s="1" t="n">
        <v>45112.94310185185</v>
      </c>
      <c r="C962" s="1" t="n">
        <v>46036</v>
      </c>
      <c r="D962" t="inlineStr">
        <is>
          <t>JÄMTLANDS LÄN</t>
        </is>
      </c>
      <c r="E962" t="inlineStr">
        <is>
          <t>RAGUNDA</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9084-2023</t>
        </is>
      </c>
      <c r="B963" s="1" t="n">
        <v>44979</v>
      </c>
      <c r="C963" s="1" t="n">
        <v>46036</v>
      </c>
      <c r="D963" t="inlineStr">
        <is>
          <t>JÄMTLANDS LÄN</t>
        </is>
      </c>
      <c r="E963" t="inlineStr">
        <is>
          <t>RAGUNDA</t>
        </is>
      </c>
      <c r="G963" t="n">
        <v>1.9</v>
      </c>
      <c r="H963" t="n">
        <v>0</v>
      </c>
      <c r="I963" t="n">
        <v>0</v>
      </c>
      <c r="J963" t="n">
        <v>0</v>
      </c>
      <c r="K963" t="n">
        <v>0</v>
      </c>
      <c r="L963" t="n">
        <v>0</v>
      </c>
      <c r="M963" t="n">
        <v>0</v>
      </c>
      <c r="N963" t="n">
        <v>0</v>
      </c>
      <c r="O963" t="n">
        <v>0</v>
      </c>
      <c r="P963" t="n">
        <v>0</v>
      </c>
      <c r="Q963" t="n">
        <v>0</v>
      </c>
      <c r="R963" s="2" t="inlineStr"/>
    </row>
    <row r="964" ht="15" customHeight="1">
      <c r="A964" t="inlineStr">
        <is>
          <t>A 9326-2024</t>
        </is>
      </c>
      <c r="B964" s="1" t="n">
        <v>45358.95818287037</v>
      </c>
      <c r="C964" s="1" t="n">
        <v>46036</v>
      </c>
      <c r="D964" t="inlineStr">
        <is>
          <t>JÄMTLANDS LÄN</t>
        </is>
      </c>
      <c r="E964" t="inlineStr">
        <is>
          <t>RAGUNDA</t>
        </is>
      </c>
      <c r="G964" t="n">
        <v>0.7</v>
      </c>
      <c r="H964" t="n">
        <v>0</v>
      </c>
      <c r="I964" t="n">
        <v>0</v>
      </c>
      <c r="J964" t="n">
        <v>0</v>
      </c>
      <c r="K964" t="n">
        <v>0</v>
      </c>
      <c r="L964" t="n">
        <v>0</v>
      </c>
      <c r="M964" t="n">
        <v>0</v>
      </c>
      <c r="N964" t="n">
        <v>0</v>
      </c>
      <c r="O964" t="n">
        <v>0</v>
      </c>
      <c r="P964" t="n">
        <v>0</v>
      </c>
      <c r="Q964" t="n">
        <v>0</v>
      </c>
      <c r="R964" s="2" t="inlineStr"/>
    </row>
    <row r="965" ht="15" customHeight="1">
      <c r="A965" t="inlineStr">
        <is>
          <t>A 7520-2023</t>
        </is>
      </c>
      <c r="B965" s="1" t="n">
        <v>44971</v>
      </c>
      <c r="C965" s="1" t="n">
        <v>46036</v>
      </c>
      <c r="D965" t="inlineStr">
        <is>
          <t>JÄMTLANDS LÄN</t>
        </is>
      </c>
      <c r="E965" t="inlineStr">
        <is>
          <t>RAGUNDA</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21662-2023</t>
        </is>
      </c>
      <c r="B966" s="1" t="n">
        <v>45063</v>
      </c>
      <c r="C966" s="1" t="n">
        <v>46036</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44727-2024</t>
        </is>
      </c>
      <c r="B967" s="1" t="n">
        <v>45574.57967592592</v>
      </c>
      <c r="C967" s="1" t="n">
        <v>46036</v>
      </c>
      <c r="D967" t="inlineStr">
        <is>
          <t>JÄMTLANDS LÄN</t>
        </is>
      </c>
      <c r="E967" t="inlineStr">
        <is>
          <t>RAGUNDA</t>
        </is>
      </c>
      <c r="G967" t="n">
        <v>4.7</v>
      </c>
      <c r="H967" t="n">
        <v>0</v>
      </c>
      <c r="I967" t="n">
        <v>0</v>
      </c>
      <c r="J967" t="n">
        <v>0</v>
      </c>
      <c r="K967" t="n">
        <v>0</v>
      </c>
      <c r="L967" t="n">
        <v>0</v>
      </c>
      <c r="M967" t="n">
        <v>0</v>
      </c>
      <c r="N967" t="n">
        <v>0</v>
      </c>
      <c r="O967" t="n">
        <v>0</v>
      </c>
      <c r="P967" t="n">
        <v>0</v>
      </c>
      <c r="Q967" t="n">
        <v>0</v>
      </c>
      <c r="R967" s="2" t="inlineStr"/>
    </row>
    <row r="968" ht="15" customHeight="1">
      <c r="A968" t="inlineStr">
        <is>
          <t>A 21083-2024</t>
        </is>
      </c>
      <c r="B968" s="1" t="n">
        <v>45439.92752314815</v>
      </c>
      <c r="C968" s="1" t="n">
        <v>46036</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462-2023</t>
        </is>
      </c>
      <c r="B969" s="1" t="n">
        <v>44929</v>
      </c>
      <c r="C969" s="1" t="n">
        <v>46036</v>
      </c>
      <c r="D969" t="inlineStr">
        <is>
          <t>JÄMTLANDS LÄN</t>
        </is>
      </c>
      <c r="E969" t="inlineStr">
        <is>
          <t>RAGUNDA</t>
        </is>
      </c>
      <c r="G969" t="n">
        <v>4.5</v>
      </c>
      <c r="H969" t="n">
        <v>0</v>
      </c>
      <c r="I969" t="n">
        <v>0</v>
      </c>
      <c r="J969" t="n">
        <v>0</v>
      </c>
      <c r="K969" t="n">
        <v>0</v>
      </c>
      <c r="L969" t="n">
        <v>0</v>
      </c>
      <c r="M969" t="n">
        <v>0</v>
      </c>
      <c r="N969" t="n">
        <v>0</v>
      </c>
      <c r="O969" t="n">
        <v>0</v>
      </c>
      <c r="P969" t="n">
        <v>0</v>
      </c>
      <c r="Q969" t="n">
        <v>0</v>
      </c>
      <c r="R969" s="2" t="inlineStr"/>
    </row>
    <row r="970" ht="15" customHeight="1">
      <c r="A970" t="inlineStr">
        <is>
          <t>A 12050-2023</t>
        </is>
      </c>
      <c r="B970" s="1" t="n">
        <v>44995.98644675926</v>
      </c>
      <c r="C970" s="1" t="n">
        <v>46036</v>
      </c>
      <c r="D970" t="inlineStr">
        <is>
          <t>JÄMTLANDS LÄN</t>
        </is>
      </c>
      <c r="E970" t="inlineStr">
        <is>
          <t>RAGUNDA</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62358-2023</t>
        </is>
      </c>
      <c r="B971" s="1" t="n">
        <v>45267</v>
      </c>
      <c r="C971" s="1" t="n">
        <v>46036</v>
      </c>
      <c r="D971" t="inlineStr">
        <is>
          <t>JÄMTLANDS LÄN</t>
        </is>
      </c>
      <c r="E971" t="inlineStr">
        <is>
          <t>RAGUNDA</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18820-2023</t>
        </is>
      </c>
      <c r="B972" s="1" t="n">
        <v>45042</v>
      </c>
      <c r="C972" s="1" t="n">
        <v>46036</v>
      </c>
      <c r="D972" t="inlineStr">
        <is>
          <t>JÄMTLANDS LÄN</t>
        </is>
      </c>
      <c r="E972" t="inlineStr">
        <is>
          <t>RAGUNDA</t>
        </is>
      </c>
      <c r="G972" t="n">
        <v>18.8</v>
      </c>
      <c r="H972" t="n">
        <v>0</v>
      </c>
      <c r="I972" t="n">
        <v>0</v>
      </c>
      <c r="J972" t="n">
        <v>0</v>
      </c>
      <c r="K972" t="n">
        <v>0</v>
      </c>
      <c r="L972" t="n">
        <v>0</v>
      </c>
      <c r="M972" t="n">
        <v>0</v>
      </c>
      <c r="N972" t="n">
        <v>0</v>
      </c>
      <c r="O972" t="n">
        <v>0</v>
      </c>
      <c r="P972" t="n">
        <v>0</v>
      </c>
      <c r="Q972" t="n">
        <v>0</v>
      </c>
      <c r="R972" s="2" t="inlineStr"/>
    </row>
    <row r="973" ht="15" customHeight="1">
      <c r="A973" t="inlineStr">
        <is>
          <t>A 49648-2023</t>
        </is>
      </c>
      <c r="B973" s="1" t="n">
        <v>45211.95061342593</v>
      </c>
      <c r="C973" s="1" t="n">
        <v>46036</v>
      </c>
      <c r="D973" t="inlineStr">
        <is>
          <t>JÄMTLANDS LÄN</t>
        </is>
      </c>
      <c r="E973" t="inlineStr">
        <is>
          <t>RAGUNDA</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51537-2022</t>
        </is>
      </c>
      <c r="B974" s="1" t="n">
        <v>44869</v>
      </c>
      <c r="C974" s="1" t="n">
        <v>46036</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59044-2022</t>
        </is>
      </c>
      <c r="B975" s="1" t="n">
        <v>44903</v>
      </c>
      <c r="C975" s="1" t="n">
        <v>46036</v>
      </c>
      <c r="D975" t="inlineStr">
        <is>
          <t>JÄMTLANDS LÄN</t>
        </is>
      </c>
      <c r="E975" t="inlineStr">
        <is>
          <t>RAGUNDA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5958-2023</t>
        </is>
      </c>
      <c r="B976" s="1" t="n">
        <v>44963</v>
      </c>
      <c r="C976" s="1" t="n">
        <v>46036</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8779-2025</t>
        </is>
      </c>
      <c r="B977" s="1" t="n">
        <v>45712.61552083334</v>
      </c>
      <c r="C977" s="1" t="n">
        <v>46036</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61400-2022</t>
        </is>
      </c>
      <c r="B978" s="1" t="n">
        <v>44915</v>
      </c>
      <c r="C978" s="1" t="n">
        <v>46036</v>
      </c>
      <c r="D978" t="inlineStr">
        <is>
          <t>JÄMTLANDS LÄN</t>
        </is>
      </c>
      <c r="E978" t="inlineStr">
        <is>
          <t>RAGUNDA</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46036</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56286-2023</t>
        </is>
      </c>
      <c r="B980" s="1" t="n">
        <v>45241.95741898148</v>
      </c>
      <c r="C980" s="1" t="n">
        <v>46036</v>
      </c>
      <c r="D980" t="inlineStr">
        <is>
          <t>JÄMTLANDS LÄN</t>
        </is>
      </c>
      <c r="E980" t="inlineStr">
        <is>
          <t>RAGUNDA</t>
        </is>
      </c>
      <c r="F980" t="inlineStr">
        <is>
          <t>SCA</t>
        </is>
      </c>
      <c r="G980" t="n">
        <v>4.5</v>
      </c>
      <c r="H980" t="n">
        <v>0</v>
      </c>
      <c r="I980" t="n">
        <v>0</v>
      </c>
      <c r="J980" t="n">
        <v>0</v>
      </c>
      <c r="K980" t="n">
        <v>0</v>
      </c>
      <c r="L980" t="n">
        <v>0</v>
      </c>
      <c r="M980" t="n">
        <v>0</v>
      </c>
      <c r="N980" t="n">
        <v>0</v>
      </c>
      <c r="O980" t="n">
        <v>0</v>
      </c>
      <c r="P980" t="n">
        <v>0</v>
      </c>
      <c r="Q980" t="n">
        <v>0</v>
      </c>
      <c r="R980" s="2" t="inlineStr"/>
    </row>
    <row r="981" ht="15" customHeight="1">
      <c r="A981" t="inlineStr">
        <is>
          <t>A 56287-2023</t>
        </is>
      </c>
      <c r="B981" s="1" t="n">
        <v>45241</v>
      </c>
      <c r="C981" s="1" t="n">
        <v>46036</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62135-2024</t>
        </is>
      </c>
      <c r="B982" s="1" t="n">
        <v>45656.64223379629</v>
      </c>
      <c r="C982" s="1" t="n">
        <v>46036</v>
      </c>
      <c r="D982" t="inlineStr">
        <is>
          <t>JÄMTLANDS LÄN</t>
        </is>
      </c>
      <c r="E982" t="inlineStr">
        <is>
          <t>RAGUNDA</t>
        </is>
      </c>
      <c r="G982" t="n">
        <v>1.5</v>
      </c>
      <c r="H982" t="n">
        <v>0</v>
      </c>
      <c r="I982" t="n">
        <v>0</v>
      </c>
      <c r="J982" t="n">
        <v>0</v>
      </c>
      <c r="K982" t="n">
        <v>0</v>
      </c>
      <c r="L982" t="n">
        <v>0</v>
      </c>
      <c r="M982" t="n">
        <v>0</v>
      </c>
      <c r="N982" t="n">
        <v>0</v>
      </c>
      <c r="O982" t="n">
        <v>0</v>
      </c>
      <c r="P982" t="n">
        <v>0</v>
      </c>
      <c r="Q982" t="n">
        <v>0</v>
      </c>
      <c r="R982" s="2" t="inlineStr"/>
    </row>
    <row r="983" ht="15" customHeight="1">
      <c r="A983" t="inlineStr">
        <is>
          <t>A 18248-2023</t>
        </is>
      </c>
      <c r="B983" s="1" t="n">
        <v>45040</v>
      </c>
      <c r="C983" s="1" t="n">
        <v>46036</v>
      </c>
      <c r="D983" t="inlineStr">
        <is>
          <t>JÄMTLANDS LÄN</t>
        </is>
      </c>
      <c r="E983" t="inlineStr">
        <is>
          <t>RAGUNDA</t>
        </is>
      </c>
      <c r="G983" t="n">
        <v>4.3</v>
      </c>
      <c r="H983" t="n">
        <v>0</v>
      </c>
      <c r="I983" t="n">
        <v>0</v>
      </c>
      <c r="J983" t="n">
        <v>0</v>
      </c>
      <c r="K983" t="n">
        <v>0</v>
      </c>
      <c r="L983" t="n">
        <v>0</v>
      </c>
      <c r="M983" t="n">
        <v>0</v>
      </c>
      <c r="N983" t="n">
        <v>0</v>
      </c>
      <c r="O983" t="n">
        <v>0</v>
      </c>
      <c r="P983" t="n">
        <v>0</v>
      </c>
      <c r="Q983" t="n">
        <v>0</v>
      </c>
      <c r="R983" s="2" t="inlineStr"/>
    </row>
    <row r="984" ht="15" customHeight="1">
      <c r="A984" t="inlineStr">
        <is>
          <t>A 8802-2022</t>
        </is>
      </c>
      <c r="B984" s="1" t="n">
        <v>44614</v>
      </c>
      <c r="C984" s="1" t="n">
        <v>46036</v>
      </c>
      <c r="D984" t="inlineStr">
        <is>
          <t>JÄMTLANDS LÄN</t>
        </is>
      </c>
      <c r="E984" t="inlineStr">
        <is>
          <t>RAGUNDA</t>
        </is>
      </c>
      <c r="G984" t="n">
        <v>2.8</v>
      </c>
      <c r="H984" t="n">
        <v>0</v>
      </c>
      <c r="I984" t="n">
        <v>0</v>
      </c>
      <c r="J984" t="n">
        <v>0</v>
      </c>
      <c r="K984" t="n">
        <v>0</v>
      </c>
      <c r="L984" t="n">
        <v>0</v>
      </c>
      <c r="M984" t="n">
        <v>0</v>
      </c>
      <c r="N984" t="n">
        <v>0</v>
      </c>
      <c r="O984" t="n">
        <v>0</v>
      </c>
      <c r="P984" t="n">
        <v>0</v>
      </c>
      <c r="Q984" t="n">
        <v>0</v>
      </c>
      <c r="R984" s="2" t="inlineStr"/>
    </row>
    <row r="985" ht="15" customHeight="1">
      <c r="A985" t="inlineStr">
        <is>
          <t>A 39489-2023</t>
        </is>
      </c>
      <c r="B985" s="1" t="n">
        <v>45166</v>
      </c>
      <c r="C985" s="1" t="n">
        <v>46036</v>
      </c>
      <c r="D985" t="inlineStr">
        <is>
          <t>JÄMTLANDS LÄN</t>
        </is>
      </c>
      <c r="E985" t="inlineStr">
        <is>
          <t>RAGUNDA</t>
        </is>
      </c>
      <c r="G985" t="n">
        <v>5</v>
      </c>
      <c r="H985" t="n">
        <v>0</v>
      </c>
      <c r="I985" t="n">
        <v>0</v>
      </c>
      <c r="J985" t="n">
        <v>0</v>
      </c>
      <c r="K985" t="n">
        <v>0</v>
      </c>
      <c r="L985" t="n">
        <v>0</v>
      </c>
      <c r="M985" t="n">
        <v>0</v>
      </c>
      <c r="N985" t="n">
        <v>0</v>
      </c>
      <c r="O985" t="n">
        <v>0</v>
      </c>
      <c r="P985" t="n">
        <v>0</v>
      </c>
      <c r="Q985" t="n">
        <v>0</v>
      </c>
      <c r="R985" s="2" t="inlineStr"/>
    </row>
    <row r="986" ht="15" customHeight="1">
      <c r="A986" t="inlineStr">
        <is>
          <t>A 55214-2022</t>
        </is>
      </c>
      <c r="B986" s="1" t="n">
        <v>44886</v>
      </c>
      <c r="C986" s="1" t="n">
        <v>46036</v>
      </c>
      <c r="D986" t="inlineStr">
        <is>
          <t>JÄMTLANDS LÄN</t>
        </is>
      </c>
      <c r="E986" t="inlineStr">
        <is>
          <t>RAGUNDA</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7722-2023</t>
        </is>
      </c>
      <c r="B987" s="1" t="n">
        <v>44972.94140046297</v>
      </c>
      <c r="C987" s="1" t="n">
        <v>46036</v>
      </c>
      <c r="D987" t="inlineStr">
        <is>
          <t>JÄMTLANDS LÄN</t>
        </is>
      </c>
      <c r="E987" t="inlineStr">
        <is>
          <t>RAGUNDA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12204-2025</t>
        </is>
      </c>
      <c r="B988" s="1" t="n">
        <v>45729.51074074074</v>
      </c>
      <c r="C988" s="1" t="n">
        <v>46036</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13299-2024</t>
        </is>
      </c>
      <c r="B989" s="1" t="n">
        <v>45386.68003472222</v>
      </c>
      <c r="C989" s="1" t="n">
        <v>46036</v>
      </c>
      <c r="D989" t="inlineStr">
        <is>
          <t>JÄMTLANDS LÄN</t>
        </is>
      </c>
      <c r="E989" t="inlineStr">
        <is>
          <t>RAGUNDA</t>
        </is>
      </c>
      <c r="G989" t="n">
        <v>1.9</v>
      </c>
      <c r="H989" t="n">
        <v>0</v>
      </c>
      <c r="I989" t="n">
        <v>0</v>
      </c>
      <c r="J989" t="n">
        <v>0</v>
      </c>
      <c r="K989" t="n">
        <v>0</v>
      </c>
      <c r="L989" t="n">
        <v>0</v>
      </c>
      <c r="M989" t="n">
        <v>0</v>
      </c>
      <c r="N989" t="n">
        <v>0</v>
      </c>
      <c r="O989" t="n">
        <v>0</v>
      </c>
      <c r="P989" t="n">
        <v>0</v>
      </c>
      <c r="Q989" t="n">
        <v>0</v>
      </c>
      <c r="R989" s="2" t="inlineStr"/>
    </row>
    <row r="990" ht="15" customHeight="1">
      <c r="A990" t="inlineStr">
        <is>
          <t>A 15024-2022</t>
        </is>
      </c>
      <c r="B990" s="1" t="n">
        <v>44657</v>
      </c>
      <c r="C990" s="1" t="n">
        <v>46036</v>
      </c>
      <c r="D990" t="inlineStr">
        <is>
          <t>JÄMTLANDS LÄN</t>
        </is>
      </c>
      <c r="E990" t="inlineStr">
        <is>
          <t>RAGUNDA</t>
        </is>
      </c>
      <c r="G990" t="n">
        <v>1.8</v>
      </c>
      <c r="H990" t="n">
        <v>0</v>
      </c>
      <c r="I990" t="n">
        <v>0</v>
      </c>
      <c r="J990" t="n">
        <v>0</v>
      </c>
      <c r="K990" t="n">
        <v>0</v>
      </c>
      <c r="L990" t="n">
        <v>0</v>
      </c>
      <c r="M990" t="n">
        <v>0</v>
      </c>
      <c r="N990" t="n">
        <v>0</v>
      </c>
      <c r="O990" t="n">
        <v>0</v>
      </c>
      <c r="P990" t="n">
        <v>0</v>
      </c>
      <c r="Q990" t="n">
        <v>0</v>
      </c>
      <c r="R990" s="2" t="inlineStr"/>
    </row>
    <row r="991" ht="15" customHeight="1">
      <c r="A991" t="inlineStr">
        <is>
          <t>A 891-2022</t>
        </is>
      </c>
      <c r="B991" s="1" t="n">
        <v>44571</v>
      </c>
      <c r="C991" s="1" t="n">
        <v>46036</v>
      </c>
      <c r="D991" t="inlineStr">
        <is>
          <t>JÄMTLANDS LÄN</t>
        </is>
      </c>
      <c r="E991" t="inlineStr">
        <is>
          <t>RAGUNDA</t>
        </is>
      </c>
      <c r="G991" t="n">
        <v>1.7</v>
      </c>
      <c r="H991" t="n">
        <v>0</v>
      </c>
      <c r="I991" t="n">
        <v>0</v>
      </c>
      <c r="J991" t="n">
        <v>0</v>
      </c>
      <c r="K991" t="n">
        <v>0</v>
      </c>
      <c r="L991" t="n">
        <v>0</v>
      </c>
      <c r="M991" t="n">
        <v>0</v>
      </c>
      <c r="N991" t="n">
        <v>0</v>
      </c>
      <c r="O991" t="n">
        <v>0</v>
      </c>
      <c r="P991" t="n">
        <v>0</v>
      </c>
      <c r="Q991" t="n">
        <v>0</v>
      </c>
      <c r="R991" s="2" t="inlineStr"/>
    </row>
    <row r="992" ht="15" customHeight="1">
      <c r="A992" t="inlineStr">
        <is>
          <t>A 36371-2023</t>
        </is>
      </c>
      <c r="B992" s="1" t="n">
        <v>45149</v>
      </c>
      <c r="C992" s="1" t="n">
        <v>46036</v>
      </c>
      <c r="D992" t="inlineStr">
        <is>
          <t>JÄMTLANDS LÄN</t>
        </is>
      </c>
      <c r="E992" t="inlineStr">
        <is>
          <t>RAGUNDA</t>
        </is>
      </c>
      <c r="G992" t="n">
        <v>25.7</v>
      </c>
      <c r="H992" t="n">
        <v>0</v>
      </c>
      <c r="I992" t="n">
        <v>0</v>
      </c>
      <c r="J992" t="n">
        <v>0</v>
      </c>
      <c r="K992" t="n">
        <v>0</v>
      </c>
      <c r="L992" t="n">
        <v>0</v>
      </c>
      <c r="M992" t="n">
        <v>0</v>
      </c>
      <c r="N992" t="n">
        <v>0</v>
      </c>
      <c r="O992" t="n">
        <v>0</v>
      </c>
      <c r="P992" t="n">
        <v>0</v>
      </c>
      <c r="Q992" t="n">
        <v>0</v>
      </c>
      <c r="R992" s="2" t="inlineStr"/>
    </row>
    <row r="993" ht="15" customHeight="1">
      <c r="A993" t="inlineStr">
        <is>
          <t>A 56702-2023</t>
        </is>
      </c>
      <c r="B993" s="1" t="n">
        <v>45243</v>
      </c>
      <c r="C993" s="1" t="n">
        <v>46036</v>
      </c>
      <c r="D993" t="inlineStr">
        <is>
          <t>JÄMTLANDS LÄN</t>
        </is>
      </c>
      <c r="E993" t="inlineStr">
        <is>
          <t>RAGUNDA</t>
        </is>
      </c>
      <c r="F993" t="inlineStr">
        <is>
          <t>SCA</t>
        </is>
      </c>
      <c r="G993" t="n">
        <v>10.3</v>
      </c>
      <c r="H993" t="n">
        <v>0</v>
      </c>
      <c r="I993" t="n">
        <v>0</v>
      </c>
      <c r="J993" t="n">
        <v>0</v>
      </c>
      <c r="K993" t="n">
        <v>0</v>
      </c>
      <c r="L993" t="n">
        <v>0</v>
      </c>
      <c r="M993" t="n">
        <v>0</v>
      </c>
      <c r="N993" t="n">
        <v>0</v>
      </c>
      <c r="O993" t="n">
        <v>0</v>
      </c>
      <c r="P993" t="n">
        <v>0</v>
      </c>
      <c r="Q993" t="n">
        <v>0</v>
      </c>
      <c r="R993" s="2" t="inlineStr"/>
    </row>
    <row r="994" ht="15" customHeight="1">
      <c r="A994" t="inlineStr">
        <is>
          <t>A 32259-2024</t>
        </is>
      </c>
      <c r="B994" s="1" t="n">
        <v>45511</v>
      </c>
      <c r="C994" s="1" t="n">
        <v>46036</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5313-2025</t>
        </is>
      </c>
      <c r="B995" s="1" t="n">
        <v>45692.51069444444</v>
      </c>
      <c r="C995" s="1" t="n">
        <v>46036</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5357-2025</t>
        </is>
      </c>
      <c r="B996" s="1" t="n">
        <v>45692.57326388889</v>
      </c>
      <c r="C996" s="1" t="n">
        <v>46036</v>
      </c>
      <c r="D996" t="inlineStr">
        <is>
          <t>JÄMTLANDS LÄN</t>
        </is>
      </c>
      <c r="E996" t="inlineStr">
        <is>
          <t>RAGUNDA</t>
        </is>
      </c>
      <c r="F996" t="inlineStr">
        <is>
          <t>SCA</t>
        </is>
      </c>
      <c r="G996" t="n">
        <v>5.4</v>
      </c>
      <c r="H996" t="n">
        <v>0</v>
      </c>
      <c r="I996" t="n">
        <v>0</v>
      </c>
      <c r="J996" t="n">
        <v>0</v>
      </c>
      <c r="K996" t="n">
        <v>0</v>
      </c>
      <c r="L996" t="n">
        <v>0</v>
      </c>
      <c r="M996" t="n">
        <v>0</v>
      </c>
      <c r="N996" t="n">
        <v>0</v>
      </c>
      <c r="O996" t="n">
        <v>0</v>
      </c>
      <c r="P996" t="n">
        <v>0</v>
      </c>
      <c r="Q996" t="n">
        <v>0</v>
      </c>
      <c r="R996" s="2" t="inlineStr"/>
    </row>
    <row r="997" ht="15" customHeight="1">
      <c r="A997" t="inlineStr">
        <is>
          <t>A 3018-2024</t>
        </is>
      </c>
      <c r="B997" s="1" t="n">
        <v>45315.9492824074</v>
      </c>
      <c r="C997" s="1" t="n">
        <v>46036</v>
      </c>
      <c r="D997" t="inlineStr">
        <is>
          <t>JÄMTLANDS LÄN</t>
        </is>
      </c>
      <c r="E997" t="inlineStr">
        <is>
          <t>RAGUNDA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44605-2024</t>
        </is>
      </c>
      <c r="B998" s="1" t="n">
        <v>45574.51185185185</v>
      </c>
      <c r="C998" s="1" t="n">
        <v>46036</v>
      </c>
      <c r="D998" t="inlineStr">
        <is>
          <t>JÄMTLANDS LÄN</t>
        </is>
      </c>
      <c r="E998" t="inlineStr">
        <is>
          <t>RAGUNDA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20773-2024</t>
        </is>
      </c>
      <c r="B999" s="1" t="n">
        <v>45436.94636574074</v>
      </c>
      <c r="C999" s="1" t="n">
        <v>46036</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34323-2023</t>
        </is>
      </c>
      <c r="B1000" s="1" t="n">
        <v>45138.94925925926</v>
      </c>
      <c r="C1000" s="1" t="n">
        <v>46036</v>
      </c>
      <c r="D1000" t="inlineStr">
        <is>
          <t>JÄMTLANDS LÄN</t>
        </is>
      </c>
      <c r="E1000" t="inlineStr">
        <is>
          <t>RAGUNDA</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50486-2023</t>
        </is>
      </c>
      <c r="B1001" s="1" t="n">
        <v>45216.92424768519</v>
      </c>
      <c r="C1001" s="1" t="n">
        <v>46036</v>
      </c>
      <c r="D1001" t="inlineStr">
        <is>
          <t>JÄMTLANDS LÄN</t>
        </is>
      </c>
      <c r="E1001" t="inlineStr">
        <is>
          <t>RAGUNDA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51538-2022</t>
        </is>
      </c>
      <c r="B1002" s="1" t="n">
        <v>44869</v>
      </c>
      <c r="C1002" s="1" t="n">
        <v>46036</v>
      </c>
      <c r="D1002" t="inlineStr">
        <is>
          <t>JÄMTLANDS LÄN</t>
        </is>
      </c>
      <c r="E1002" t="inlineStr">
        <is>
          <t>RAGUNDA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19854-2025</t>
        </is>
      </c>
      <c r="B1003" s="1" t="n">
        <v>45771.51074074074</v>
      </c>
      <c r="C1003" s="1" t="n">
        <v>46036</v>
      </c>
      <c r="D1003" t="inlineStr">
        <is>
          <t>JÄMTLANDS LÄN</t>
        </is>
      </c>
      <c r="E1003" t="inlineStr">
        <is>
          <t>RAGUNDA</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50503-2024</t>
        </is>
      </c>
      <c r="B1004" s="1" t="n">
        <v>45601.5315625</v>
      </c>
      <c r="C1004" s="1" t="n">
        <v>46036</v>
      </c>
      <c r="D1004" t="inlineStr">
        <is>
          <t>JÄMTLANDS LÄN</t>
        </is>
      </c>
      <c r="E1004" t="inlineStr">
        <is>
          <t>RAGUNDA</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10610-2024</t>
        </is>
      </c>
      <c r="B1005" s="1" t="n">
        <v>45367.04693287037</v>
      </c>
      <c r="C1005" s="1" t="n">
        <v>46036</v>
      </c>
      <c r="D1005" t="inlineStr">
        <is>
          <t>JÄMTLANDS LÄN</t>
        </is>
      </c>
      <c r="E1005" t="inlineStr">
        <is>
          <t>RAGUNDA</t>
        </is>
      </c>
      <c r="F1005" t="inlineStr">
        <is>
          <t>SCA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10706-2023</t>
        </is>
      </c>
      <c r="B1006" s="1" t="n">
        <v>44984</v>
      </c>
      <c r="C1006" s="1" t="n">
        <v>46036</v>
      </c>
      <c r="D1006" t="inlineStr">
        <is>
          <t>JÄMTLANDS LÄN</t>
        </is>
      </c>
      <c r="E1006" t="inlineStr">
        <is>
          <t>RAGUNDA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63708-2023</t>
        </is>
      </c>
      <c r="B1007" s="1" t="n">
        <v>45275.95060185185</v>
      </c>
      <c r="C1007" s="1" t="n">
        <v>46036</v>
      </c>
      <c r="D1007" t="inlineStr">
        <is>
          <t>JÄMTLANDS LÄN</t>
        </is>
      </c>
      <c r="E1007" t="inlineStr">
        <is>
          <t>RAGUNDA</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16250-2022</t>
        </is>
      </c>
      <c r="B1008" s="1" t="n">
        <v>44670</v>
      </c>
      <c r="C1008" s="1" t="n">
        <v>46036</v>
      </c>
      <c r="D1008" t="inlineStr">
        <is>
          <t>JÄMTLANDS LÄN</t>
        </is>
      </c>
      <c r="E1008" t="inlineStr">
        <is>
          <t>RAGUNDA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60663-2022</t>
        </is>
      </c>
      <c r="B1009" s="1" t="n">
        <v>44911.93846064815</v>
      </c>
      <c r="C1009" s="1" t="n">
        <v>46036</v>
      </c>
      <c r="D1009" t="inlineStr">
        <is>
          <t>JÄMTLANDS LÄN</t>
        </is>
      </c>
      <c r="E1009" t="inlineStr">
        <is>
          <t>RAGUNDA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58847-2024</t>
        </is>
      </c>
      <c r="B1010" s="1" t="n">
        <v>45636.3864699074</v>
      </c>
      <c r="C1010" s="1" t="n">
        <v>46036</v>
      </c>
      <c r="D1010" t="inlineStr">
        <is>
          <t>JÄMTLANDS LÄN</t>
        </is>
      </c>
      <c r="E1010" t="inlineStr">
        <is>
          <t>RAGUNDA</t>
        </is>
      </c>
      <c r="F1010" t="inlineStr">
        <is>
          <t>SCA</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27777-2022</t>
        </is>
      </c>
      <c r="B1011" s="1" t="n">
        <v>44743</v>
      </c>
      <c r="C1011" s="1" t="n">
        <v>46036</v>
      </c>
      <c r="D1011" t="inlineStr">
        <is>
          <t>JÄMTLANDS LÄN</t>
        </is>
      </c>
      <c r="E1011" t="inlineStr">
        <is>
          <t>RAGUNDA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42875-2024</t>
        </is>
      </c>
      <c r="B1012" s="1" t="n">
        <v>45566.68125</v>
      </c>
      <c r="C1012" s="1" t="n">
        <v>46036</v>
      </c>
      <c r="D1012" t="inlineStr">
        <is>
          <t>JÄMTLANDS LÄN</t>
        </is>
      </c>
      <c r="E1012" t="inlineStr">
        <is>
          <t>RAGUNDA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53935-2022</t>
        </is>
      </c>
      <c r="B1013" s="1" t="n">
        <v>44880</v>
      </c>
      <c r="C1013" s="1" t="n">
        <v>46036</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41262-2021</t>
        </is>
      </c>
      <c r="B1014" s="1" t="n">
        <v>44424</v>
      </c>
      <c r="C1014" s="1" t="n">
        <v>46036</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20221-2025</t>
        </is>
      </c>
      <c r="B1015" s="1" t="n">
        <v>45772.6565625</v>
      </c>
      <c r="C1015" s="1" t="n">
        <v>46036</v>
      </c>
      <c r="D1015" t="inlineStr">
        <is>
          <t>JÄMTLANDS LÄN</t>
        </is>
      </c>
      <c r="E1015" t="inlineStr">
        <is>
          <t>RAGUNDA</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4015-2022</t>
        </is>
      </c>
      <c r="B1016" s="1" t="n">
        <v>44587.92149305555</v>
      </c>
      <c r="C1016" s="1" t="n">
        <v>46036</v>
      </c>
      <c r="D1016" t="inlineStr">
        <is>
          <t>JÄMTLANDS LÄN</t>
        </is>
      </c>
      <c r="E1016" t="inlineStr">
        <is>
          <t>RAGUNDA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44977.44373842593</v>
      </c>
      <c r="C1017" s="1" t="n">
        <v>46036</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45253-2023</t>
        </is>
      </c>
      <c r="B1018" s="1" t="n">
        <v>45187</v>
      </c>
      <c r="C1018" s="1" t="n">
        <v>46036</v>
      </c>
      <c r="D1018" t="inlineStr">
        <is>
          <t>JÄMTLANDS LÄN</t>
        </is>
      </c>
      <c r="E1018" t="inlineStr">
        <is>
          <t>RAGUNDA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14369-2024</t>
        </is>
      </c>
      <c r="B1019" s="1" t="n">
        <v>45393.94459490741</v>
      </c>
      <c r="C1019" s="1" t="n">
        <v>46036</v>
      </c>
      <c r="D1019" t="inlineStr">
        <is>
          <t>JÄMTLANDS LÄN</t>
        </is>
      </c>
      <c r="E1019" t="inlineStr">
        <is>
          <t>RAGUNDA</t>
        </is>
      </c>
      <c r="F1019" t="inlineStr">
        <is>
          <t>Naturvårdsverket</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182-2023</t>
        </is>
      </c>
      <c r="B1020" s="1" t="n">
        <v>44922</v>
      </c>
      <c r="C1020" s="1" t="n">
        <v>46036</v>
      </c>
      <c r="D1020" t="inlineStr">
        <is>
          <t>JÄMTLANDS LÄN</t>
        </is>
      </c>
      <c r="E1020" t="inlineStr">
        <is>
          <t>RAGUNDA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6490-2022</t>
        </is>
      </c>
      <c r="B1021" s="1" t="n">
        <v>44601</v>
      </c>
      <c r="C1021" s="1" t="n">
        <v>46036</v>
      </c>
      <c r="D1021" t="inlineStr">
        <is>
          <t>JÄMTLANDS LÄN</t>
        </is>
      </c>
      <c r="E1021" t="inlineStr">
        <is>
          <t>RAGUNDA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6802-2021</t>
        </is>
      </c>
      <c r="B1022" s="1" t="n">
        <v>44236</v>
      </c>
      <c r="C1022" s="1" t="n">
        <v>46036</v>
      </c>
      <c r="D1022" t="inlineStr">
        <is>
          <t>JÄMTLANDS LÄN</t>
        </is>
      </c>
      <c r="E1022" t="inlineStr">
        <is>
          <t>RAGUNDA</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6477-2024</t>
        </is>
      </c>
      <c r="B1023" s="1" t="n">
        <v>45338.95405092592</v>
      </c>
      <c r="C1023" s="1" t="n">
        <v>46036</v>
      </c>
      <c r="D1023" t="inlineStr">
        <is>
          <t>JÄMTLANDS LÄN</t>
        </is>
      </c>
      <c r="E1023" t="inlineStr">
        <is>
          <t>RAGUNDA</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18193-2022</t>
        </is>
      </c>
      <c r="B1024" s="1" t="n">
        <v>44684.94032407407</v>
      </c>
      <c r="C1024" s="1" t="n">
        <v>46036</v>
      </c>
      <c r="D1024" t="inlineStr">
        <is>
          <t>JÄMTLANDS LÄN</t>
        </is>
      </c>
      <c r="E1024" t="inlineStr">
        <is>
          <t>RAGUNDA</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11551-2024</t>
        </is>
      </c>
      <c r="B1025" s="1" t="n">
        <v>45372.95762731481</v>
      </c>
      <c r="C1025" s="1" t="n">
        <v>46036</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49647-2024</t>
        </is>
      </c>
      <c r="B1026" s="1" t="n">
        <v>45596.61533564814</v>
      </c>
      <c r="C1026" s="1" t="n">
        <v>46036</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53264-2024</t>
        </is>
      </c>
      <c r="B1027" s="1" t="n">
        <v>45614.34545138889</v>
      </c>
      <c r="C1027" s="1" t="n">
        <v>46036</v>
      </c>
      <c r="D1027" t="inlineStr">
        <is>
          <t>JÄMTLANDS LÄN</t>
        </is>
      </c>
      <c r="E1027" t="inlineStr">
        <is>
          <t>RAGUNDA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13389-2025</t>
        </is>
      </c>
      <c r="B1028" s="1" t="n">
        <v>45735.69842592593</v>
      </c>
      <c r="C1028" s="1" t="n">
        <v>46036</v>
      </c>
      <c r="D1028" t="inlineStr">
        <is>
          <t>JÄMTLANDS LÄN</t>
        </is>
      </c>
      <c r="E1028" t="inlineStr">
        <is>
          <t>RAGUNDA</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45631-2024</t>
        </is>
      </c>
      <c r="B1029" s="1" t="n">
        <v>45579.47052083333</v>
      </c>
      <c r="C1029" s="1" t="n">
        <v>46036</v>
      </c>
      <c r="D1029" t="inlineStr">
        <is>
          <t>JÄMTLANDS LÄN</t>
        </is>
      </c>
      <c r="E1029" t="inlineStr">
        <is>
          <t>RAGUNDA</t>
        </is>
      </c>
      <c r="G1029" t="n">
        <v>15.1</v>
      </c>
      <c r="H1029" t="n">
        <v>0</v>
      </c>
      <c r="I1029" t="n">
        <v>0</v>
      </c>
      <c r="J1029" t="n">
        <v>0</v>
      </c>
      <c r="K1029" t="n">
        <v>0</v>
      </c>
      <c r="L1029" t="n">
        <v>0</v>
      </c>
      <c r="M1029" t="n">
        <v>0</v>
      </c>
      <c r="N1029" t="n">
        <v>0</v>
      </c>
      <c r="O1029" t="n">
        <v>0</v>
      </c>
      <c r="P1029" t="n">
        <v>0</v>
      </c>
      <c r="Q1029" t="n">
        <v>0</v>
      </c>
      <c r="R1029" s="2" t="inlineStr"/>
    </row>
    <row r="1030" ht="15" customHeight="1">
      <c r="A1030" t="inlineStr">
        <is>
          <t>A 55701-2021</t>
        </is>
      </c>
      <c r="B1030" s="1" t="n">
        <v>44475</v>
      </c>
      <c r="C1030" s="1" t="n">
        <v>46036</v>
      </c>
      <c r="D1030" t="inlineStr">
        <is>
          <t>JÄMTLANDS LÄN</t>
        </is>
      </c>
      <c r="E1030" t="inlineStr">
        <is>
          <t>RAGUNDA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30484-2024</t>
        </is>
      </c>
      <c r="B1031" s="1" t="n">
        <v>45491</v>
      </c>
      <c r="C1031" s="1" t="n">
        <v>46036</v>
      </c>
      <c r="D1031" t="inlineStr">
        <is>
          <t>JÄMTLANDS LÄN</t>
        </is>
      </c>
      <c r="E1031" t="inlineStr">
        <is>
          <t>RAGUNDA</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14513-2025</t>
        </is>
      </c>
      <c r="B1032" s="1" t="n">
        <v>45741.63675925926</v>
      </c>
      <c r="C1032" s="1" t="n">
        <v>46036</v>
      </c>
      <c r="D1032" t="inlineStr">
        <is>
          <t>JÄMTLANDS LÄN</t>
        </is>
      </c>
      <c r="E1032" t="inlineStr">
        <is>
          <t>RAGUNDA</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55904-2022</t>
        </is>
      </c>
      <c r="B1033" s="1" t="n">
        <v>44888</v>
      </c>
      <c r="C1033" s="1" t="n">
        <v>46036</v>
      </c>
      <c r="D1033" t="inlineStr">
        <is>
          <t>JÄMTLANDS LÄN</t>
        </is>
      </c>
      <c r="E1033" t="inlineStr">
        <is>
          <t>RAGUNDA</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7281-2025</t>
        </is>
      </c>
      <c r="B1034" s="1" t="n">
        <v>45702.63572916666</v>
      </c>
      <c r="C1034" s="1" t="n">
        <v>46036</v>
      </c>
      <c r="D1034" t="inlineStr">
        <is>
          <t>JÄMTLANDS LÄN</t>
        </is>
      </c>
      <c r="E1034" t="inlineStr">
        <is>
          <t>RAGUNDA</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48192-2024</t>
        </is>
      </c>
      <c r="B1035" s="1" t="n">
        <v>45590</v>
      </c>
      <c r="C1035" s="1" t="n">
        <v>46036</v>
      </c>
      <c r="D1035" t="inlineStr">
        <is>
          <t>JÄMTLANDS LÄN</t>
        </is>
      </c>
      <c r="E1035" t="inlineStr">
        <is>
          <t>RAGUNDA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2599-2023</t>
        </is>
      </c>
      <c r="B1036" s="1" t="n">
        <v>44943.94802083333</v>
      </c>
      <c r="C1036" s="1" t="n">
        <v>46036</v>
      </c>
      <c r="D1036" t="inlineStr">
        <is>
          <t>JÄMTLANDS LÄN</t>
        </is>
      </c>
      <c r="E1036" t="inlineStr">
        <is>
          <t>RAGUNDA</t>
        </is>
      </c>
      <c r="F1036" t="inlineStr">
        <is>
          <t>SCA</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48249-2024</t>
        </is>
      </c>
      <c r="B1037" s="1" t="n">
        <v>45590.40675925926</v>
      </c>
      <c r="C1037" s="1" t="n">
        <v>46036</v>
      </c>
      <c r="D1037" t="inlineStr">
        <is>
          <t>JÄMTLANDS LÄN</t>
        </is>
      </c>
      <c r="E1037" t="inlineStr">
        <is>
          <t>RAGUNDA</t>
        </is>
      </c>
      <c r="F1037" t="inlineStr">
        <is>
          <t>SCA</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64265-2023</t>
        </is>
      </c>
      <c r="B1038" s="1" t="n">
        <v>45279.94572916667</v>
      </c>
      <c r="C1038" s="1" t="n">
        <v>46036</v>
      </c>
      <c r="D1038" t="inlineStr">
        <is>
          <t>JÄMTLANDS LÄN</t>
        </is>
      </c>
      <c r="E1038" t="inlineStr">
        <is>
          <t>RAGUNDA</t>
        </is>
      </c>
      <c r="F1038" t="inlineStr">
        <is>
          <t>SCA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66706-2021</t>
        </is>
      </c>
      <c r="B1039" s="1" t="n">
        <v>44519.94440972222</v>
      </c>
      <c r="C1039" s="1" t="n">
        <v>46036</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55222-2024</t>
        </is>
      </c>
      <c r="B1040" s="1" t="n">
        <v>45621.57395833333</v>
      </c>
      <c r="C1040" s="1" t="n">
        <v>46036</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46211-2024</t>
        </is>
      </c>
      <c r="B1041" s="1" t="n">
        <v>45581.55260416667</v>
      </c>
      <c r="C1041" s="1" t="n">
        <v>46036</v>
      </c>
      <c r="D1041" t="inlineStr">
        <is>
          <t>JÄMTLANDS LÄN</t>
        </is>
      </c>
      <c r="E1041" t="inlineStr">
        <is>
          <t>RAGUNDA</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31435-2022</t>
        </is>
      </c>
      <c r="B1042" s="1" t="n">
        <v>44774</v>
      </c>
      <c r="C1042" s="1" t="n">
        <v>46036</v>
      </c>
      <c r="D1042" t="inlineStr">
        <is>
          <t>JÄMTLANDS LÄN</t>
        </is>
      </c>
      <c r="E1042" t="inlineStr">
        <is>
          <t>RAGUNDA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39608-2024</t>
        </is>
      </c>
      <c r="B1043" s="1" t="n">
        <v>45552.39113425926</v>
      </c>
      <c r="C1043" s="1" t="n">
        <v>46036</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39626-2024</t>
        </is>
      </c>
      <c r="B1044" s="1" t="n">
        <v>45552.44096064815</v>
      </c>
      <c r="C1044" s="1" t="n">
        <v>46036</v>
      </c>
      <c r="D1044" t="inlineStr">
        <is>
          <t>JÄMTLANDS LÄN</t>
        </is>
      </c>
      <c r="E1044" t="inlineStr">
        <is>
          <t>RAGUNDA</t>
        </is>
      </c>
      <c r="G1044" t="n">
        <v>23.5</v>
      </c>
      <c r="H1044" t="n">
        <v>0</v>
      </c>
      <c r="I1044" t="n">
        <v>0</v>
      </c>
      <c r="J1044" t="n">
        <v>0</v>
      </c>
      <c r="K1044" t="n">
        <v>0</v>
      </c>
      <c r="L1044" t="n">
        <v>0</v>
      </c>
      <c r="M1044" t="n">
        <v>0</v>
      </c>
      <c r="N1044" t="n">
        <v>0</v>
      </c>
      <c r="O1044" t="n">
        <v>0</v>
      </c>
      <c r="P1044" t="n">
        <v>0</v>
      </c>
      <c r="Q1044" t="n">
        <v>0</v>
      </c>
      <c r="R1044" s="2" t="inlineStr"/>
    </row>
    <row r="1045" ht="15" customHeight="1">
      <c r="A1045" t="inlineStr">
        <is>
          <t>A 56984-2022</t>
        </is>
      </c>
      <c r="B1045" s="1" t="n">
        <v>44894.79018518519</v>
      </c>
      <c r="C1045" s="1" t="n">
        <v>46036</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13264-2025</t>
        </is>
      </c>
      <c r="B1046" s="1" t="n">
        <v>45735</v>
      </c>
      <c r="C1046" s="1" t="n">
        <v>46036</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5307-2025</t>
        </is>
      </c>
      <c r="B1047" s="1" t="n">
        <v>45692.48993055556</v>
      </c>
      <c r="C1047" s="1" t="n">
        <v>46036</v>
      </c>
      <c r="D1047" t="inlineStr">
        <is>
          <t>JÄMTLANDS LÄN</t>
        </is>
      </c>
      <c r="E1047" t="inlineStr">
        <is>
          <t>RAGUNDA</t>
        </is>
      </c>
      <c r="F1047" t="inlineStr">
        <is>
          <t>SCA</t>
        </is>
      </c>
      <c r="G1047" t="n">
        <v>20.9</v>
      </c>
      <c r="H1047" t="n">
        <v>0</v>
      </c>
      <c r="I1047" t="n">
        <v>0</v>
      </c>
      <c r="J1047" t="n">
        <v>0</v>
      </c>
      <c r="K1047" t="n">
        <v>0</v>
      </c>
      <c r="L1047" t="n">
        <v>0</v>
      </c>
      <c r="M1047" t="n">
        <v>0</v>
      </c>
      <c r="N1047" t="n">
        <v>0</v>
      </c>
      <c r="O1047" t="n">
        <v>0</v>
      </c>
      <c r="P1047" t="n">
        <v>0</v>
      </c>
      <c r="Q1047" t="n">
        <v>0</v>
      </c>
      <c r="R1047" s="2" t="inlineStr"/>
    </row>
    <row r="1048" ht="15" customHeight="1">
      <c r="A1048" t="inlineStr">
        <is>
          <t>A 38548-2024</t>
        </is>
      </c>
      <c r="B1048" s="1" t="n">
        <v>45546</v>
      </c>
      <c r="C1048" s="1" t="n">
        <v>46036</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2411-2023</t>
        </is>
      </c>
      <c r="B1049" s="1" t="n">
        <v>44942</v>
      </c>
      <c r="C1049" s="1" t="n">
        <v>46036</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13935-2024</t>
        </is>
      </c>
      <c r="B1050" s="1" t="n">
        <v>45391.95329861111</v>
      </c>
      <c r="C1050" s="1" t="n">
        <v>46036</v>
      </c>
      <c r="D1050" t="inlineStr">
        <is>
          <t>JÄMTLANDS LÄN</t>
        </is>
      </c>
      <c r="E1050" t="inlineStr">
        <is>
          <t>RAGUNDA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5308-2025</t>
        </is>
      </c>
      <c r="B1051" s="1" t="n">
        <v>45692.49008101852</v>
      </c>
      <c r="C1051" s="1" t="n">
        <v>46036</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58194-2022</t>
        </is>
      </c>
      <c r="B1052" s="1" t="n">
        <v>44900</v>
      </c>
      <c r="C1052" s="1" t="n">
        <v>46036</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24171-2021</t>
        </is>
      </c>
      <c r="B1053" s="1" t="n">
        <v>44336</v>
      </c>
      <c r="C1053" s="1" t="n">
        <v>46036</v>
      </c>
      <c r="D1053" t="inlineStr">
        <is>
          <t>JÄMTLANDS LÄN</t>
        </is>
      </c>
      <c r="E1053" t="inlineStr">
        <is>
          <t>RAGUNDA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58843-2024</t>
        </is>
      </c>
      <c r="B1054" s="1" t="n">
        <v>45636.38599537037</v>
      </c>
      <c r="C1054" s="1" t="n">
        <v>46036</v>
      </c>
      <c r="D1054" t="inlineStr">
        <is>
          <t>JÄMTLANDS LÄN</t>
        </is>
      </c>
      <c r="E1054" t="inlineStr">
        <is>
          <t>RAGUNDA</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53287-2022</t>
        </is>
      </c>
      <c r="B1055" s="1" t="n">
        <v>44876</v>
      </c>
      <c r="C1055" s="1" t="n">
        <v>46036</v>
      </c>
      <c r="D1055" t="inlineStr">
        <is>
          <t>JÄMTLANDS LÄN</t>
        </is>
      </c>
      <c r="E1055" t="inlineStr">
        <is>
          <t>RAGUNDA</t>
        </is>
      </c>
      <c r="F1055" t="inlineStr">
        <is>
          <t>SCA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16320-2025</t>
        </is>
      </c>
      <c r="B1056" s="1" t="n">
        <v>45751.34859953704</v>
      </c>
      <c r="C1056" s="1" t="n">
        <v>46036</v>
      </c>
      <c r="D1056" t="inlineStr">
        <is>
          <t>JÄMTLANDS LÄN</t>
        </is>
      </c>
      <c r="E1056" t="inlineStr">
        <is>
          <t>RAGUNDA</t>
        </is>
      </c>
      <c r="F1056" t="inlineStr">
        <is>
          <t>SCA</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16321-2025</t>
        </is>
      </c>
      <c r="B1057" s="1" t="n">
        <v>45751.34873842593</v>
      </c>
      <c r="C1057" s="1" t="n">
        <v>46036</v>
      </c>
      <c r="D1057" t="inlineStr">
        <is>
          <t>JÄMTLANDS LÄN</t>
        </is>
      </c>
      <c r="E1057" t="inlineStr">
        <is>
          <t>RAGUNDA</t>
        </is>
      </c>
      <c r="F1057" t="inlineStr">
        <is>
          <t>SCA</t>
        </is>
      </c>
      <c r="G1057" t="n">
        <v>63.3</v>
      </c>
      <c r="H1057" t="n">
        <v>0</v>
      </c>
      <c r="I1057" t="n">
        <v>0</v>
      </c>
      <c r="J1057" t="n">
        <v>0</v>
      </c>
      <c r="K1057" t="n">
        <v>0</v>
      </c>
      <c r="L1057" t="n">
        <v>0</v>
      </c>
      <c r="M1057" t="n">
        <v>0</v>
      </c>
      <c r="N1057" t="n">
        <v>0</v>
      </c>
      <c r="O1057" t="n">
        <v>0</v>
      </c>
      <c r="P1057" t="n">
        <v>0</v>
      </c>
      <c r="Q1057" t="n">
        <v>0</v>
      </c>
      <c r="R1057" s="2" t="inlineStr"/>
    </row>
    <row r="1058" ht="15" customHeight="1">
      <c r="A1058" t="inlineStr">
        <is>
          <t>A 14696-2022</t>
        </is>
      </c>
      <c r="B1058" s="1" t="n">
        <v>44655</v>
      </c>
      <c r="C1058" s="1" t="n">
        <v>46036</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55514-2024</t>
        </is>
      </c>
      <c r="B1059" s="1" t="n">
        <v>45622.46910879629</v>
      </c>
      <c r="C1059" s="1" t="n">
        <v>46036</v>
      </c>
      <c r="D1059" t="inlineStr">
        <is>
          <t>JÄMTLANDS LÄN</t>
        </is>
      </c>
      <c r="E1059" t="inlineStr">
        <is>
          <t>RAGUNDA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18375-2022</t>
        </is>
      </c>
      <c r="B1060" s="1" t="n">
        <v>44685</v>
      </c>
      <c r="C1060" s="1" t="n">
        <v>46036</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46036</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62011-2022</t>
        </is>
      </c>
      <c r="B1062" s="1" t="n">
        <v>44914</v>
      </c>
      <c r="C1062" s="1" t="n">
        <v>46036</v>
      </c>
      <c r="D1062" t="inlineStr">
        <is>
          <t>JÄMTLANDS LÄN</t>
        </is>
      </c>
      <c r="E1062" t="inlineStr">
        <is>
          <t>RAGUNDA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11557-2023</t>
        </is>
      </c>
      <c r="B1063" s="1" t="n">
        <v>44993.94950231481</v>
      </c>
      <c r="C1063" s="1" t="n">
        <v>46036</v>
      </c>
      <c r="D1063" t="inlineStr">
        <is>
          <t>JÄMTLANDS LÄN</t>
        </is>
      </c>
      <c r="E1063" t="inlineStr">
        <is>
          <t>RAGUNDA</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11562-2023</t>
        </is>
      </c>
      <c r="B1064" s="1" t="n">
        <v>44993</v>
      </c>
      <c r="C1064" s="1" t="n">
        <v>46036</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22131-2021</t>
        </is>
      </c>
      <c r="B1065" s="1" t="n">
        <v>44323</v>
      </c>
      <c r="C1065" s="1" t="n">
        <v>46036</v>
      </c>
      <c r="D1065" t="inlineStr">
        <is>
          <t>JÄMTLANDS LÄN</t>
        </is>
      </c>
      <c r="E1065" t="inlineStr">
        <is>
          <t>RAGUNDA</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5971-2025</t>
        </is>
      </c>
      <c r="B1066" s="1" t="n">
        <v>45695.51070601852</v>
      </c>
      <c r="C1066" s="1" t="n">
        <v>46036</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30563-2023</t>
        </is>
      </c>
      <c r="B1067" s="1" t="n">
        <v>45111.92793981481</v>
      </c>
      <c r="C1067" s="1" t="n">
        <v>46036</v>
      </c>
      <c r="D1067" t="inlineStr">
        <is>
          <t>JÄMTLANDS LÄN</t>
        </is>
      </c>
      <c r="E1067" t="inlineStr">
        <is>
          <t>RAGUNDA</t>
        </is>
      </c>
      <c r="F1067" t="inlineStr">
        <is>
          <t>Övriga Aktiebolag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36212-2023</t>
        </is>
      </c>
      <c r="B1068" s="1" t="n">
        <v>45149.95241898148</v>
      </c>
      <c r="C1068" s="1" t="n">
        <v>46036</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12768-2022</t>
        </is>
      </c>
      <c r="B1069" s="1" t="n">
        <v>44641</v>
      </c>
      <c r="C1069" s="1" t="n">
        <v>46036</v>
      </c>
      <c r="D1069" t="inlineStr">
        <is>
          <t>JÄMTLANDS LÄN</t>
        </is>
      </c>
      <c r="E1069" t="inlineStr">
        <is>
          <t>RAGUNDA</t>
        </is>
      </c>
      <c r="F1069" t="inlineStr">
        <is>
          <t>SCA</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12773-2022</t>
        </is>
      </c>
      <c r="B1070" s="1" t="n">
        <v>44641</v>
      </c>
      <c r="C1070" s="1" t="n">
        <v>46036</v>
      </c>
      <c r="D1070" t="inlineStr">
        <is>
          <t>JÄMTLANDS LÄN</t>
        </is>
      </c>
      <c r="E1070" t="inlineStr">
        <is>
          <t>RAGUNDA</t>
        </is>
      </c>
      <c r="F1070" t="inlineStr">
        <is>
          <t>SCA</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5067-2024</t>
        </is>
      </c>
      <c r="B1071" s="1" t="n">
        <v>45329.95806712963</v>
      </c>
      <c r="C1071" s="1" t="n">
        <v>46036</v>
      </c>
      <c r="D1071" t="inlineStr">
        <is>
          <t>JÄMTLANDS LÄN</t>
        </is>
      </c>
      <c r="E1071" t="inlineStr">
        <is>
          <t>RAGUNDA</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14905-2022</t>
        </is>
      </c>
      <c r="B1072" s="1" t="n">
        <v>44656.94708333333</v>
      </c>
      <c r="C1072" s="1" t="n">
        <v>46036</v>
      </c>
      <c r="D1072" t="inlineStr">
        <is>
          <t>JÄMTLANDS LÄN</t>
        </is>
      </c>
      <c r="E1072" t="inlineStr">
        <is>
          <t>RAGUNDA</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29766-2023</t>
        </is>
      </c>
      <c r="B1073" s="1" t="n">
        <v>45098</v>
      </c>
      <c r="C1073" s="1" t="n">
        <v>46036</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61107-2024</t>
        </is>
      </c>
      <c r="B1074" s="1" t="n">
        <v>45645.55665509259</v>
      </c>
      <c r="C1074" s="1" t="n">
        <v>46036</v>
      </c>
      <c r="D1074" t="inlineStr">
        <is>
          <t>JÄMTLANDS LÄN</t>
        </is>
      </c>
      <c r="E1074" t="inlineStr">
        <is>
          <t>RAGUNDA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23287-2024</t>
        </is>
      </c>
      <c r="B1075" s="1" t="n">
        <v>45453.42041666667</v>
      </c>
      <c r="C1075" s="1" t="n">
        <v>46036</v>
      </c>
      <c r="D1075" t="inlineStr">
        <is>
          <t>JÄMTLANDS LÄN</t>
        </is>
      </c>
      <c r="E1075" t="inlineStr">
        <is>
          <t>RAGUNDA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36922-2022</t>
        </is>
      </c>
      <c r="B1076" s="1" t="n">
        <v>44805.94592592592</v>
      </c>
      <c r="C1076" s="1" t="n">
        <v>46036</v>
      </c>
      <c r="D1076" t="inlineStr">
        <is>
          <t>JÄMTLANDS LÄN</t>
        </is>
      </c>
      <c r="E1076" t="inlineStr">
        <is>
          <t>RAGUNDA</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46036</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34483-2023</t>
        </is>
      </c>
      <c r="B1078" s="1" t="n">
        <v>45139.94681712963</v>
      </c>
      <c r="C1078" s="1" t="n">
        <v>46036</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22948-2024</t>
        </is>
      </c>
      <c r="B1079" s="1" t="n">
        <v>45448.94600694445</v>
      </c>
      <c r="C1079" s="1" t="n">
        <v>46036</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23304-2023</t>
        </is>
      </c>
      <c r="B1080" s="1" t="n">
        <v>45075.945</v>
      </c>
      <c r="C1080" s="1" t="n">
        <v>46036</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36226-2023</t>
        </is>
      </c>
      <c r="B1081" s="1" t="n">
        <v>45149.95372685185</v>
      </c>
      <c r="C1081" s="1" t="n">
        <v>46036</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18615-2024</t>
        </is>
      </c>
      <c r="B1082" s="1" t="n">
        <v>45425.96275462963</v>
      </c>
      <c r="C1082" s="1" t="n">
        <v>46036</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40269-2022</t>
        </is>
      </c>
      <c r="B1083" s="1" t="n">
        <v>44820</v>
      </c>
      <c r="C1083" s="1" t="n">
        <v>46036</v>
      </c>
      <c r="D1083" t="inlineStr">
        <is>
          <t>JÄMTLANDS LÄN</t>
        </is>
      </c>
      <c r="E1083" t="inlineStr">
        <is>
          <t>RAGUNDA</t>
        </is>
      </c>
      <c r="F1083" t="inlineStr">
        <is>
          <t>SCA</t>
        </is>
      </c>
      <c r="G1083" t="n">
        <v>77.8</v>
      </c>
      <c r="H1083" t="n">
        <v>0</v>
      </c>
      <c r="I1083" t="n">
        <v>0</v>
      </c>
      <c r="J1083" t="n">
        <v>0</v>
      </c>
      <c r="K1083" t="n">
        <v>0</v>
      </c>
      <c r="L1083" t="n">
        <v>0</v>
      </c>
      <c r="M1083" t="n">
        <v>0</v>
      </c>
      <c r="N1083" t="n">
        <v>0</v>
      </c>
      <c r="O1083" t="n">
        <v>0</v>
      </c>
      <c r="P1083" t="n">
        <v>0</v>
      </c>
      <c r="Q1083" t="n">
        <v>0</v>
      </c>
      <c r="R1083" s="2" t="inlineStr"/>
    </row>
    <row r="1084" ht="15" customHeight="1">
      <c r="A1084" t="inlineStr">
        <is>
          <t>A 37242-2024</t>
        </is>
      </c>
      <c r="B1084" s="1" t="n">
        <v>45540.34428240741</v>
      </c>
      <c r="C1084" s="1" t="n">
        <v>46036</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45438-2022</t>
        </is>
      </c>
      <c r="B1085" s="1" t="n">
        <v>44844.95368055555</v>
      </c>
      <c r="C1085" s="1" t="n">
        <v>46036</v>
      </c>
      <c r="D1085" t="inlineStr">
        <is>
          <t>JÄMTLANDS LÄN</t>
        </is>
      </c>
      <c r="E1085" t="inlineStr">
        <is>
          <t>RAGUNDA</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56191-2022</t>
        </is>
      </c>
      <c r="B1086" s="1" t="n">
        <v>44889.95015046297</v>
      </c>
      <c r="C1086" s="1" t="n">
        <v>46036</v>
      </c>
      <c r="D1086" t="inlineStr">
        <is>
          <t>JÄMTLANDS LÄN</t>
        </is>
      </c>
      <c r="E1086" t="inlineStr">
        <is>
          <t>RAGUNDA</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30823-2023</t>
        </is>
      </c>
      <c r="B1087" s="1" t="n">
        <v>45112</v>
      </c>
      <c r="C1087" s="1" t="n">
        <v>46036</v>
      </c>
      <c r="D1087" t="inlineStr">
        <is>
          <t>JÄMTLANDS LÄN</t>
        </is>
      </c>
      <c r="E1087" t="inlineStr">
        <is>
          <t>RAGUNDA</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43339-2024</t>
        </is>
      </c>
      <c r="B1088" s="1" t="n">
        <v>45568.51075231482</v>
      </c>
      <c r="C1088" s="1" t="n">
        <v>46036</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43102-2023</t>
        </is>
      </c>
      <c r="B1089" s="1" t="n">
        <v>45182</v>
      </c>
      <c r="C1089" s="1" t="n">
        <v>46036</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9823-2025</t>
        </is>
      </c>
      <c r="B1090" s="1" t="n">
        <v>45716</v>
      </c>
      <c r="C1090" s="1" t="n">
        <v>46036</v>
      </c>
      <c r="D1090" t="inlineStr">
        <is>
          <t>JÄMTLANDS LÄN</t>
        </is>
      </c>
      <c r="E1090" t="inlineStr">
        <is>
          <t>RAGUNDA</t>
        </is>
      </c>
      <c r="F1090" t="inlineStr">
        <is>
          <t>SCA</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13917-2023</t>
        </is>
      </c>
      <c r="B1091" s="1" t="n">
        <v>45007</v>
      </c>
      <c r="C1091" s="1" t="n">
        <v>46036</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53019-2023</t>
        </is>
      </c>
      <c r="B1092" s="1" t="n">
        <v>45222</v>
      </c>
      <c r="C1092" s="1" t="n">
        <v>46036</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14212-2023</t>
        </is>
      </c>
      <c r="B1093" s="1" t="n">
        <v>45009</v>
      </c>
      <c r="C1093" s="1" t="n">
        <v>46036</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59996-2023</t>
        </is>
      </c>
      <c r="B1094" s="1" t="n">
        <v>45257.92826388889</v>
      </c>
      <c r="C1094" s="1" t="n">
        <v>46036</v>
      </c>
      <c r="D1094" t="inlineStr">
        <is>
          <t>JÄMTLANDS LÄN</t>
        </is>
      </c>
      <c r="E1094" t="inlineStr">
        <is>
          <t>RAGUNDA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44980-2023</t>
        </is>
      </c>
      <c r="B1095" s="1" t="n">
        <v>45190</v>
      </c>
      <c r="C1095" s="1" t="n">
        <v>46036</v>
      </c>
      <c r="D1095" t="inlineStr">
        <is>
          <t>JÄMTLANDS LÄN</t>
        </is>
      </c>
      <c r="E1095" t="inlineStr">
        <is>
          <t>RAGUNDA</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14076-2023</t>
        </is>
      </c>
      <c r="B1096" s="1" t="n">
        <v>45009.0897337963</v>
      </c>
      <c r="C1096" s="1" t="n">
        <v>46036</v>
      </c>
      <c r="D1096" t="inlineStr">
        <is>
          <t>JÄMTLANDS LÄN</t>
        </is>
      </c>
      <c r="E1096" t="inlineStr">
        <is>
          <t>RAGUNDA</t>
        </is>
      </c>
      <c r="F1096" t="inlineStr">
        <is>
          <t>SCA</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12805-2025</t>
        </is>
      </c>
      <c r="B1097" s="1" t="n">
        <v>45733.61497685185</v>
      </c>
      <c r="C1097" s="1" t="n">
        <v>46036</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12808-2025</t>
        </is>
      </c>
      <c r="B1098" s="1" t="n">
        <v>45733.61554398148</v>
      </c>
      <c r="C1098" s="1" t="n">
        <v>46036</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4615-2023</t>
        </is>
      </c>
      <c r="B1099" s="1" t="n">
        <v>44956.93924768519</v>
      </c>
      <c r="C1099" s="1" t="n">
        <v>46036</v>
      </c>
      <c r="D1099" t="inlineStr">
        <is>
          <t>JÄMTLANDS LÄN</t>
        </is>
      </c>
      <c r="E1099" t="inlineStr">
        <is>
          <t>RAGUNDA</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5938-2025</t>
        </is>
      </c>
      <c r="B1100" s="1" t="n">
        <v>45695.45868055556</v>
      </c>
      <c r="C1100" s="1" t="n">
        <v>46036</v>
      </c>
      <c r="D1100" t="inlineStr">
        <is>
          <t>JÄMTLANDS LÄN</t>
        </is>
      </c>
      <c r="E1100" t="inlineStr">
        <is>
          <t>RAGUNDA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4125-2024</t>
        </is>
      </c>
      <c r="B1101" s="1" t="n">
        <v>45323</v>
      </c>
      <c r="C1101" s="1" t="n">
        <v>46036</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53549-2024</t>
        </is>
      </c>
      <c r="B1102" s="1" t="n">
        <v>45614.63869212963</v>
      </c>
      <c r="C1102" s="1" t="n">
        <v>46036</v>
      </c>
      <c r="D1102" t="inlineStr">
        <is>
          <t>JÄMTLANDS LÄN</t>
        </is>
      </c>
      <c r="E1102" t="inlineStr">
        <is>
          <t>RAGUNDA</t>
        </is>
      </c>
      <c r="F1102" t="inlineStr">
        <is>
          <t>Kyrkan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7284-2025</t>
        </is>
      </c>
      <c r="B1103" s="1" t="n">
        <v>45702.63604166666</v>
      </c>
      <c r="C1103" s="1" t="n">
        <v>46036</v>
      </c>
      <c r="D1103" t="inlineStr">
        <is>
          <t>JÄMTLANDS LÄN</t>
        </is>
      </c>
      <c r="E1103" t="inlineStr">
        <is>
          <t>RAGUNDA</t>
        </is>
      </c>
      <c r="F1103" t="inlineStr">
        <is>
          <t>SCA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31506-2024</t>
        </is>
      </c>
      <c r="B1104" s="1" t="n">
        <v>45505</v>
      </c>
      <c r="C1104" s="1" t="n">
        <v>46036</v>
      </c>
      <c r="D1104" t="inlineStr">
        <is>
          <t>JÄMTLANDS LÄN</t>
        </is>
      </c>
      <c r="E1104" t="inlineStr">
        <is>
          <t>RAGUNDA</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19382-2025</t>
        </is>
      </c>
      <c r="B1105" s="1" t="n">
        <v>45769.65659722222</v>
      </c>
      <c r="C1105" s="1" t="n">
        <v>46036</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37479-2023</t>
        </is>
      </c>
      <c r="B1106" s="1" t="n">
        <v>45156</v>
      </c>
      <c r="C1106" s="1" t="n">
        <v>46036</v>
      </c>
      <c r="D1106" t="inlineStr">
        <is>
          <t>JÄMTLANDS LÄN</t>
        </is>
      </c>
      <c r="E1106" t="inlineStr">
        <is>
          <t>RAGUNDA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5958-2021</t>
        </is>
      </c>
      <c r="B1107" s="1" t="n">
        <v>44231</v>
      </c>
      <c r="C1107" s="1" t="n">
        <v>46036</v>
      </c>
      <c r="D1107" t="inlineStr">
        <is>
          <t>JÄMTLANDS LÄN</t>
        </is>
      </c>
      <c r="E1107" t="inlineStr">
        <is>
          <t>RAGUNDA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4866-2025</t>
        </is>
      </c>
      <c r="B1108" s="1" t="n">
        <v>45688.67542824074</v>
      </c>
      <c r="C1108" s="1" t="n">
        <v>46036</v>
      </c>
      <c r="D1108" t="inlineStr">
        <is>
          <t>JÄMTLANDS LÄN</t>
        </is>
      </c>
      <c r="E1108" t="inlineStr">
        <is>
          <t>RAGUNDA</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11780-2024</t>
        </is>
      </c>
      <c r="B1109" s="1" t="n">
        <v>45374</v>
      </c>
      <c r="C1109" s="1" t="n">
        <v>46036</v>
      </c>
      <c r="D1109" t="inlineStr">
        <is>
          <t>JÄMTLANDS LÄN</t>
        </is>
      </c>
      <c r="E1109" t="inlineStr">
        <is>
          <t>RAGUNDA</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11288-2022</t>
        </is>
      </c>
      <c r="B1110" s="1" t="n">
        <v>44629</v>
      </c>
      <c r="C1110" s="1" t="n">
        <v>46036</v>
      </c>
      <c r="D1110" t="inlineStr">
        <is>
          <t>JÄMTLANDS LÄN</t>
        </is>
      </c>
      <c r="E1110" t="inlineStr">
        <is>
          <t>RAGUNDA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18984-2023</t>
        </is>
      </c>
      <c r="B1111" s="1" t="n">
        <v>45044</v>
      </c>
      <c r="C1111" s="1" t="n">
        <v>46036</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66011-2021</t>
        </is>
      </c>
      <c r="B1112" s="1" t="n">
        <v>44517.58137731482</v>
      </c>
      <c r="C1112" s="1" t="n">
        <v>46036</v>
      </c>
      <c r="D1112" t="inlineStr">
        <is>
          <t>JÄMTLANDS LÄN</t>
        </is>
      </c>
      <c r="E1112" t="inlineStr">
        <is>
          <t>RAGUNDA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42509-2023</t>
        </is>
      </c>
      <c r="B1113" s="1" t="n">
        <v>45180</v>
      </c>
      <c r="C1113" s="1" t="n">
        <v>46036</v>
      </c>
      <c r="D1113" t="inlineStr">
        <is>
          <t>JÄMTLANDS LÄN</t>
        </is>
      </c>
      <c r="E1113" t="inlineStr">
        <is>
          <t>RAGUNDA</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33615-2023</t>
        </is>
      </c>
      <c r="B1114" s="1" t="n">
        <v>45119</v>
      </c>
      <c r="C1114" s="1" t="n">
        <v>46036</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42510-2023</t>
        </is>
      </c>
      <c r="B1115" s="1" t="n">
        <v>45180.95927083334</v>
      </c>
      <c r="C1115" s="1" t="n">
        <v>46036</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53860-2023</t>
        </is>
      </c>
      <c r="B1116" s="1" t="n">
        <v>45224</v>
      </c>
      <c r="C1116" s="1" t="n">
        <v>46036</v>
      </c>
      <c r="D1116" t="inlineStr">
        <is>
          <t>JÄMTLANDS LÄN</t>
        </is>
      </c>
      <c r="E1116" t="inlineStr">
        <is>
          <t>RAGUNDA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12039-2023</t>
        </is>
      </c>
      <c r="B1117" s="1" t="n">
        <v>44995.98341435185</v>
      </c>
      <c r="C1117" s="1" t="n">
        <v>46036</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45093.92207175926</v>
      </c>
      <c r="C1118" s="1" t="n">
        <v>46036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13302-2022</t>
        </is>
      </c>
      <c r="B1119" s="1" t="n">
        <v>44644</v>
      </c>
      <c r="C1119" s="1" t="n">
        <v>46036</v>
      </c>
      <c r="D1119" t="inlineStr">
        <is>
          <t>JÄMTLANDS LÄN</t>
        </is>
      </c>
      <c r="E1119" t="inlineStr">
        <is>
          <t>RAGUNDA</t>
        </is>
      </c>
      <c r="F1119" t="inlineStr">
        <is>
          <t>SCA</t>
        </is>
      </c>
      <c r="G1119" t="n">
        <v>35.6</v>
      </c>
      <c r="H1119" t="n">
        <v>0</v>
      </c>
      <c r="I1119" t="n">
        <v>0</v>
      </c>
      <c r="J1119" t="n">
        <v>0</v>
      </c>
      <c r="K1119" t="n">
        <v>0</v>
      </c>
      <c r="L1119" t="n">
        <v>0</v>
      </c>
      <c r="M1119" t="n">
        <v>0</v>
      </c>
      <c r="N1119" t="n">
        <v>0</v>
      </c>
      <c r="O1119" t="n">
        <v>0</v>
      </c>
      <c r="P1119" t="n">
        <v>0</v>
      </c>
      <c r="Q1119" t="n">
        <v>0</v>
      </c>
      <c r="R1119" s="2" t="inlineStr"/>
    </row>
    <row r="1120" ht="15" customHeight="1">
      <c r="A1120" t="inlineStr">
        <is>
          <t>A 26651-2024</t>
        </is>
      </c>
      <c r="B1120" s="1" t="n">
        <v>45469.94876157407</v>
      </c>
      <c r="C1120" s="1" t="n">
        <v>46036</v>
      </c>
      <c r="D1120" t="inlineStr">
        <is>
          <t>JÄMTLANDS LÄN</t>
        </is>
      </c>
      <c r="E1120" t="inlineStr">
        <is>
          <t>RAGUNDA</t>
        </is>
      </c>
      <c r="F1120" t="inlineStr">
        <is>
          <t>SCA</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40919-2024</t>
        </is>
      </c>
      <c r="B1121" s="1" t="n">
        <v>45558.63575231482</v>
      </c>
      <c r="C1121" s="1" t="n">
        <v>46036</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3186-2025</t>
        </is>
      </c>
      <c r="B1122" s="1" t="n">
        <v>45679.40362268518</v>
      </c>
      <c r="C1122" s="1" t="n">
        <v>46036</v>
      </c>
      <c r="D1122" t="inlineStr">
        <is>
          <t>JÄMTLANDS LÄN</t>
        </is>
      </c>
      <c r="E1122" t="inlineStr">
        <is>
          <t>RAGUNDA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465-2023</t>
        </is>
      </c>
      <c r="B1123" s="1" t="n">
        <v>44929</v>
      </c>
      <c r="C1123" s="1" t="n">
        <v>46036</v>
      </c>
      <c r="D1123" t="inlineStr">
        <is>
          <t>JÄMTLANDS LÄN</t>
        </is>
      </c>
      <c r="E1123" t="inlineStr">
        <is>
          <t>RAGUNDA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26455-2023</t>
        </is>
      </c>
      <c r="B1124" s="1" t="n">
        <v>45092</v>
      </c>
      <c r="C1124" s="1" t="n">
        <v>46036</v>
      </c>
      <c r="D1124" t="inlineStr">
        <is>
          <t>JÄMTLANDS LÄN</t>
        </is>
      </c>
      <c r="E1124" t="inlineStr">
        <is>
          <t>RAGUNDA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10639-2024</t>
        </is>
      </c>
      <c r="B1125" s="1" t="n">
        <v>45367.67256944445</v>
      </c>
      <c r="C1125" s="1" t="n">
        <v>46036</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2751-2024</t>
        </is>
      </c>
      <c r="B1126" s="1" t="n">
        <v>45314</v>
      </c>
      <c r="C1126" s="1" t="n">
        <v>46036</v>
      </c>
      <c r="D1126" t="inlineStr">
        <is>
          <t>JÄMTLANDS LÄN</t>
        </is>
      </c>
      <c r="E1126" t="inlineStr">
        <is>
          <t>RAGUNDA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36317-2024</t>
        </is>
      </c>
      <c r="B1127" s="1" t="n">
        <v>45534.63537037037</v>
      </c>
      <c r="C1127" s="1" t="n">
        <v>46036</v>
      </c>
      <c r="D1127" t="inlineStr">
        <is>
          <t>JÄMTLANDS LÄN</t>
        </is>
      </c>
      <c r="E1127" t="inlineStr">
        <is>
          <t>RAGUNDA</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18614-2024</t>
        </is>
      </c>
      <c r="B1128" s="1" t="n">
        <v>45425.96263888889</v>
      </c>
      <c r="C1128" s="1" t="n">
        <v>46036</v>
      </c>
      <c r="D1128" t="inlineStr">
        <is>
          <t>JÄMTLANDS LÄN</t>
        </is>
      </c>
      <c r="E1128" t="inlineStr">
        <is>
          <t>RAGUNDA</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8787-2022</t>
        </is>
      </c>
      <c r="B1129" s="1" t="n">
        <v>44614</v>
      </c>
      <c r="C1129" s="1" t="n">
        <v>46036</v>
      </c>
      <c r="D1129" t="inlineStr">
        <is>
          <t>JÄMTLANDS LÄN</t>
        </is>
      </c>
      <c r="E1129" t="inlineStr">
        <is>
          <t>RAGUNDA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5967-2021</t>
        </is>
      </c>
      <c r="B1130" s="1" t="n">
        <v>44231</v>
      </c>
      <c r="C1130" s="1" t="n">
        <v>46036</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50431-2024</t>
        </is>
      </c>
      <c r="B1131" s="1" t="n">
        <v>45601.40686342592</v>
      </c>
      <c r="C1131" s="1" t="n">
        <v>46036</v>
      </c>
      <c r="D1131" t="inlineStr">
        <is>
          <t>JÄMTLANDS LÄN</t>
        </is>
      </c>
      <c r="E1131" t="inlineStr">
        <is>
          <t>RAGUNDA</t>
        </is>
      </c>
      <c r="F1131" t="inlineStr">
        <is>
          <t>SCA</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60936-2024</t>
        </is>
      </c>
      <c r="B1132" s="1" t="n">
        <v>45645.36743055555</v>
      </c>
      <c r="C1132" s="1" t="n">
        <v>46036</v>
      </c>
      <c r="D1132" t="inlineStr">
        <is>
          <t>JÄMTLANDS LÄN</t>
        </is>
      </c>
      <c r="E1132" t="inlineStr">
        <is>
          <t>RAGUNDA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4212-2024</t>
        </is>
      </c>
      <c r="B1133" s="1" t="n">
        <v>45324</v>
      </c>
      <c r="C1133" s="1" t="n">
        <v>46036</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9262-2025</t>
        </is>
      </c>
      <c r="B1134" s="1" t="n">
        <v>45714.60649305556</v>
      </c>
      <c r="C1134" s="1" t="n">
        <v>46036</v>
      </c>
      <c r="D1134" t="inlineStr">
        <is>
          <t>JÄMTLANDS LÄN</t>
        </is>
      </c>
      <c r="E1134" t="inlineStr">
        <is>
          <t>RAGUNDA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60012-2023</t>
        </is>
      </c>
      <c r="B1135" s="1" t="n">
        <v>45257</v>
      </c>
      <c r="C1135" s="1" t="n">
        <v>46036</v>
      </c>
      <c r="D1135" t="inlineStr">
        <is>
          <t>JÄMTLANDS LÄN</t>
        </is>
      </c>
      <c r="E1135" t="inlineStr">
        <is>
          <t>RAGUNDA</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53676-2022</t>
        </is>
      </c>
      <c r="B1136" s="1" t="n">
        <v>44879</v>
      </c>
      <c r="C1136" s="1" t="n">
        <v>46036</v>
      </c>
      <c r="D1136" t="inlineStr">
        <is>
          <t>JÄMTLANDS LÄN</t>
        </is>
      </c>
      <c r="E1136" t="inlineStr">
        <is>
          <t>RAGUNDA</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56504-2024</t>
        </is>
      </c>
      <c r="B1137" s="1" t="n">
        <v>45625.51068287037</v>
      </c>
      <c r="C1137" s="1" t="n">
        <v>46036</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934-2023</t>
        </is>
      </c>
      <c r="B1138" s="1" t="n">
        <v>44932.93927083333</v>
      </c>
      <c r="C1138" s="1" t="n">
        <v>46036</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36106-2022</t>
        </is>
      </c>
      <c r="B1139" s="1" t="n">
        <v>44802.94811342593</v>
      </c>
      <c r="C1139" s="1" t="n">
        <v>46036</v>
      </c>
      <c r="D1139" t="inlineStr">
        <is>
          <t>JÄMTLANDS LÄN</t>
        </is>
      </c>
      <c r="E1139" t="inlineStr">
        <is>
          <t>RAGUNDA</t>
        </is>
      </c>
      <c r="F1139" t="inlineStr">
        <is>
          <t>SCA</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57839-2022</t>
        </is>
      </c>
      <c r="B1140" s="1" t="n">
        <v>44897</v>
      </c>
      <c r="C1140" s="1" t="n">
        <v>46036</v>
      </c>
      <c r="D1140" t="inlineStr">
        <is>
          <t>JÄMTLANDS LÄN</t>
        </is>
      </c>
      <c r="E1140" t="inlineStr">
        <is>
          <t>RAGUNDA</t>
        </is>
      </c>
      <c r="F1140" t="inlineStr">
        <is>
          <t>SCA</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41693-2023</t>
        </is>
      </c>
      <c r="B1141" s="1" t="n">
        <v>45176</v>
      </c>
      <c r="C1141" s="1" t="n">
        <v>46036</v>
      </c>
      <c r="D1141" t="inlineStr">
        <is>
          <t>JÄMTLANDS LÄN</t>
        </is>
      </c>
      <c r="E1141" t="inlineStr">
        <is>
          <t>RAGUNDA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53678-2022</t>
        </is>
      </c>
      <c r="B1142" s="1" t="n">
        <v>44879.95768518518</v>
      </c>
      <c r="C1142" s="1" t="n">
        <v>46036</v>
      </c>
      <c r="D1142" t="inlineStr">
        <is>
          <t>JÄMTLANDS LÄN</t>
        </is>
      </c>
      <c r="E1142" t="inlineStr">
        <is>
          <t>RAGUNDA</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23305-2023</t>
        </is>
      </c>
      <c r="B1143" s="1" t="n">
        <v>45075.94506944445</v>
      </c>
      <c r="C1143" s="1" t="n">
        <v>46036</v>
      </c>
      <c r="D1143" t="inlineStr">
        <is>
          <t>JÄMTLANDS LÄN</t>
        </is>
      </c>
      <c r="E1143" t="inlineStr">
        <is>
          <t>RAGUNDA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18194-2025</t>
        </is>
      </c>
      <c r="B1144" s="1" t="n">
        <v>45761.67744212963</v>
      </c>
      <c r="C1144" s="1" t="n">
        <v>46036</v>
      </c>
      <c r="D1144" t="inlineStr">
        <is>
          <t>JÄMTLANDS LÄN</t>
        </is>
      </c>
      <c r="E1144" t="inlineStr">
        <is>
          <t>RAGUNDA</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18225-2024</t>
        </is>
      </c>
      <c r="B1145" s="1" t="n">
        <v>45420</v>
      </c>
      <c r="C1145" s="1" t="n">
        <v>46036</v>
      </c>
      <c r="D1145" t="inlineStr">
        <is>
          <t>JÄMTLANDS LÄN</t>
        </is>
      </c>
      <c r="E1145" t="inlineStr">
        <is>
          <t>RAGUNDA</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54764-2024</t>
        </is>
      </c>
      <c r="B1146" s="1" t="n">
        <v>45618.46921296296</v>
      </c>
      <c r="C1146" s="1" t="n">
        <v>46036</v>
      </c>
      <c r="D1146" t="inlineStr">
        <is>
          <t>JÄMTLANDS LÄN</t>
        </is>
      </c>
      <c r="E1146" t="inlineStr">
        <is>
          <t>RAGUNDA</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32904-2024</t>
        </is>
      </c>
      <c r="B1147" s="1" t="n">
        <v>45516.94732638889</v>
      </c>
      <c r="C1147" s="1" t="n">
        <v>46036</v>
      </c>
      <c r="D1147" t="inlineStr">
        <is>
          <t>JÄMTLANDS LÄN</t>
        </is>
      </c>
      <c r="E1147" t="inlineStr">
        <is>
          <t>RAGUNDA</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12976-2025</t>
        </is>
      </c>
      <c r="B1148" s="1" t="n">
        <v>45734.45268518518</v>
      </c>
      <c r="C1148" s="1" t="n">
        <v>46036</v>
      </c>
      <c r="D1148" t="inlineStr">
        <is>
          <t>JÄMTLANDS LÄN</t>
        </is>
      </c>
      <c r="E1148" t="inlineStr">
        <is>
          <t>RAGUNDA</t>
        </is>
      </c>
      <c r="G1148" t="n">
        <v>24.2</v>
      </c>
      <c r="H1148" t="n">
        <v>0</v>
      </c>
      <c r="I1148" t="n">
        <v>0</v>
      </c>
      <c r="J1148" t="n">
        <v>0</v>
      </c>
      <c r="K1148" t="n">
        <v>0</v>
      </c>
      <c r="L1148" t="n">
        <v>0</v>
      </c>
      <c r="M1148" t="n">
        <v>0</v>
      </c>
      <c r="N1148" t="n">
        <v>0</v>
      </c>
      <c r="O1148" t="n">
        <v>0</v>
      </c>
      <c r="P1148" t="n">
        <v>0</v>
      </c>
      <c r="Q1148" t="n">
        <v>0</v>
      </c>
      <c r="R1148" s="2" t="inlineStr"/>
    </row>
    <row r="1149" ht="15" customHeight="1">
      <c r="A1149" t="inlineStr">
        <is>
          <t>A 59286-2023</t>
        </is>
      </c>
      <c r="B1149" s="1" t="n">
        <v>45253</v>
      </c>
      <c r="C1149" s="1" t="n">
        <v>46036</v>
      </c>
      <c r="D1149" t="inlineStr">
        <is>
          <t>JÄMTLANDS LÄN</t>
        </is>
      </c>
      <c r="E1149" t="inlineStr">
        <is>
          <t>RAGUNDA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15672-2021</t>
        </is>
      </c>
      <c r="B1150" s="1" t="n">
        <v>44286</v>
      </c>
      <c r="C1150" s="1" t="n">
        <v>46036</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6688-2024</t>
        </is>
      </c>
      <c r="B1151" s="1" t="n">
        <v>45341</v>
      </c>
      <c r="C1151" s="1" t="n">
        <v>46036</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50650-2023</t>
        </is>
      </c>
      <c r="B1152" s="1" t="n">
        <v>45210</v>
      </c>
      <c r="C1152" s="1" t="n">
        <v>46036</v>
      </c>
      <c r="D1152" t="inlineStr">
        <is>
          <t>JÄMTLANDS LÄN</t>
        </is>
      </c>
      <c r="E1152" t="inlineStr">
        <is>
          <t>RAGUNDA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41344-2024</t>
        </is>
      </c>
      <c r="B1153" s="1" t="n">
        <v>45559.67759259259</v>
      </c>
      <c r="C1153" s="1" t="n">
        <v>46036</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59670-2023</t>
        </is>
      </c>
      <c r="B1154" s="1" t="n">
        <v>45254.96516203704</v>
      </c>
      <c r="C1154" s="1" t="n">
        <v>46036</v>
      </c>
      <c r="D1154" t="inlineStr">
        <is>
          <t>JÄMTLANDS LÄN</t>
        </is>
      </c>
      <c r="E1154" t="inlineStr">
        <is>
          <t>RAGUNDA</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55508-2024</t>
        </is>
      </c>
      <c r="B1155" s="1" t="n">
        <v>45622.46200231482</v>
      </c>
      <c r="C1155" s="1" t="n">
        <v>46036</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59492-2024</t>
        </is>
      </c>
      <c r="B1156" s="1" t="n">
        <v>45638</v>
      </c>
      <c r="C1156" s="1" t="n">
        <v>46036</v>
      </c>
      <c r="D1156" t="inlineStr">
        <is>
          <t>JÄMTLANDS LÄN</t>
        </is>
      </c>
      <c r="E1156" t="inlineStr">
        <is>
          <t>RAGUNDA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20772-2024</t>
        </is>
      </c>
      <c r="B1157" s="1" t="n">
        <v>45436.94628472222</v>
      </c>
      <c r="C1157" s="1" t="n">
        <v>46036</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53757-2024</t>
        </is>
      </c>
      <c r="B1158" s="1" t="n">
        <v>45615.50034722222</v>
      </c>
      <c r="C1158" s="1" t="n">
        <v>46036</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6716-2025</t>
        </is>
      </c>
      <c r="B1159" s="1" t="n">
        <v>45700.57324074074</v>
      </c>
      <c r="C1159" s="1" t="n">
        <v>46036</v>
      </c>
      <c r="D1159" t="inlineStr">
        <is>
          <t>JÄMTLANDS LÄN</t>
        </is>
      </c>
      <c r="E1159" t="inlineStr">
        <is>
          <t>RAGUNDA</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19866-2023</t>
        </is>
      </c>
      <c r="B1160" s="1" t="n">
        <v>45053.94313657407</v>
      </c>
      <c r="C1160" s="1" t="n">
        <v>46036</v>
      </c>
      <c r="D1160" t="inlineStr">
        <is>
          <t>JÄMTLANDS LÄN</t>
        </is>
      </c>
      <c r="E1160" t="inlineStr">
        <is>
          <t>RAGUNDA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21853-2024</t>
        </is>
      </c>
      <c r="B1161" s="1" t="n">
        <v>45442.96296296296</v>
      </c>
      <c r="C1161" s="1" t="n">
        <v>46036</v>
      </c>
      <c r="D1161" t="inlineStr">
        <is>
          <t>JÄMTLANDS LÄN</t>
        </is>
      </c>
      <c r="E1161" t="inlineStr">
        <is>
          <t>RAGUNDA</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8241-2024</t>
        </is>
      </c>
      <c r="B1162" s="1" t="n">
        <v>45351.98496527778</v>
      </c>
      <c r="C1162" s="1" t="n">
        <v>46036</v>
      </c>
      <c r="D1162" t="inlineStr">
        <is>
          <t>JÄMTLANDS LÄN</t>
        </is>
      </c>
      <c r="E1162" t="inlineStr">
        <is>
          <t>RAGUNDA</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40365-2024</t>
        </is>
      </c>
      <c r="B1163" s="1" t="n">
        <v>45555.38509259259</v>
      </c>
      <c r="C1163" s="1" t="n">
        <v>46036</v>
      </c>
      <c r="D1163" t="inlineStr">
        <is>
          <t>JÄMTLANDS LÄN</t>
        </is>
      </c>
      <c r="E1163" t="inlineStr">
        <is>
          <t>RAGUNDA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20770-2024</t>
        </is>
      </c>
      <c r="B1164" s="1" t="n">
        <v>45436.94613425926</v>
      </c>
      <c r="C1164" s="1" t="n">
        <v>46036</v>
      </c>
      <c r="D1164" t="inlineStr">
        <is>
          <t>JÄMTLANDS LÄN</t>
        </is>
      </c>
      <c r="E1164" t="inlineStr">
        <is>
          <t>RAGUNDA</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7281-2024</t>
        </is>
      </c>
      <c r="B1165" s="1" t="n">
        <v>45344</v>
      </c>
      <c r="C1165" s="1" t="n">
        <v>46036</v>
      </c>
      <c r="D1165" t="inlineStr">
        <is>
          <t>JÄMTLANDS LÄN</t>
        </is>
      </c>
      <c r="E1165" t="inlineStr">
        <is>
          <t>RAGUNDA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7284-2024</t>
        </is>
      </c>
      <c r="B1166" s="1" t="n">
        <v>45344.92865740741</v>
      </c>
      <c r="C1166" s="1" t="n">
        <v>46036</v>
      </c>
      <c r="D1166" t="inlineStr">
        <is>
          <t>JÄMTLANDS LÄN</t>
        </is>
      </c>
      <c r="E1166" t="inlineStr">
        <is>
          <t>RAGUNDA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7285-2024</t>
        </is>
      </c>
      <c r="B1167" s="1" t="n">
        <v>45344.92873842592</v>
      </c>
      <c r="C1167" s="1" t="n">
        <v>46036</v>
      </c>
      <c r="D1167" t="inlineStr">
        <is>
          <t>JÄMTLANDS LÄN</t>
        </is>
      </c>
      <c r="E1167" t="inlineStr">
        <is>
          <t>RAGUNDA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53347-2023</t>
        </is>
      </c>
      <c r="B1168" s="1" t="n">
        <v>45223</v>
      </c>
      <c r="C1168" s="1" t="n">
        <v>46036</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60838-2023</t>
        </is>
      </c>
      <c r="B1169" s="1" t="n">
        <v>45260.92561342593</v>
      </c>
      <c r="C1169" s="1" t="n">
        <v>46036</v>
      </c>
      <c r="D1169" t="inlineStr">
        <is>
          <t>JÄMTLANDS LÄN</t>
        </is>
      </c>
      <c r="E1169" t="inlineStr">
        <is>
          <t>RAGUNDA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9548-2025</t>
        </is>
      </c>
      <c r="B1170" s="1" t="n">
        <v>45715.59405092592</v>
      </c>
      <c r="C1170" s="1" t="n">
        <v>46036</v>
      </c>
      <c r="D1170" t="inlineStr">
        <is>
          <t>JÄMTLANDS LÄN</t>
        </is>
      </c>
      <c r="E1170" t="inlineStr">
        <is>
          <t>RAGUNDA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53989-2024</t>
        </is>
      </c>
      <c r="B1171" s="1" t="n">
        <v>45616.34479166667</v>
      </c>
      <c r="C1171" s="1" t="n">
        <v>46036</v>
      </c>
      <c r="D1171" t="inlineStr">
        <is>
          <t>JÄMTLANDS LÄN</t>
        </is>
      </c>
      <c r="E1171" t="inlineStr">
        <is>
          <t>RAGUNDA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15581-2024</t>
        </is>
      </c>
      <c r="B1172" s="1" t="n">
        <v>45401</v>
      </c>
      <c r="C1172" s="1" t="n">
        <v>46036</v>
      </c>
      <c r="D1172" t="inlineStr">
        <is>
          <t>JÄMTLANDS LÄN</t>
        </is>
      </c>
      <c r="E1172" t="inlineStr">
        <is>
          <t>RAGUNDA</t>
        </is>
      </c>
      <c r="F1172" t="inlineStr">
        <is>
          <t>Kommuner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15611-2024</t>
        </is>
      </c>
      <c r="B1173" s="1" t="n">
        <v>45401</v>
      </c>
      <c r="C1173" s="1" t="n">
        <v>46036</v>
      </c>
      <c r="D1173" t="inlineStr">
        <is>
          <t>JÄMTLANDS LÄN</t>
        </is>
      </c>
      <c r="E1173" t="inlineStr">
        <is>
          <t>RAGUNDA</t>
        </is>
      </c>
      <c r="F1173" t="inlineStr">
        <is>
          <t>SCA</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23528-2024</t>
        </is>
      </c>
      <c r="B1174" s="1" t="n">
        <v>45453.95016203704</v>
      </c>
      <c r="C1174" s="1" t="n">
        <v>46036</v>
      </c>
      <c r="D1174" t="inlineStr">
        <is>
          <t>JÄMTLANDS LÄN</t>
        </is>
      </c>
      <c r="E1174" t="inlineStr">
        <is>
          <t>RAGUNDA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4594-2024</t>
        </is>
      </c>
      <c r="B1175" s="1" t="n">
        <v>45327.94459490741</v>
      </c>
      <c r="C1175" s="1" t="n">
        <v>46036</v>
      </c>
      <c r="D1175" t="inlineStr">
        <is>
          <t>JÄMTLANDS LÄN</t>
        </is>
      </c>
      <c r="E1175" t="inlineStr">
        <is>
          <t>RAGUNDA</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30824-2023</t>
        </is>
      </c>
      <c r="B1176" s="1" t="n">
        <v>45112.94303240741</v>
      </c>
      <c r="C1176" s="1" t="n">
        <v>46036</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16635-2025</t>
        </is>
      </c>
      <c r="B1177" s="1" t="n">
        <v>45754</v>
      </c>
      <c r="C1177" s="1" t="n">
        <v>46036</v>
      </c>
      <c r="D1177" t="inlineStr">
        <is>
          <t>JÄMTLANDS LÄN</t>
        </is>
      </c>
      <c r="E1177" t="inlineStr">
        <is>
          <t>RAGUNDA</t>
        </is>
      </c>
      <c r="F1177" t="inlineStr">
        <is>
          <t>SCA</t>
        </is>
      </c>
      <c r="G1177" t="n">
        <v>55.4</v>
      </c>
      <c r="H1177" t="n">
        <v>0</v>
      </c>
      <c r="I1177" t="n">
        <v>0</v>
      </c>
      <c r="J1177" t="n">
        <v>0</v>
      </c>
      <c r="K1177" t="n">
        <v>0</v>
      </c>
      <c r="L1177" t="n">
        <v>0</v>
      </c>
      <c r="M1177" t="n">
        <v>0</v>
      </c>
      <c r="N1177" t="n">
        <v>0</v>
      </c>
      <c r="O1177" t="n">
        <v>0</v>
      </c>
      <c r="P1177" t="n">
        <v>0</v>
      </c>
      <c r="Q1177" t="n">
        <v>0</v>
      </c>
      <c r="R1177" s="2" t="inlineStr"/>
    </row>
    <row r="1178" ht="15" customHeight="1">
      <c r="A1178" t="inlineStr">
        <is>
          <t>A 4014-2022</t>
        </is>
      </c>
      <c r="B1178" s="1" t="n">
        <v>44587.92144675926</v>
      </c>
      <c r="C1178" s="1" t="n">
        <v>46036</v>
      </c>
      <c r="D1178" t="inlineStr">
        <is>
          <t>JÄMTLANDS LÄN</t>
        </is>
      </c>
      <c r="E1178" t="inlineStr">
        <is>
          <t>RAGUNDA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1554-2024</t>
        </is>
      </c>
      <c r="B1179" s="1" t="n">
        <v>45306</v>
      </c>
      <c r="C1179" s="1" t="n">
        <v>46036</v>
      </c>
      <c r="D1179" t="inlineStr">
        <is>
          <t>JÄMTLANDS LÄN</t>
        </is>
      </c>
      <c r="E1179" t="inlineStr">
        <is>
          <t>RAGUNDA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38782-2021</t>
        </is>
      </c>
      <c r="B1180" s="1" t="n">
        <v>44410</v>
      </c>
      <c r="C1180" s="1" t="n">
        <v>46036</v>
      </c>
      <c r="D1180" t="inlineStr">
        <is>
          <t>JÄMTLANDS LÄN</t>
        </is>
      </c>
      <c r="E1180" t="inlineStr">
        <is>
          <t>RAGUNDA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20728-2025</t>
        </is>
      </c>
      <c r="B1181" s="1" t="n">
        <v>45776.51130787037</v>
      </c>
      <c r="C1181" s="1" t="n">
        <v>46036</v>
      </c>
      <c r="D1181" t="inlineStr">
        <is>
          <t>JÄMTLANDS LÄN</t>
        </is>
      </c>
      <c r="E1181" t="inlineStr">
        <is>
          <t>RAGUNDA</t>
        </is>
      </c>
      <c r="F1181" t="inlineStr">
        <is>
          <t>Kommuner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20653-2025</t>
        </is>
      </c>
      <c r="B1182" s="1" t="n">
        <v>45776.40311342593</v>
      </c>
      <c r="C1182" s="1" t="n">
        <v>46036</v>
      </c>
      <c r="D1182" t="inlineStr">
        <is>
          <t>JÄMTLANDS LÄN</t>
        </is>
      </c>
      <c r="E1182" t="inlineStr">
        <is>
          <t>RAGUNDA</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20722-2025</t>
        </is>
      </c>
      <c r="B1183" s="1" t="n">
        <v>45776.50651620371</v>
      </c>
      <c r="C1183" s="1" t="n">
        <v>46036</v>
      </c>
      <c r="D1183" t="inlineStr">
        <is>
          <t>JÄMTLANDS LÄN</t>
        </is>
      </c>
      <c r="E1183" t="inlineStr">
        <is>
          <t>RAGUNDA</t>
        </is>
      </c>
      <c r="F1183" t="inlineStr">
        <is>
          <t>Kommuner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20777-2025</t>
        </is>
      </c>
      <c r="B1184" s="1" t="n">
        <v>45776.59422453704</v>
      </c>
      <c r="C1184" s="1" t="n">
        <v>46036</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21150-2025</t>
        </is>
      </c>
      <c r="B1185" s="1" t="n">
        <v>45779.34417824074</v>
      </c>
      <c r="C1185" s="1" t="n">
        <v>46036</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21214-2025</t>
        </is>
      </c>
      <c r="B1186" s="1" t="n">
        <v>45779.49025462963</v>
      </c>
      <c r="C1186" s="1" t="n">
        <v>46036</v>
      </c>
      <c r="D1186" t="inlineStr">
        <is>
          <t>JÄMTLANDS LÄN</t>
        </is>
      </c>
      <c r="E1186" t="inlineStr">
        <is>
          <t>RAGUNDA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22941-2024</t>
        </is>
      </c>
      <c r="B1187" s="1" t="n">
        <v>45448.94520833333</v>
      </c>
      <c r="C1187" s="1" t="n">
        <v>46036</v>
      </c>
      <c r="D1187" t="inlineStr">
        <is>
          <t>JÄMTLANDS LÄN</t>
        </is>
      </c>
      <c r="E1187" t="inlineStr">
        <is>
          <t>RAGUNDA</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21430-2025</t>
        </is>
      </c>
      <c r="B1188" s="1" t="n">
        <v>45782.51099537037</v>
      </c>
      <c r="C1188" s="1" t="n">
        <v>46036</v>
      </c>
      <c r="D1188" t="inlineStr">
        <is>
          <t>JÄMTLANDS LÄN</t>
        </is>
      </c>
      <c r="E1188" t="inlineStr">
        <is>
          <t>RAGUNDA</t>
        </is>
      </c>
      <c r="F1188" t="inlineStr">
        <is>
          <t>SCA</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44881-2023</t>
        </is>
      </c>
      <c r="B1189" s="1" t="n">
        <v>45187</v>
      </c>
      <c r="C1189" s="1" t="n">
        <v>46036</v>
      </c>
      <c r="D1189" t="inlineStr">
        <is>
          <t>JÄMTLANDS LÄN</t>
        </is>
      </c>
      <c r="E1189" t="inlineStr">
        <is>
          <t>RAGUNDA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21451-2025</t>
        </is>
      </c>
      <c r="B1190" s="1" t="n">
        <v>45782.55287037037</v>
      </c>
      <c r="C1190" s="1" t="n">
        <v>46036</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21432-2025</t>
        </is>
      </c>
      <c r="B1191" s="1" t="n">
        <v>45782.51109953703</v>
      </c>
      <c r="C1191" s="1" t="n">
        <v>46036</v>
      </c>
      <c r="D1191" t="inlineStr">
        <is>
          <t>JÄMTLANDS LÄN</t>
        </is>
      </c>
      <c r="E1191" t="inlineStr">
        <is>
          <t>RAGUNDA</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21331-2025</t>
        </is>
      </c>
      <c r="B1192" s="1" t="n">
        <v>45782.36494212963</v>
      </c>
      <c r="C1192" s="1" t="n">
        <v>46036</v>
      </c>
      <c r="D1192" t="inlineStr">
        <is>
          <t>JÄMTLANDS LÄN</t>
        </is>
      </c>
      <c r="E1192" t="inlineStr">
        <is>
          <t>RAGUNDA</t>
        </is>
      </c>
      <c r="F1192" t="inlineStr">
        <is>
          <t>SCA</t>
        </is>
      </c>
      <c r="G1192" t="n">
        <v>23.1</v>
      </c>
      <c r="H1192" t="n">
        <v>0</v>
      </c>
      <c r="I1192" t="n">
        <v>0</v>
      </c>
      <c r="J1192" t="n">
        <v>0</v>
      </c>
      <c r="K1192" t="n">
        <v>0</v>
      </c>
      <c r="L1192" t="n">
        <v>0</v>
      </c>
      <c r="M1192" t="n">
        <v>0</v>
      </c>
      <c r="N1192" t="n">
        <v>0</v>
      </c>
      <c r="O1192" t="n">
        <v>0</v>
      </c>
      <c r="P1192" t="n">
        <v>0</v>
      </c>
      <c r="Q1192" t="n">
        <v>0</v>
      </c>
      <c r="R1192" s="2" t="inlineStr"/>
      <c r="U1192">
        <f>HYPERLINK("https://klasma.github.io/Logging_2303/knärot/A 21331-2025 karta knärot.png", "A 21331-2025")</f>
        <v/>
      </c>
      <c r="V1192">
        <f>HYPERLINK("https://klasma.github.io/Logging_2303/klagomål/A 21331-2025 FSC-klagomål.docx", "A 21331-2025")</f>
        <v/>
      </c>
      <c r="W1192">
        <f>HYPERLINK("https://klasma.github.io/Logging_2303/klagomålsmail/A 21331-2025 FSC-klagomål mail.docx", "A 21331-2025")</f>
        <v/>
      </c>
      <c r="X1192">
        <f>HYPERLINK("https://klasma.github.io/Logging_2303/tillsyn/A 21331-2025 tillsynsbegäran.docx", "A 21331-2025")</f>
        <v/>
      </c>
      <c r="Y1192">
        <f>HYPERLINK("https://klasma.github.io/Logging_2303/tillsynsmail/A 21331-2025 tillsynsbegäran mail.docx", "A 21331-2025")</f>
        <v/>
      </c>
    </row>
    <row r="1193" ht="15" customHeight="1">
      <c r="A1193" t="inlineStr">
        <is>
          <t>A 21550-2025</t>
        </is>
      </c>
      <c r="B1193" s="1" t="n">
        <v>45782.67758101852</v>
      </c>
      <c r="C1193" s="1" t="n">
        <v>46036</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57889-2024</t>
        </is>
      </c>
      <c r="B1194" s="1" t="n">
        <v>45631.46665509259</v>
      </c>
      <c r="C1194" s="1" t="n">
        <v>46036</v>
      </c>
      <c r="D1194" t="inlineStr">
        <is>
          <t>JÄMTLANDS LÄN</t>
        </is>
      </c>
      <c r="E1194" t="inlineStr">
        <is>
          <t>RAGUNDA</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60629-2023</t>
        </is>
      </c>
      <c r="B1195" s="1" t="n">
        <v>45259</v>
      </c>
      <c r="C1195" s="1" t="n">
        <v>46036</v>
      </c>
      <c r="D1195" t="inlineStr">
        <is>
          <t>JÄMTLANDS LÄN</t>
        </is>
      </c>
      <c r="E1195" t="inlineStr">
        <is>
          <t>RAGUNDA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22388-2025</t>
        </is>
      </c>
      <c r="B1196" s="1" t="n">
        <v>45786.51077546296</v>
      </c>
      <c r="C1196" s="1" t="n">
        <v>46036</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22898-2025</t>
        </is>
      </c>
      <c r="B1197" s="1" t="n">
        <v>45790.40670138889</v>
      </c>
      <c r="C1197" s="1" t="n">
        <v>46036</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23253-2025</t>
        </is>
      </c>
      <c r="B1198" s="1" t="n">
        <v>45791.53238425926</v>
      </c>
      <c r="C1198" s="1" t="n">
        <v>46036</v>
      </c>
      <c r="D1198" t="inlineStr">
        <is>
          <t>JÄMTLANDS LÄN</t>
        </is>
      </c>
      <c r="E1198" t="inlineStr">
        <is>
          <t>RAGUNDA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23413-2025</t>
        </is>
      </c>
      <c r="B1199" s="1" t="n">
        <v>45792.34606481482</v>
      </c>
      <c r="C1199" s="1" t="n">
        <v>46036</v>
      </c>
      <c r="D1199" t="inlineStr">
        <is>
          <t>JÄMTLANDS LÄN</t>
        </is>
      </c>
      <c r="E1199" t="inlineStr">
        <is>
          <t>RAGUNDA</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23586-2025</t>
        </is>
      </c>
      <c r="B1200" s="1" t="n">
        <v>45792.63584490741</v>
      </c>
      <c r="C1200" s="1" t="n">
        <v>46036</v>
      </c>
      <c r="D1200" t="inlineStr">
        <is>
          <t>JÄMTLANDS LÄN</t>
        </is>
      </c>
      <c r="E1200" t="inlineStr">
        <is>
          <t>RAGUNDA</t>
        </is>
      </c>
      <c r="F1200" t="inlineStr">
        <is>
          <t>SCA</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23841-2025</t>
        </is>
      </c>
      <c r="B1201" s="1" t="n">
        <v>45793.61523148148</v>
      </c>
      <c r="C1201" s="1" t="n">
        <v>46036</v>
      </c>
      <c r="D1201" t="inlineStr">
        <is>
          <t>JÄMTLANDS LÄN</t>
        </is>
      </c>
      <c r="E1201" t="inlineStr">
        <is>
          <t>RAGUNDA</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23507-2025</t>
        </is>
      </c>
      <c r="B1202" s="1" t="n">
        <v>45792.49023148148</v>
      </c>
      <c r="C1202" s="1" t="n">
        <v>46036</v>
      </c>
      <c r="D1202" t="inlineStr">
        <is>
          <t>JÄMTLANDS LÄN</t>
        </is>
      </c>
      <c r="E1202" t="inlineStr">
        <is>
          <t>RAGUNDA</t>
        </is>
      </c>
      <c r="F1202" t="inlineStr">
        <is>
          <t>SCA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23840-2025</t>
        </is>
      </c>
      <c r="B1203" s="1" t="n">
        <v>45793</v>
      </c>
      <c r="C1203" s="1" t="n">
        <v>46036</v>
      </c>
      <c r="D1203" t="inlineStr">
        <is>
          <t>JÄMTLANDS LÄN</t>
        </is>
      </c>
      <c r="E1203" t="inlineStr">
        <is>
          <t>RAGUNDA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23654-2025</t>
        </is>
      </c>
      <c r="B1204" s="1" t="n">
        <v>45792.71905092592</v>
      </c>
      <c r="C1204" s="1" t="n">
        <v>46036</v>
      </c>
      <c r="D1204" t="inlineStr">
        <is>
          <t>JÄMTLANDS LÄN</t>
        </is>
      </c>
      <c r="E1204" t="inlineStr">
        <is>
          <t>RAGUNDA</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23405-2025</t>
        </is>
      </c>
      <c r="B1205" s="1" t="n">
        <v>45792.34527777778</v>
      </c>
      <c r="C1205" s="1" t="n">
        <v>46036</v>
      </c>
      <c r="D1205" t="inlineStr">
        <is>
          <t>JÄMTLANDS LÄN</t>
        </is>
      </c>
      <c r="E1205" t="inlineStr">
        <is>
          <t>RAGUNDA</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18284-2025</t>
        </is>
      </c>
      <c r="B1206" s="1" t="n">
        <v>45762.39876157408</v>
      </c>
      <c r="C1206" s="1" t="n">
        <v>46036</v>
      </c>
      <c r="D1206" t="inlineStr">
        <is>
          <t>JÄMTLANDS LÄN</t>
        </is>
      </c>
      <c r="E1206" t="inlineStr">
        <is>
          <t>RAGUNDA</t>
        </is>
      </c>
      <c r="G1206" t="n">
        <v>0.2</v>
      </c>
      <c r="H1206" t="n">
        <v>0</v>
      </c>
      <c r="I1206" t="n">
        <v>0</v>
      </c>
      <c r="J1206" t="n">
        <v>0</v>
      </c>
      <c r="K1206" t="n">
        <v>0</v>
      </c>
      <c r="L1206" t="n">
        <v>0</v>
      </c>
      <c r="M1206" t="n">
        <v>0</v>
      </c>
      <c r="N1206" t="n">
        <v>0</v>
      </c>
      <c r="O1206" t="n">
        <v>0</v>
      </c>
      <c r="P1206" t="n">
        <v>0</v>
      </c>
      <c r="Q1206" t="n">
        <v>0</v>
      </c>
      <c r="R1206" s="2" t="inlineStr"/>
      <c r="U1206">
        <f>HYPERLINK("https://klasma.github.io/Logging_2303/knärot/A 18284-2025 karta knärot.png", "A 18284-2025")</f>
        <v/>
      </c>
      <c r="V1206">
        <f>HYPERLINK("https://klasma.github.io/Logging_2303/klagomål/A 18284-2025 FSC-klagomål.docx", "A 18284-2025")</f>
        <v/>
      </c>
      <c r="W1206">
        <f>HYPERLINK("https://klasma.github.io/Logging_2303/klagomålsmail/A 18284-2025 FSC-klagomål mail.docx", "A 18284-2025")</f>
        <v/>
      </c>
      <c r="X1206">
        <f>HYPERLINK("https://klasma.github.io/Logging_2303/tillsyn/A 18284-2025 tillsynsbegäran.docx", "A 18284-2025")</f>
        <v/>
      </c>
      <c r="Y1206">
        <f>HYPERLINK("https://klasma.github.io/Logging_2303/tillsynsmail/A 18284-2025 tillsynsbegäran mail.docx", "A 18284-2025")</f>
        <v/>
      </c>
    </row>
    <row r="1207" ht="15" customHeight="1">
      <c r="A1207" t="inlineStr">
        <is>
          <t>A 19263-2025</t>
        </is>
      </c>
      <c r="B1207" s="1" t="n">
        <v>45769.51075231482</v>
      </c>
      <c r="C1207" s="1" t="n">
        <v>46036</v>
      </c>
      <c r="D1207" t="inlineStr">
        <is>
          <t>JÄMTLANDS LÄN</t>
        </is>
      </c>
      <c r="E1207" t="inlineStr">
        <is>
          <t>RAGUNDA</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24158-2025</t>
        </is>
      </c>
      <c r="B1208" s="1" t="n">
        <v>45796</v>
      </c>
      <c r="C1208" s="1" t="n">
        <v>46036</v>
      </c>
      <c r="D1208" t="inlineStr">
        <is>
          <t>JÄMTLANDS LÄN</t>
        </is>
      </c>
      <c r="E1208" t="inlineStr">
        <is>
          <t>RAGUNDA</t>
        </is>
      </c>
      <c r="G1208" t="n">
        <v>2.9</v>
      </c>
      <c r="H1208" t="n">
        <v>0</v>
      </c>
      <c r="I1208" t="n">
        <v>0</v>
      </c>
      <c r="J1208" t="n">
        <v>0</v>
      </c>
      <c r="K1208" t="n">
        <v>0</v>
      </c>
      <c r="L1208" t="n">
        <v>0</v>
      </c>
      <c r="M1208" t="n">
        <v>0</v>
      </c>
      <c r="N1208" t="n">
        <v>0</v>
      </c>
      <c r="O1208" t="n">
        <v>0</v>
      </c>
      <c r="P1208" t="n">
        <v>0</v>
      </c>
      <c r="Q1208" t="n">
        <v>0</v>
      </c>
      <c r="R1208" s="2" t="inlineStr"/>
      <c r="U1208">
        <f>HYPERLINK("https://klasma.github.io/Logging_2303/knärot/A 24158-2025 karta knärot.png", "A 24158-2025")</f>
        <v/>
      </c>
      <c r="V1208">
        <f>HYPERLINK("https://klasma.github.io/Logging_2303/klagomål/A 24158-2025 FSC-klagomål.docx", "A 24158-2025")</f>
        <v/>
      </c>
      <c r="W1208">
        <f>HYPERLINK("https://klasma.github.io/Logging_2303/klagomålsmail/A 24158-2025 FSC-klagomål mail.docx", "A 24158-2025")</f>
        <v/>
      </c>
      <c r="X1208">
        <f>HYPERLINK("https://klasma.github.io/Logging_2303/tillsyn/A 24158-2025 tillsynsbegäran.docx", "A 24158-2025")</f>
        <v/>
      </c>
      <c r="Y1208">
        <f>HYPERLINK("https://klasma.github.io/Logging_2303/tillsynsmail/A 24158-2025 tillsynsbegäran mail.docx", "A 24158-2025")</f>
        <v/>
      </c>
    </row>
    <row r="1209" ht="15" customHeight="1">
      <c r="A1209" t="inlineStr">
        <is>
          <t>A 24161-2025</t>
        </is>
      </c>
      <c r="B1209" s="1" t="n">
        <v>45796</v>
      </c>
      <c r="C1209" s="1" t="n">
        <v>46036</v>
      </c>
      <c r="D1209" t="inlineStr">
        <is>
          <t>JÄMTLANDS LÄN</t>
        </is>
      </c>
      <c r="E1209" t="inlineStr">
        <is>
          <t>RAGUNDA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24159-2025</t>
        </is>
      </c>
      <c r="B1210" s="1" t="n">
        <v>45796</v>
      </c>
      <c r="C1210" s="1" t="n">
        <v>46036</v>
      </c>
      <c r="D1210" t="inlineStr">
        <is>
          <t>JÄMTLANDS LÄN</t>
        </is>
      </c>
      <c r="E1210" t="inlineStr">
        <is>
          <t>RAGUNDA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24391-2025</t>
        </is>
      </c>
      <c r="B1211" s="1" t="n">
        <v>45797.63627314815</v>
      </c>
      <c r="C1211" s="1" t="n">
        <v>46036</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62407-2023</t>
        </is>
      </c>
      <c r="B1212" s="1" t="n">
        <v>45266</v>
      </c>
      <c r="C1212" s="1" t="n">
        <v>46036</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21524-2024</t>
        </is>
      </c>
      <c r="B1213" s="1" t="n">
        <v>45441</v>
      </c>
      <c r="C1213" s="1" t="n">
        <v>46036</v>
      </c>
      <c r="D1213" t="inlineStr">
        <is>
          <t>JÄMTLANDS LÄN</t>
        </is>
      </c>
      <c r="E1213" t="inlineStr">
        <is>
          <t>RAGUNDA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38191-2024</t>
        </is>
      </c>
      <c r="B1214" s="1" t="n">
        <v>45545.49078703704</v>
      </c>
      <c r="C1214" s="1" t="n">
        <v>46036</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25631-2025</t>
        </is>
      </c>
      <c r="B1215" s="1" t="n">
        <v>45803.5946875</v>
      </c>
      <c r="C1215" s="1" t="n">
        <v>46036</v>
      </c>
      <c r="D1215" t="inlineStr">
        <is>
          <t>JÄMTLANDS LÄN</t>
        </is>
      </c>
      <c r="E1215" t="inlineStr">
        <is>
          <t>RAGUNDA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25376-2025</t>
        </is>
      </c>
      <c r="B1216" s="1" t="n">
        <v>45800.63619212963</v>
      </c>
      <c r="C1216" s="1" t="n">
        <v>46036</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25175-2025</t>
        </is>
      </c>
      <c r="B1217" s="1" t="n">
        <v>45800.44822916666</v>
      </c>
      <c r="C1217" s="1" t="n">
        <v>46036</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25177-2025</t>
        </is>
      </c>
      <c r="B1218" s="1" t="n">
        <v>45800.44862268519</v>
      </c>
      <c r="C1218" s="1" t="n">
        <v>46036</v>
      </c>
      <c r="D1218" t="inlineStr">
        <is>
          <t>JÄMTLANDS LÄN</t>
        </is>
      </c>
      <c r="E1218" t="inlineStr">
        <is>
          <t>RAGUNDA</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25659-2025</t>
        </is>
      </c>
      <c r="B1219" s="1" t="n">
        <v>45803.61552083334</v>
      </c>
      <c r="C1219" s="1" t="n">
        <v>46036</v>
      </c>
      <c r="D1219" t="inlineStr">
        <is>
          <t>JÄMTLANDS LÄN</t>
        </is>
      </c>
      <c r="E1219" t="inlineStr">
        <is>
          <t>RAGUNDA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25661-2025</t>
        </is>
      </c>
      <c r="B1220" s="1" t="n">
        <v>45803.61557870371</v>
      </c>
      <c r="C1220" s="1" t="n">
        <v>46036</v>
      </c>
      <c r="D1220" t="inlineStr">
        <is>
          <t>JÄMTLANDS LÄN</t>
        </is>
      </c>
      <c r="E1220" t="inlineStr">
        <is>
          <t>RAGUNDA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25350-2025</t>
        </is>
      </c>
      <c r="B1221" s="1" t="n">
        <v>45800</v>
      </c>
      <c r="C1221" s="1" t="n">
        <v>46036</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25152-2025</t>
        </is>
      </c>
      <c r="B1222" s="1" t="n">
        <v>45800.42743055556</v>
      </c>
      <c r="C1222" s="1" t="n">
        <v>46036</v>
      </c>
      <c r="D1222" t="inlineStr">
        <is>
          <t>JÄMTLANDS LÄN</t>
        </is>
      </c>
      <c r="E1222" t="inlineStr">
        <is>
          <t>RAGUNDA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19613-2023</t>
        </is>
      </c>
      <c r="B1223" s="1" t="n">
        <v>45050.94020833333</v>
      </c>
      <c r="C1223" s="1" t="n">
        <v>46036</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25814-2025</t>
        </is>
      </c>
      <c r="B1224" s="1" t="n">
        <v>45804.42642361111</v>
      </c>
      <c r="C1224" s="1" t="n">
        <v>46036</v>
      </c>
      <c r="D1224" t="inlineStr">
        <is>
          <t>JÄMTLANDS LÄN</t>
        </is>
      </c>
      <c r="E1224" t="inlineStr">
        <is>
          <t>RAGUNDA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25944-2025</t>
        </is>
      </c>
      <c r="B1225" s="1" t="n">
        <v>45804.59487268519</v>
      </c>
      <c r="C1225" s="1" t="n">
        <v>46036</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26283-2025</t>
        </is>
      </c>
      <c r="B1226" s="1" t="n">
        <v>45805.61495370371</v>
      </c>
      <c r="C1226" s="1" t="n">
        <v>46036</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10788-2025</t>
        </is>
      </c>
      <c r="B1227" s="1" t="n">
        <v>45722.48982638889</v>
      </c>
      <c r="C1227" s="1" t="n">
        <v>46036</v>
      </c>
      <c r="D1227" t="inlineStr">
        <is>
          <t>JÄMTLANDS LÄN</t>
        </is>
      </c>
      <c r="E1227" t="inlineStr">
        <is>
          <t>RAGUNDA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24258-2025</t>
        </is>
      </c>
      <c r="B1228" s="1" t="n">
        <v>45797.40800925926</v>
      </c>
      <c r="C1228" s="1" t="n">
        <v>46036</v>
      </c>
      <c r="D1228" t="inlineStr">
        <is>
          <t>JÄMTLANDS LÄN</t>
        </is>
      </c>
      <c r="E1228" t="inlineStr">
        <is>
          <t>RAGUNDA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25994-2025</t>
        </is>
      </c>
      <c r="B1229" s="1" t="n">
        <v>45804.65672453704</v>
      </c>
      <c r="C1229" s="1" t="n">
        <v>46036</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26172-2025</t>
        </is>
      </c>
      <c r="B1230" s="1" t="n">
        <v>45805.46613425926</v>
      </c>
      <c r="C1230" s="1" t="n">
        <v>46036</v>
      </c>
      <c r="D1230" t="inlineStr">
        <is>
          <t>JÄMTLANDS LÄN</t>
        </is>
      </c>
      <c r="E1230" t="inlineStr">
        <is>
          <t>RAGUNDA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26246-2025</t>
        </is>
      </c>
      <c r="B1231" s="1" t="n">
        <v>45805.57390046296</v>
      </c>
      <c r="C1231" s="1" t="n">
        <v>46036</v>
      </c>
      <c r="D1231" t="inlineStr">
        <is>
          <t>JÄMTLANDS LÄN</t>
        </is>
      </c>
      <c r="E1231" t="inlineStr">
        <is>
          <t>RAGUNDA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73278-2021</t>
        </is>
      </c>
      <c r="B1232" s="1" t="n">
        <v>44550.92168981482</v>
      </c>
      <c r="C1232" s="1" t="n">
        <v>46036</v>
      </c>
      <c r="D1232" t="inlineStr">
        <is>
          <t>JÄMTLANDS LÄN</t>
        </is>
      </c>
      <c r="E1232" t="inlineStr">
        <is>
          <t>RAGUNDA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51396-2024</t>
        </is>
      </c>
      <c r="B1233" s="1" t="n">
        <v>45604.4190625</v>
      </c>
      <c r="C1233" s="1" t="n">
        <v>46036</v>
      </c>
      <c r="D1233" t="inlineStr">
        <is>
          <t>JÄMTLANDS LÄN</t>
        </is>
      </c>
      <c r="E1233" t="inlineStr">
        <is>
          <t>RAGUNDA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26640-2025</t>
        </is>
      </c>
      <c r="B1234" s="1" t="n">
        <v>45810.36495370371</v>
      </c>
      <c r="C1234" s="1" t="n">
        <v>46036</v>
      </c>
      <c r="D1234" t="inlineStr">
        <is>
          <t>JÄMTLANDS LÄN</t>
        </is>
      </c>
      <c r="E1234" t="inlineStr">
        <is>
          <t>RAGUNDA</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2001-2025</t>
        </is>
      </c>
      <c r="B1235" s="1" t="n">
        <v>45672.44898148148</v>
      </c>
      <c r="C1235" s="1" t="n">
        <v>46036</v>
      </c>
      <c r="D1235" t="inlineStr">
        <is>
          <t>JÄMTLANDS LÄN</t>
        </is>
      </c>
      <c r="E1235" t="inlineStr">
        <is>
          <t>RAGUNDA</t>
        </is>
      </c>
      <c r="F1235" t="inlineStr">
        <is>
          <t>SCA</t>
        </is>
      </c>
      <c r="G1235" t="n">
        <v>16.2</v>
      </c>
      <c r="H1235" t="n">
        <v>0</v>
      </c>
      <c r="I1235" t="n">
        <v>0</v>
      </c>
      <c r="J1235" t="n">
        <v>0</v>
      </c>
      <c r="K1235" t="n">
        <v>0</v>
      </c>
      <c r="L1235" t="n">
        <v>0</v>
      </c>
      <c r="M1235" t="n">
        <v>0</v>
      </c>
      <c r="N1235" t="n">
        <v>0</v>
      </c>
      <c r="O1235" t="n">
        <v>0</v>
      </c>
      <c r="P1235" t="n">
        <v>0</v>
      </c>
      <c r="Q1235" t="n">
        <v>0</v>
      </c>
      <c r="R1235" s="2" t="inlineStr"/>
    </row>
    <row r="1236">
      <c r="A1236" t="inlineStr">
        <is>
          <t>A 53762-2023</t>
        </is>
      </c>
      <c r="B1236" s="1" t="n">
        <v>45230.96376157407</v>
      </c>
      <c r="C1236" s="1" t="n">
        <v>46036</v>
      </c>
      <c r="D1236" t="inlineStr">
        <is>
          <t>JÄMTLANDS LÄN</t>
        </is>
      </c>
      <c r="E1236" t="inlineStr">
        <is>
          <t>RAGUNDA</t>
        </is>
      </c>
      <c r="F1236" t="inlineStr">
        <is>
          <t>SCA</t>
        </is>
      </c>
      <c r="G1236" t="n">
        <v>4.1</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2026-01-14T10:51:49Z</dcterms:created>
  <dcterms:modified xmlns:dcterms="http://purl.org/dc/terms/" xmlns:xsi="http://www.w3.org/2001/XMLSchema-instance" xsi:type="dcterms:W3CDTF">2026-01-14T10:51:50Z</dcterms:modified>
</cp:coreProperties>
</file>