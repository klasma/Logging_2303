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45926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45926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45926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45926</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45926</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45926</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45926</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45926</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45926</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45926</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29068-2023</t>
        </is>
      </c>
      <c r="B14" s="1" t="n">
        <v>45104</v>
      </c>
      <c r="C14" s="1" t="n">
        <v>45926</v>
      </c>
      <c r="D14" t="inlineStr">
        <is>
          <t>JÄMTLANDS LÄN</t>
        </is>
      </c>
      <c r="E14" t="inlineStr">
        <is>
          <t>RAGUNDA</t>
        </is>
      </c>
      <c r="F14" t="inlineStr">
        <is>
          <t>SCA</t>
        </is>
      </c>
      <c r="G14" t="n">
        <v>10.8</v>
      </c>
      <c r="H14" t="n">
        <v>0</v>
      </c>
      <c r="I14" t="n">
        <v>2</v>
      </c>
      <c r="J14" t="n">
        <v>10</v>
      </c>
      <c r="K14" t="n">
        <v>4</v>
      </c>
      <c r="L14" t="n">
        <v>0</v>
      </c>
      <c r="M14" t="n">
        <v>0</v>
      </c>
      <c r="N14" t="n">
        <v>0</v>
      </c>
      <c r="O14" t="n">
        <v>14</v>
      </c>
      <c r="P14" t="n">
        <v>4</v>
      </c>
      <c r="Q14" t="n">
        <v>16</v>
      </c>
      <c r="R14" s="2" t="inlineStr">
        <is>
          <t>Fläckporing
Goliatmusseron
Gräddporing
Smalfotad taggsvamp
Blanksvart spiklav
Blå taggsvamp
Dvärgbägarlav
Garnlav
Motaggsvamp
Orange taggsvamp
Skrovlig taggsvamp
Svartvit taggsvamp
Tallriska
Vedflamlav
Dropptaggsvamp
Skarp dropptaggsvamp</t>
        </is>
      </c>
      <c r="S14">
        <f>HYPERLINK("https://klasma.github.io/Logging_2303/artfynd/A 29068-2023 artfynd.xlsx", "A 29068-2023")</f>
        <v/>
      </c>
      <c r="T14">
        <f>HYPERLINK("https://klasma.github.io/Logging_2303/kartor/A 29068-2023 karta.png", "A 29068-2023")</f>
        <v/>
      </c>
      <c r="V14">
        <f>HYPERLINK("https://klasma.github.io/Logging_2303/klagomål/A 29068-2023 FSC-klagomål.docx", "A 29068-2023")</f>
        <v/>
      </c>
      <c r="W14">
        <f>HYPERLINK("https://klasma.github.io/Logging_2303/klagomålsmail/A 29068-2023 FSC-klagomål mail.docx", "A 29068-2023")</f>
        <v/>
      </c>
      <c r="X14">
        <f>HYPERLINK("https://klasma.github.io/Logging_2303/tillsyn/A 29068-2023 tillsynsbegäran.docx", "A 29068-2023")</f>
        <v/>
      </c>
      <c r="Y14">
        <f>HYPERLINK("https://klasma.github.io/Logging_2303/tillsynsmail/A 29068-2023 tillsynsbegäran mail.docx", "A 29068-2023")</f>
        <v/>
      </c>
    </row>
    <row r="15" ht="15" customHeight="1">
      <c r="A15" t="inlineStr">
        <is>
          <t>A 41415-2024</t>
        </is>
      </c>
      <c r="B15" s="1" t="n">
        <v>45560.34532407407</v>
      </c>
      <c r="C15" s="1" t="n">
        <v>45926</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12040-2025</t>
        </is>
      </c>
      <c r="B16" s="1" t="n">
        <v>45728.65684027778</v>
      </c>
      <c r="C16" s="1" t="n">
        <v>45926</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45926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45926</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45926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45367.04916666666</v>
      </c>
      <c r="C20" s="1" t="n">
        <v>45926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54810-2021</t>
        </is>
      </c>
      <c r="B21" s="1" t="n">
        <v>44473</v>
      </c>
      <c r="C21" s="1" t="n">
        <v>45926</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45926</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59762-2024</t>
        </is>
      </c>
      <c r="B23" s="1" t="n">
        <v>45639.55269675926</v>
      </c>
      <c r="C23" s="1" t="n">
        <v>45926</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45926</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45926</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45926</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45926</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43107-2023</t>
        </is>
      </c>
      <c r="B28" s="1" t="n">
        <v>45182</v>
      </c>
      <c r="C28" s="1" t="n">
        <v>45926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45926</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31839-2022</t>
        </is>
      </c>
      <c r="B30" s="1" t="n">
        <v>44776</v>
      </c>
      <c r="C30" s="1" t="n">
        <v>45926</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25632-2025</t>
        </is>
      </c>
      <c r="B31" s="1" t="n">
        <v>45803.59474537037</v>
      </c>
      <c r="C31" s="1" t="n">
        <v>45926</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45926</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45926</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22986-2025</t>
        </is>
      </c>
      <c r="B34" s="1" t="n">
        <v>45790.57349537037</v>
      </c>
      <c r="C34" s="1" t="n">
        <v>45926</v>
      </c>
      <c r="D34" t="inlineStr">
        <is>
          <t>JÄMTLANDS LÄN</t>
        </is>
      </c>
      <c r="E34" t="inlineStr">
        <is>
          <t>RAGUNDA</t>
        </is>
      </c>
      <c r="F34" t="inlineStr">
        <is>
          <t>SCA</t>
        </is>
      </c>
      <c r="G34" t="n">
        <v>3.3</v>
      </c>
      <c r="H34" t="n">
        <v>6</v>
      </c>
      <c r="I34" t="n">
        <v>1</v>
      </c>
      <c r="J34" t="n">
        <v>6</v>
      </c>
      <c r="K34" t="n">
        <v>2</v>
      </c>
      <c r="L34" t="n">
        <v>0</v>
      </c>
      <c r="M34" t="n">
        <v>0</v>
      </c>
      <c r="N34" t="n">
        <v>0</v>
      </c>
      <c r="O34" t="n">
        <v>8</v>
      </c>
      <c r="P34" t="n">
        <v>2</v>
      </c>
      <c r="Q34" t="n">
        <v>11</v>
      </c>
      <c r="R34" s="2" t="inlineStr">
        <is>
          <t>Doftticka
Knärot
Doftskinn
Garnlav
Lunglav
Talltita
Tretåig hackspett
Ullticka
Stuplav
Fläcknycklar
Mattlummer</t>
        </is>
      </c>
      <c r="S34">
        <f>HYPERLINK("https://klasma.github.io/Logging_2303/artfynd/A 22986-2025 artfynd.xlsx", "A 22986-2025")</f>
        <v/>
      </c>
      <c r="T34">
        <f>HYPERLINK("https://klasma.github.io/Logging_2303/kartor/A 22986-2025 karta.png", "A 22986-2025")</f>
        <v/>
      </c>
      <c r="U34">
        <f>HYPERLINK("https://klasma.github.io/Logging_2303/knärot/A 22986-2025 karta knärot.png", "A 22986-2025")</f>
        <v/>
      </c>
      <c r="V34">
        <f>HYPERLINK("https://klasma.github.io/Logging_2303/klagomål/A 22986-2025 FSC-klagomål.docx", "A 22986-2025")</f>
        <v/>
      </c>
      <c r="W34">
        <f>HYPERLINK("https://klasma.github.io/Logging_2303/klagomålsmail/A 22986-2025 FSC-klagomål mail.docx", "A 22986-2025")</f>
        <v/>
      </c>
      <c r="X34">
        <f>HYPERLINK("https://klasma.github.io/Logging_2303/tillsyn/A 22986-2025 tillsynsbegäran.docx", "A 22986-2025")</f>
        <v/>
      </c>
      <c r="Y34">
        <f>HYPERLINK("https://klasma.github.io/Logging_2303/tillsynsmail/A 22986-2025 tillsynsbegäran mail.docx", "A 22986-2025")</f>
        <v/>
      </c>
      <c r="Z34">
        <f>HYPERLINK("https://klasma.github.io/Logging_2303/fåglar/A 22986-2025 prioriterade fågelarter.docx", "A 22986-2025")</f>
        <v/>
      </c>
    </row>
    <row r="35" ht="15" customHeight="1">
      <c r="A35" t="inlineStr">
        <is>
          <t>A 36943-2022</t>
        </is>
      </c>
      <c r="B35" s="1" t="n">
        <v>44805</v>
      </c>
      <c r="C35" s="1" t="n">
        <v>45926</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45926</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10982-2025</t>
        </is>
      </c>
      <c r="B37" s="1" t="n">
        <v>45723.40688657408</v>
      </c>
      <c r="C37" s="1" t="n">
        <v>45926</v>
      </c>
      <c r="D37" t="inlineStr">
        <is>
          <t>JÄMTLANDS LÄN</t>
        </is>
      </c>
      <c r="E37" t="inlineStr">
        <is>
          <t>RAGUNDA</t>
        </is>
      </c>
      <c r="F37" t="inlineStr">
        <is>
          <t>SCA</t>
        </is>
      </c>
      <c r="G37" t="n">
        <v>6.4</v>
      </c>
      <c r="H37" t="n">
        <v>0</v>
      </c>
      <c r="I37" t="n">
        <v>7</v>
      </c>
      <c r="J37" t="n">
        <v>3</v>
      </c>
      <c r="K37" t="n">
        <v>0</v>
      </c>
      <c r="L37" t="n">
        <v>0</v>
      </c>
      <c r="M37" t="n">
        <v>0</v>
      </c>
      <c r="N37" t="n">
        <v>0</v>
      </c>
      <c r="O37" t="n">
        <v>3</v>
      </c>
      <c r="P37" t="n">
        <v>0</v>
      </c>
      <c r="Q37" t="n">
        <v>10</v>
      </c>
      <c r="R37" s="2" t="inlineStr">
        <is>
          <t>Blå taggsvamp
Orange taggsvamp
Skrovlig taggsvamp
Barrfagerspindling
Bårdlav
Dropptaggsvamp
Skarp dropptaggsvamp
Stuplav
Svart trolldruva
Tallfingersvamp</t>
        </is>
      </c>
      <c r="S37">
        <f>HYPERLINK("https://klasma.github.io/Logging_2303/artfynd/A 10982-2025 artfynd.xlsx", "A 10982-2025")</f>
        <v/>
      </c>
      <c r="T37">
        <f>HYPERLINK("https://klasma.github.io/Logging_2303/kartor/A 10982-2025 karta.png", "A 10982-2025")</f>
        <v/>
      </c>
      <c r="V37">
        <f>HYPERLINK("https://klasma.github.io/Logging_2303/klagomål/A 10982-2025 FSC-klagomål.docx", "A 10982-2025")</f>
        <v/>
      </c>
      <c r="W37">
        <f>HYPERLINK("https://klasma.github.io/Logging_2303/klagomålsmail/A 10982-2025 FSC-klagomål mail.docx", "A 10982-2025")</f>
        <v/>
      </c>
      <c r="X37">
        <f>HYPERLINK("https://klasma.github.io/Logging_2303/tillsyn/A 10982-2025 tillsynsbegäran.docx", "A 10982-2025")</f>
        <v/>
      </c>
      <c r="Y37">
        <f>HYPERLINK("https://klasma.github.io/Logging_2303/tillsynsmail/A 10982-2025 tillsynsbegäran mail.docx", "A 10982-2025")</f>
        <v/>
      </c>
    </row>
    <row r="38" ht="15" customHeight="1">
      <c r="A38" t="inlineStr">
        <is>
          <t>A 13483-2022</t>
        </is>
      </c>
      <c r="B38" s="1" t="n">
        <v>44645.99859953704</v>
      </c>
      <c r="C38" s="1" t="n">
        <v>45926</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4591-2024</t>
        </is>
      </c>
      <c r="B39" s="1" t="n">
        <v>45327</v>
      </c>
      <c r="C39" s="1" t="n">
        <v>45926</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21244-2025</t>
        </is>
      </c>
      <c r="B40" s="1" t="n">
        <v>45779.57335648148</v>
      </c>
      <c r="C40" s="1" t="n">
        <v>45926</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41412-2024</t>
        </is>
      </c>
      <c r="B41" s="1" t="n">
        <v>45560.34484953704</v>
      </c>
      <c r="C41" s="1" t="n">
        <v>45926</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4146-2025</t>
        </is>
      </c>
      <c r="B42" s="1" t="n">
        <v>45685.36501157407</v>
      </c>
      <c r="C42" s="1" t="n">
        <v>45926</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33822-2023</t>
        </is>
      </c>
      <c r="B43" s="1" t="n">
        <v>45121</v>
      </c>
      <c r="C43" s="1" t="n">
        <v>45926</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25016-2025</t>
        </is>
      </c>
      <c r="B44" s="1" t="n">
        <v>45799.63574074074</v>
      </c>
      <c r="C44" s="1" t="n">
        <v>45926</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45926</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32068-2024</t>
        </is>
      </c>
      <c r="B46" s="1" t="n">
        <v>45510</v>
      </c>
      <c r="C46" s="1" t="n">
        <v>45926</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45926</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45008-2023</t>
        </is>
      </c>
      <c r="B48" s="1" t="n">
        <v>45190.96092592592</v>
      </c>
      <c r="C48" s="1" t="n">
        <v>45926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62948-2021</t>
        </is>
      </c>
      <c r="B49" s="1" t="n">
        <v>44504</v>
      </c>
      <c r="C49" s="1" t="n">
        <v>45926</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U49">
        <f>HYPERLINK("https://klasma.github.io/Logging_2303/knärot/A 62948-2021 karta knärot.png",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12372-2024</t>
        </is>
      </c>
      <c r="B50" s="1" t="n">
        <v>45378</v>
      </c>
      <c r="C50" s="1" t="n">
        <v>45926</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30876-2025</t>
        </is>
      </c>
      <c r="B51" s="1" t="n">
        <v>45832.34461805555</v>
      </c>
      <c r="C51" s="1" t="n">
        <v>45926</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19278-2025</t>
        </is>
      </c>
      <c r="B52" s="1" t="n">
        <v>45769.53180555555</v>
      </c>
      <c r="C52" s="1" t="n">
        <v>45926</v>
      </c>
      <c r="D52" t="inlineStr">
        <is>
          <t>JÄMTLANDS LÄN</t>
        </is>
      </c>
      <c r="E52" t="inlineStr">
        <is>
          <t>RAGUNDA</t>
        </is>
      </c>
      <c r="F52" t="inlineStr">
        <is>
          <t>SCA</t>
        </is>
      </c>
      <c r="G52" t="n">
        <v>11.8</v>
      </c>
      <c r="H52" t="n">
        <v>3</v>
      </c>
      <c r="I52" t="n">
        <v>2</v>
      </c>
      <c r="J52" t="n">
        <v>6</v>
      </c>
      <c r="K52" t="n">
        <v>1</v>
      </c>
      <c r="L52" t="n">
        <v>0</v>
      </c>
      <c r="M52" t="n">
        <v>0</v>
      </c>
      <c r="N52" t="n">
        <v>0</v>
      </c>
      <c r="O52" t="n">
        <v>7</v>
      </c>
      <c r="P52" t="n">
        <v>1</v>
      </c>
      <c r="Q52" t="n">
        <v>9</v>
      </c>
      <c r="R52" s="2" t="inlineStr">
        <is>
          <t>Knärot
Garnlav
Granticka
Lunglav
Talltita
Tretåig hackspett
Ullticka
Norrlandslav
Skinnlav</t>
        </is>
      </c>
      <c r="S52">
        <f>HYPERLINK("https://klasma.github.io/Logging_2303/artfynd/A 19278-2025 artfynd.xlsx", "A 19278-2025")</f>
        <v/>
      </c>
      <c r="T52">
        <f>HYPERLINK("https://klasma.github.io/Logging_2303/kartor/A 19278-2025 karta.png", "A 19278-2025")</f>
        <v/>
      </c>
      <c r="U52">
        <f>HYPERLINK("https://klasma.github.io/Logging_2303/knärot/A 19278-2025 karta knärot.png", "A 19278-2025")</f>
        <v/>
      </c>
      <c r="V52">
        <f>HYPERLINK("https://klasma.github.io/Logging_2303/klagomål/A 19278-2025 FSC-klagomål.docx", "A 19278-2025")</f>
        <v/>
      </c>
      <c r="W52">
        <f>HYPERLINK("https://klasma.github.io/Logging_2303/klagomålsmail/A 19278-2025 FSC-klagomål mail.docx", "A 19278-2025")</f>
        <v/>
      </c>
      <c r="X52">
        <f>HYPERLINK("https://klasma.github.io/Logging_2303/tillsyn/A 19278-2025 tillsynsbegäran.docx", "A 19278-2025")</f>
        <v/>
      </c>
      <c r="Y52">
        <f>HYPERLINK("https://klasma.github.io/Logging_2303/tillsynsmail/A 19278-2025 tillsynsbegäran mail.docx", "A 19278-2025")</f>
        <v/>
      </c>
      <c r="Z52">
        <f>HYPERLINK("https://klasma.github.io/Logging_2303/fåglar/A 19278-2025 prioriterade fågelarter.docx", "A 19278-2025")</f>
        <v/>
      </c>
    </row>
    <row r="53" ht="15" customHeight="1">
      <c r="A53" t="inlineStr">
        <is>
          <t>A 56215-2020</t>
        </is>
      </c>
      <c r="B53" s="1" t="n">
        <v>44133</v>
      </c>
      <c r="C53" s="1" t="n">
        <v>45926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45926</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32475-2023</t>
        </is>
      </c>
      <c r="B55" s="1" t="n">
        <v>45120</v>
      </c>
      <c r="C55" s="1" t="n">
        <v>45926</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45926</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56211-2020</t>
        </is>
      </c>
      <c r="B57" s="1" t="n">
        <v>44133</v>
      </c>
      <c r="C57" s="1" t="n">
        <v>45926</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45926</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45926</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11829-2023</t>
        </is>
      </c>
      <c r="B60" s="1" t="n">
        <v>44994</v>
      </c>
      <c r="C60" s="1" t="n">
        <v>45926</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26750-2025</t>
        </is>
      </c>
      <c r="B61" s="1" t="n">
        <v>45810.55061342593</v>
      </c>
      <c r="C61" s="1" t="n">
        <v>45926</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24169-2021</t>
        </is>
      </c>
      <c r="B62" s="1" t="n">
        <v>44336</v>
      </c>
      <c r="C62" s="1" t="n">
        <v>45926</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20397-2024</t>
        </is>
      </c>
      <c r="B63" s="1" t="n">
        <v>45435.54734953704</v>
      </c>
      <c r="C63" s="1" t="n">
        <v>45926</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45926</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45926</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61386-2022</t>
        </is>
      </c>
      <c r="B66" s="1" t="n">
        <v>44915</v>
      </c>
      <c r="C66" s="1" t="n">
        <v>45926</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19399-2025</t>
        </is>
      </c>
      <c r="B67" s="1" t="n">
        <v>45769.67740740741</v>
      </c>
      <c r="C67" s="1" t="n">
        <v>45926</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27913-2024</t>
        </is>
      </c>
      <c r="B68" s="1" t="n">
        <v>45475.94796296296</v>
      </c>
      <c r="C68" s="1" t="n">
        <v>45926</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22466-2025</t>
        </is>
      </c>
      <c r="B69" s="1" t="n">
        <v>45786.61517361111</v>
      </c>
      <c r="C69" s="1" t="n">
        <v>45926</v>
      </c>
      <c r="D69" t="inlineStr">
        <is>
          <t>JÄMTLANDS LÄN</t>
        </is>
      </c>
      <c r="E69" t="inlineStr">
        <is>
          <t>RAGUNDA</t>
        </is>
      </c>
      <c r="F69" t="inlineStr">
        <is>
          <t>SCA</t>
        </is>
      </c>
      <c r="G69" t="n">
        <v>3.2</v>
      </c>
      <c r="H69" t="n">
        <v>3</v>
      </c>
      <c r="I69" t="n">
        <v>1</v>
      </c>
      <c r="J69" t="n">
        <v>4</v>
      </c>
      <c r="K69" t="n">
        <v>0</v>
      </c>
      <c r="L69" t="n">
        <v>0</v>
      </c>
      <c r="M69" t="n">
        <v>0</v>
      </c>
      <c r="N69" t="n">
        <v>0</v>
      </c>
      <c r="O69" t="n">
        <v>4</v>
      </c>
      <c r="P69" t="n">
        <v>0</v>
      </c>
      <c r="Q69" t="n">
        <v>7</v>
      </c>
      <c r="R69" s="2" t="inlineStr">
        <is>
          <t>Gammelgransskål
Garnlav
Lunglav
Tretåig hackspett
Stuplav
Kungsfågel
Revlummer</t>
        </is>
      </c>
      <c r="S69">
        <f>HYPERLINK("https://klasma.github.io/Logging_2303/artfynd/A 22466-2025 artfynd.xlsx", "A 22466-2025")</f>
        <v/>
      </c>
      <c r="T69">
        <f>HYPERLINK("https://klasma.github.io/Logging_2303/kartor/A 22466-2025 karta.png", "A 22466-2025")</f>
        <v/>
      </c>
      <c r="V69">
        <f>HYPERLINK("https://klasma.github.io/Logging_2303/klagomål/A 22466-2025 FSC-klagomål.docx", "A 22466-2025")</f>
        <v/>
      </c>
      <c r="W69">
        <f>HYPERLINK("https://klasma.github.io/Logging_2303/klagomålsmail/A 22466-2025 FSC-klagomål mail.docx", "A 22466-2025")</f>
        <v/>
      </c>
      <c r="X69">
        <f>HYPERLINK("https://klasma.github.io/Logging_2303/tillsyn/A 22466-2025 tillsynsbegäran.docx", "A 22466-2025")</f>
        <v/>
      </c>
      <c r="Y69">
        <f>HYPERLINK("https://klasma.github.io/Logging_2303/tillsynsmail/A 22466-2025 tillsynsbegäran mail.docx", "A 22466-2025")</f>
        <v/>
      </c>
      <c r="Z69">
        <f>HYPERLINK("https://klasma.github.io/Logging_2303/fåglar/A 22466-2025 prioriterade fågelarter.docx", "A 22466-2025")</f>
        <v/>
      </c>
    </row>
    <row r="70" ht="15" customHeight="1">
      <c r="A70" t="inlineStr">
        <is>
          <t>A 41929-2023</t>
        </is>
      </c>
      <c r="B70" s="1" t="n">
        <v>45176</v>
      </c>
      <c r="C70" s="1" t="n">
        <v>45926</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45405.57392361111</v>
      </c>
      <c r="C71" s="1" t="n">
        <v>45926</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50987-2020</t>
        </is>
      </c>
      <c r="B72" s="1" t="n">
        <v>44111</v>
      </c>
      <c r="C72" s="1" t="n">
        <v>45926</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45926</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11828-2023</t>
        </is>
      </c>
      <c r="B74" s="1" t="n">
        <v>44994</v>
      </c>
      <c r="C74" s="1" t="n">
        <v>45926</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933-2023</t>
        </is>
      </c>
      <c r="B75" s="1" t="n">
        <v>44932</v>
      </c>
      <c r="C75" s="1" t="n">
        <v>45926</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24431-2024</t>
        </is>
      </c>
      <c r="B76" s="1" t="n">
        <v>45457</v>
      </c>
      <c r="C76" s="1" t="n">
        <v>45926</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55646-2023</t>
        </is>
      </c>
      <c r="B77" s="1" t="n">
        <v>45238</v>
      </c>
      <c r="C77" s="1" t="n">
        <v>45926</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53021-2022</t>
        </is>
      </c>
      <c r="B78" s="1" t="n">
        <v>44875</v>
      </c>
      <c r="C78" s="1" t="n">
        <v>45926</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26326-2024</t>
        </is>
      </c>
      <c r="B79" s="1" t="n">
        <v>45468.97528935185</v>
      </c>
      <c r="C79" s="1" t="n">
        <v>45926</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45926</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19402-2025</t>
        </is>
      </c>
      <c r="B81" s="1" t="n">
        <v>45769.67778935185</v>
      </c>
      <c r="C81" s="1" t="n">
        <v>45926</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30884-2025</t>
        </is>
      </c>
      <c r="B82" s="1" t="n">
        <v>45832.34564814815</v>
      </c>
      <c r="C82" s="1" t="n">
        <v>45926</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30637-2024</t>
        </is>
      </c>
      <c r="B83" s="1" t="n">
        <v>45495.56244212963</v>
      </c>
      <c r="C83" s="1" t="n">
        <v>45926</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39973-2025</t>
        </is>
      </c>
      <c r="B84" s="1" t="n">
        <v>45893.38584490741</v>
      </c>
      <c r="C84" s="1" t="n">
        <v>45926</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49239-2024</t>
        </is>
      </c>
      <c r="B85" s="1" t="n">
        <v>45595.44886574074</v>
      </c>
      <c r="C85" s="1" t="n">
        <v>45926</v>
      </c>
      <c r="D85" t="inlineStr">
        <is>
          <t>JÄMTLANDS LÄN</t>
        </is>
      </c>
      <c r="E85" t="inlineStr">
        <is>
          <t>RAGUNDA</t>
        </is>
      </c>
      <c r="F85" t="inlineStr">
        <is>
          <t>SCA</t>
        </is>
      </c>
      <c r="G85" t="n">
        <v>2.7</v>
      </c>
      <c r="H85" t="n">
        <v>2</v>
      </c>
      <c r="I85" t="n">
        <v>0</v>
      </c>
      <c r="J85" t="n">
        <v>5</v>
      </c>
      <c r="K85" t="n">
        <v>0</v>
      </c>
      <c r="L85" t="n">
        <v>0</v>
      </c>
      <c r="M85" t="n">
        <v>0</v>
      </c>
      <c r="N85" t="n">
        <v>0</v>
      </c>
      <c r="O85" t="n">
        <v>5</v>
      </c>
      <c r="P85" t="n">
        <v>0</v>
      </c>
      <c r="Q85" t="n">
        <v>6</v>
      </c>
      <c r="R85" s="2" t="inlineStr">
        <is>
          <t>Garnlav
Harticka
Lunglav
Tretåig hackspett
Vitgrynig nållav
Revlummer</t>
        </is>
      </c>
      <c r="S85">
        <f>HYPERLINK("https://klasma.github.io/Logging_2303/artfynd/A 49239-2024 artfynd.xlsx", "A 49239-2024")</f>
        <v/>
      </c>
      <c r="T85">
        <f>HYPERLINK("https://klasma.github.io/Logging_2303/kartor/A 49239-2024 karta.png", "A 49239-2024")</f>
        <v/>
      </c>
      <c r="V85">
        <f>HYPERLINK("https://klasma.github.io/Logging_2303/klagomål/A 49239-2024 FSC-klagomål.docx", "A 49239-2024")</f>
        <v/>
      </c>
      <c r="W85">
        <f>HYPERLINK("https://klasma.github.io/Logging_2303/klagomålsmail/A 49239-2024 FSC-klagomål mail.docx", "A 49239-2024")</f>
        <v/>
      </c>
      <c r="X85">
        <f>HYPERLINK("https://klasma.github.io/Logging_2303/tillsyn/A 49239-2024 tillsynsbegäran.docx", "A 49239-2024")</f>
        <v/>
      </c>
      <c r="Y85">
        <f>HYPERLINK("https://klasma.github.io/Logging_2303/tillsynsmail/A 49239-2024 tillsynsbegäran mail.docx", "A 49239-2024")</f>
        <v/>
      </c>
      <c r="Z85">
        <f>HYPERLINK("https://klasma.github.io/Logging_2303/fåglar/A 49239-2024 prioriterade fågelarter.docx", "A 49239-2024")</f>
        <v/>
      </c>
    </row>
    <row r="86" ht="15" customHeight="1">
      <c r="A86" t="inlineStr">
        <is>
          <t>A 36276-2025</t>
        </is>
      </c>
      <c r="B86" s="1" t="n">
        <v>45867.63619212963</v>
      </c>
      <c r="C86" s="1" t="n">
        <v>45926</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34317-2025</t>
        </is>
      </c>
      <c r="B87" s="1" t="n">
        <v>45846.41361111111</v>
      </c>
      <c r="C87" s="1" t="n">
        <v>45926</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14908-2022</t>
        </is>
      </c>
      <c r="B88" s="1" t="n">
        <v>44656</v>
      </c>
      <c r="C88" s="1" t="n">
        <v>45926</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43106-2023</t>
        </is>
      </c>
      <c r="B89" s="1" t="n">
        <v>45182</v>
      </c>
      <c r="C89" s="1" t="n">
        <v>45926</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39365-2024</t>
        </is>
      </c>
      <c r="B90" s="1" t="n">
        <v>45551.46912037037</v>
      </c>
      <c r="C90" s="1" t="n">
        <v>45926</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15379-2024</t>
        </is>
      </c>
      <c r="B91" s="1" t="n">
        <v>45400.94002314815</v>
      </c>
      <c r="C91" s="1" t="n">
        <v>45926</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15244-2025</t>
        </is>
      </c>
      <c r="B92" s="1" t="n">
        <v>45744.61550925926</v>
      </c>
      <c r="C92" s="1" t="n">
        <v>45926</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45969-2023</t>
        </is>
      </c>
      <c r="B93" s="1" t="n">
        <v>45195</v>
      </c>
      <c r="C93" s="1" t="n">
        <v>45926</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27313-2024</t>
        </is>
      </c>
      <c r="B94" s="1" t="n">
        <v>45471.94623842592</v>
      </c>
      <c r="C94" s="1" t="n">
        <v>45926</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57073-2023</t>
        </is>
      </c>
      <c r="B95" s="1" t="n">
        <v>45244</v>
      </c>
      <c r="C95" s="1" t="n">
        <v>45926</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60683-2022</t>
        </is>
      </c>
      <c r="B96" s="1" t="n">
        <v>44911</v>
      </c>
      <c r="C96" s="1" t="n">
        <v>45926</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30886-2025</t>
        </is>
      </c>
      <c r="B97" s="1" t="n">
        <v>45832.34578703704</v>
      </c>
      <c r="C97" s="1" t="n">
        <v>45926</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18629-2024</t>
        </is>
      </c>
      <c r="B98" s="1" t="n">
        <v>45425.96472222222</v>
      </c>
      <c r="C98" s="1" t="n">
        <v>45926</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13266-2023</t>
        </is>
      </c>
      <c r="B99" s="1" t="n">
        <v>45002.94356481481</v>
      </c>
      <c r="C99" s="1" t="n">
        <v>45926</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39974-2025</t>
        </is>
      </c>
      <c r="B100" s="1" t="n">
        <v>45893.38599537037</v>
      </c>
      <c r="C100" s="1" t="n">
        <v>45926</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35344-2025</t>
        </is>
      </c>
      <c r="B101" s="1" t="n">
        <v>45854.61494212963</v>
      </c>
      <c r="C101" s="1" t="n">
        <v>45926</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45926</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38169-2024</t>
        </is>
      </c>
      <c r="B103" s="1" t="n">
        <v>45545.45748842593</v>
      </c>
      <c r="C103" s="1" t="n">
        <v>45926</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45926</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8636-2021</t>
        </is>
      </c>
      <c r="B105" s="1" t="n">
        <v>44245</v>
      </c>
      <c r="C105" s="1" t="n">
        <v>45926</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45926</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45926</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15667-2022</t>
        </is>
      </c>
      <c r="B108" s="1" t="n">
        <v>44662</v>
      </c>
      <c r="C108" s="1" t="n">
        <v>45926</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23682-2021</t>
        </is>
      </c>
      <c r="B109" s="1" t="n">
        <v>44334</v>
      </c>
      <c r="C109" s="1" t="n">
        <v>45926</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23663-2021</t>
        </is>
      </c>
      <c r="B110" s="1" t="n">
        <v>44334</v>
      </c>
      <c r="C110" s="1" t="n">
        <v>45926</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21372-2025</t>
        </is>
      </c>
      <c r="B111" s="1" t="n">
        <v>45782.44871527778</v>
      </c>
      <c r="C111" s="1" t="n">
        <v>45926</v>
      </c>
      <c r="D111" t="inlineStr">
        <is>
          <t>JÄMTLANDS LÄN</t>
        </is>
      </c>
      <c r="E111" t="inlineStr">
        <is>
          <t>RAGUNDA</t>
        </is>
      </c>
      <c r="F111" t="inlineStr">
        <is>
          <t>SCA</t>
        </is>
      </c>
      <c r="G111" t="n">
        <v>2.7</v>
      </c>
      <c r="H111" t="n">
        <v>1</v>
      </c>
      <c r="I111" t="n">
        <v>1</v>
      </c>
      <c r="J111" t="n">
        <v>2</v>
      </c>
      <c r="K111" t="n">
        <v>0</v>
      </c>
      <c r="L111" t="n">
        <v>0</v>
      </c>
      <c r="M111" t="n">
        <v>0</v>
      </c>
      <c r="N111" t="n">
        <v>0</v>
      </c>
      <c r="O111" t="n">
        <v>2</v>
      </c>
      <c r="P111" t="n">
        <v>0</v>
      </c>
      <c r="Q111" t="n">
        <v>4</v>
      </c>
      <c r="R111" s="2" t="inlineStr">
        <is>
          <t>Garnlav
Lunglav
Stuplav
Tjäder</t>
        </is>
      </c>
      <c r="S111">
        <f>HYPERLINK("https://klasma.github.io/Logging_2303/artfynd/A 21372-2025 artfynd.xlsx", "A 21372-2025")</f>
        <v/>
      </c>
      <c r="T111">
        <f>HYPERLINK("https://klasma.github.io/Logging_2303/kartor/A 21372-2025 karta.png", "A 21372-2025")</f>
        <v/>
      </c>
      <c r="V111">
        <f>HYPERLINK("https://klasma.github.io/Logging_2303/klagomål/A 21372-2025 FSC-klagomål.docx", "A 21372-2025")</f>
        <v/>
      </c>
      <c r="W111">
        <f>HYPERLINK("https://klasma.github.io/Logging_2303/klagomålsmail/A 21372-2025 FSC-klagomål mail.docx", "A 21372-2025")</f>
        <v/>
      </c>
      <c r="X111">
        <f>HYPERLINK("https://klasma.github.io/Logging_2303/tillsyn/A 21372-2025 tillsynsbegäran.docx", "A 21372-2025")</f>
        <v/>
      </c>
      <c r="Y111">
        <f>HYPERLINK("https://klasma.github.io/Logging_2303/tillsynsmail/A 21372-2025 tillsynsbegäran mail.docx", "A 21372-2025")</f>
        <v/>
      </c>
      <c r="Z111">
        <f>HYPERLINK("https://klasma.github.io/Logging_2303/fåglar/A 21372-2025 prioriterade fågelarter.docx", "A 21372-2025")</f>
        <v/>
      </c>
    </row>
    <row r="112" ht="15" customHeight="1">
      <c r="A112" t="inlineStr">
        <is>
          <t>A 60670-2022</t>
        </is>
      </c>
      <c r="B112" s="1" t="n">
        <v>44911</v>
      </c>
      <c r="C112" s="1" t="n">
        <v>45926</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12640-2024</t>
        </is>
      </c>
      <c r="B113" s="1" t="n">
        <v>45384</v>
      </c>
      <c r="C113" s="1" t="n">
        <v>45926</v>
      </c>
      <c r="D113" t="inlineStr">
        <is>
          <t>JÄMTLANDS LÄN</t>
        </is>
      </c>
      <c r="E113" t="inlineStr">
        <is>
          <t>RAGUNDA</t>
        </is>
      </c>
      <c r="G113" t="n">
        <v>3.3</v>
      </c>
      <c r="H113" t="n">
        <v>0</v>
      </c>
      <c r="I113" t="n">
        <v>2</v>
      </c>
      <c r="J113" t="n">
        <v>1</v>
      </c>
      <c r="K113" t="n">
        <v>1</v>
      </c>
      <c r="L113" t="n">
        <v>0</v>
      </c>
      <c r="M113" t="n">
        <v>0</v>
      </c>
      <c r="N113" t="n">
        <v>0</v>
      </c>
      <c r="O113" t="n">
        <v>2</v>
      </c>
      <c r="P113" t="n">
        <v>1</v>
      </c>
      <c r="Q113" t="n">
        <v>4</v>
      </c>
      <c r="R113" s="2" t="inlineStr">
        <is>
          <t>Spadskinn
Vedskivlav
Dropptaggsvamp
Skarp dropptaggsvamp</t>
        </is>
      </c>
      <c r="S113">
        <f>HYPERLINK("https://klasma.github.io/Logging_2303/artfynd/A 12640-2024 artfynd.xlsx", "A 12640-2024")</f>
        <v/>
      </c>
      <c r="T113">
        <f>HYPERLINK("https://klasma.github.io/Logging_2303/kartor/A 12640-2024 karta.png", "A 12640-2024")</f>
        <v/>
      </c>
      <c r="V113">
        <f>HYPERLINK("https://klasma.github.io/Logging_2303/klagomål/A 12640-2024 FSC-klagomål.docx", "A 12640-2024")</f>
        <v/>
      </c>
      <c r="W113">
        <f>HYPERLINK("https://klasma.github.io/Logging_2303/klagomålsmail/A 12640-2024 FSC-klagomål mail.docx", "A 12640-2024")</f>
        <v/>
      </c>
      <c r="X113">
        <f>HYPERLINK("https://klasma.github.io/Logging_2303/tillsyn/A 12640-2024 tillsynsbegäran.docx", "A 12640-2024")</f>
        <v/>
      </c>
      <c r="Y113">
        <f>HYPERLINK("https://klasma.github.io/Logging_2303/tillsynsmail/A 12640-2024 tillsynsbegäran mail.docx", "A 12640-2024")</f>
        <v/>
      </c>
    </row>
    <row r="114" ht="15" customHeight="1">
      <c r="A114" t="inlineStr">
        <is>
          <t>A 52644-2024</t>
        </is>
      </c>
      <c r="B114" s="1" t="n">
        <v>45610.34415509259</v>
      </c>
      <c r="C114" s="1" t="n">
        <v>45926</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12268-2024</t>
        </is>
      </c>
      <c r="B115" s="1" t="n">
        <v>45378</v>
      </c>
      <c r="C115" s="1" t="n">
        <v>45926</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32903-2024</t>
        </is>
      </c>
      <c r="B116" s="1" t="n">
        <v>45516.94723379629</v>
      </c>
      <c r="C116" s="1" t="n">
        <v>45926</v>
      </c>
      <c r="D116" t="inlineStr">
        <is>
          <t>JÄMTLANDS LÄN</t>
        </is>
      </c>
      <c r="E116" t="inlineStr">
        <is>
          <t>RAGUNDA</t>
        </is>
      </c>
      <c r="F116" t="inlineStr">
        <is>
          <t>SCA</t>
        </is>
      </c>
      <c r="G116" t="n">
        <v>4.7</v>
      </c>
      <c r="H116" t="n">
        <v>0</v>
      </c>
      <c r="I116" t="n">
        <v>2</v>
      </c>
      <c r="J116" t="n">
        <v>1</v>
      </c>
      <c r="K116" t="n">
        <v>1</v>
      </c>
      <c r="L116" t="n">
        <v>0</v>
      </c>
      <c r="M116" t="n">
        <v>0</v>
      </c>
      <c r="N116" t="n">
        <v>0</v>
      </c>
      <c r="O116" t="n">
        <v>2</v>
      </c>
      <c r="P116" t="n">
        <v>1</v>
      </c>
      <c r="Q116" t="n">
        <v>4</v>
      </c>
      <c r="R116" s="2" t="inlineStr">
        <is>
          <t>Lappticka
Lunglav
Bollvitmossa
Luddlav</t>
        </is>
      </c>
      <c r="S116">
        <f>HYPERLINK("https://klasma.github.io/Logging_2303/artfynd/A 32903-2024 artfynd.xlsx", "A 32903-2024")</f>
        <v/>
      </c>
      <c r="T116">
        <f>HYPERLINK("https://klasma.github.io/Logging_2303/kartor/A 32903-2024 karta.png", "A 32903-2024")</f>
        <v/>
      </c>
      <c r="V116">
        <f>HYPERLINK("https://klasma.github.io/Logging_2303/klagomål/A 32903-2024 FSC-klagomål.docx", "A 32903-2024")</f>
        <v/>
      </c>
      <c r="W116">
        <f>HYPERLINK("https://klasma.github.io/Logging_2303/klagomålsmail/A 32903-2024 FSC-klagomål mail.docx", "A 32903-2024")</f>
        <v/>
      </c>
      <c r="X116">
        <f>HYPERLINK("https://klasma.github.io/Logging_2303/tillsyn/A 32903-2024 tillsynsbegäran.docx", "A 32903-2024")</f>
        <v/>
      </c>
      <c r="Y116">
        <f>HYPERLINK("https://klasma.github.io/Logging_2303/tillsynsmail/A 32903-2024 tillsynsbegäran mail.docx", "A 32903-2024")</f>
        <v/>
      </c>
    </row>
    <row r="117" ht="15" customHeight="1">
      <c r="A117" t="inlineStr">
        <is>
          <t>A 26082-2025</t>
        </is>
      </c>
      <c r="B117" s="1" t="n">
        <v>45805.34415509259</v>
      </c>
      <c r="C117" s="1" t="n">
        <v>45926</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43960-2023</t>
        </is>
      </c>
      <c r="B118" s="1" t="n">
        <v>45187</v>
      </c>
      <c r="C118" s="1" t="n">
        <v>45926</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45926</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51686-2020</t>
        </is>
      </c>
      <c r="B120" s="1" t="n">
        <v>44113</v>
      </c>
      <c r="C120" s="1" t="n">
        <v>45926</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23931-2024</t>
        </is>
      </c>
      <c r="B121" s="1" t="n">
        <v>45455.96195601852</v>
      </c>
      <c r="C121" s="1" t="n">
        <v>45926</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32067-2024</t>
        </is>
      </c>
      <c r="B122" s="1" t="n">
        <v>45510</v>
      </c>
      <c r="C122" s="1" t="n">
        <v>45926</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45926</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30465-2024</t>
        </is>
      </c>
      <c r="B124" s="1" t="n">
        <v>45491</v>
      </c>
      <c r="C124" s="1" t="n">
        <v>45926</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45926</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45926</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17092-2022</t>
        </is>
      </c>
      <c r="B127" s="1" t="n">
        <v>44677</v>
      </c>
      <c r="C127" s="1" t="n">
        <v>45926</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45926</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45926</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21248-2025</t>
        </is>
      </c>
      <c r="B130" s="1" t="n">
        <v>45779.57392361111</v>
      </c>
      <c r="C130" s="1" t="n">
        <v>45926</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18616-2024</t>
        </is>
      </c>
      <c r="B131" s="1" t="n">
        <v>45425.96285879629</v>
      </c>
      <c r="C131" s="1" t="n">
        <v>45926</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61790-2023</t>
        </is>
      </c>
      <c r="B132" s="1" t="n">
        <v>45265</v>
      </c>
      <c r="C132" s="1" t="n">
        <v>45926</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48054-2022</t>
        </is>
      </c>
      <c r="B133" s="1" t="n">
        <v>44855</v>
      </c>
      <c r="C133" s="1" t="n">
        <v>45926</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53022-2022</t>
        </is>
      </c>
      <c r="B134" s="1" t="n">
        <v>44875</v>
      </c>
      <c r="C134" s="1" t="n">
        <v>45926</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25769-2025</t>
        </is>
      </c>
      <c r="B135" s="1" t="n">
        <v>45804.34474537037</v>
      </c>
      <c r="C135" s="1" t="n">
        <v>45926</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58368-2024</t>
        </is>
      </c>
      <c r="B136" s="1" t="n">
        <v>45632.69822916666</v>
      </c>
      <c r="C136" s="1" t="n">
        <v>45926</v>
      </c>
      <c r="D136" t="inlineStr">
        <is>
          <t>JÄMTLANDS LÄN</t>
        </is>
      </c>
      <c r="E136" t="inlineStr">
        <is>
          <t>RAGUNDA</t>
        </is>
      </c>
      <c r="F136" t="inlineStr">
        <is>
          <t>SCA</t>
        </is>
      </c>
      <c r="G136" t="n">
        <v>4.1</v>
      </c>
      <c r="H136" t="n">
        <v>2</v>
      </c>
      <c r="I136" t="n">
        <v>0</v>
      </c>
      <c r="J136" t="n">
        <v>3</v>
      </c>
      <c r="K136" t="n">
        <v>0</v>
      </c>
      <c r="L136" t="n">
        <v>0</v>
      </c>
      <c r="M136" t="n">
        <v>0</v>
      </c>
      <c r="N136" t="n">
        <v>0</v>
      </c>
      <c r="O136" t="n">
        <v>3</v>
      </c>
      <c r="P136" t="n">
        <v>0</v>
      </c>
      <c r="Q136" t="n">
        <v>3</v>
      </c>
      <c r="R136" s="2" t="inlineStr">
        <is>
          <t>Järpe
Lunglav
Tretåig hackspett</t>
        </is>
      </c>
      <c r="S136">
        <f>HYPERLINK("https://klasma.github.io/Logging_2303/artfynd/A 58368-2024 artfynd.xlsx", "A 58368-2024")</f>
        <v/>
      </c>
      <c r="T136">
        <f>HYPERLINK("https://klasma.github.io/Logging_2303/kartor/A 58368-2024 karta.png", "A 58368-2024")</f>
        <v/>
      </c>
      <c r="V136">
        <f>HYPERLINK("https://klasma.github.io/Logging_2303/klagomål/A 58368-2024 FSC-klagomål.docx", "A 58368-2024")</f>
        <v/>
      </c>
      <c r="W136">
        <f>HYPERLINK("https://klasma.github.io/Logging_2303/klagomålsmail/A 58368-2024 FSC-klagomål mail.docx", "A 58368-2024")</f>
        <v/>
      </c>
      <c r="X136">
        <f>HYPERLINK("https://klasma.github.io/Logging_2303/tillsyn/A 58368-2024 tillsynsbegäran.docx", "A 58368-2024")</f>
        <v/>
      </c>
      <c r="Y136">
        <f>HYPERLINK("https://klasma.github.io/Logging_2303/tillsynsmail/A 58368-2024 tillsynsbegäran mail.docx", "A 58368-2024")</f>
        <v/>
      </c>
      <c r="Z136">
        <f>HYPERLINK("https://klasma.github.io/Logging_2303/fåglar/A 58368-2024 prioriterade fågelarter.docx", "A 58368-2024")</f>
        <v/>
      </c>
    </row>
    <row r="137" ht="15" customHeight="1">
      <c r="A137" t="inlineStr">
        <is>
          <t>A 20776-2024</t>
        </is>
      </c>
      <c r="B137" s="1" t="n">
        <v>45436.94686342592</v>
      </c>
      <c r="C137" s="1" t="n">
        <v>45926</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45926</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58737-2022</t>
        </is>
      </c>
      <c r="B139" s="1" t="n">
        <v>44902</v>
      </c>
      <c r="C139" s="1" t="n">
        <v>45926</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36504-2023</t>
        </is>
      </c>
      <c r="B140" s="1" t="n">
        <v>45152</v>
      </c>
      <c r="C140" s="1" t="n">
        <v>45926</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28178-2023</t>
        </is>
      </c>
      <c r="B141" s="1" t="n">
        <v>45093</v>
      </c>
      <c r="C141" s="1" t="n">
        <v>45926</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16305-2025</t>
        </is>
      </c>
      <c r="B142" s="1" t="n">
        <v>45751.34650462963</v>
      </c>
      <c r="C142" s="1" t="n">
        <v>45926</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22730-2023</t>
        </is>
      </c>
      <c r="B143" s="1" t="n">
        <v>45071</v>
      </c>
      <c r="C143" s="1" t="n">
        <v>45926</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49047-2023</t>
        </is>
      </c>
      <c r="B144" s="1" t="n">
        <v>45209</v>
      </c>
      <c r="C144" s="1" t="n">
        <v>45926</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22571-2025</t>
        </is>
      </c>
      <c r="B145" s="1" t="n">
        <v>45789.36503472222</v>
      </c>
      <c r="C145" s="1" t="n">
        <v>45926</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51010-2020</t>
        </is>
      </c>
      <c r="B146" s="1" t="n">
        <v>44111</v>
      </c>
      <c r="C146" s="1" t="n">
        <v>45926</v>
      </c>
      <c r="D146" t="inlineStr">
        <is>
          <t>JÄMTLANDS LÄN</t>
        </is>
      </c>
      <c r="E146" t="inlineStr">
        <is>
          <t>RAGUNDA</t>
        </is>
      </c>
      <c r="F146" t="inlineStr">
        <is>
          <t>SCA</t>
        </is>
      </c>
      <c r="G146" t="n">
        <v>4.1</v>
      </c>
      <c r="H146" t="n">
        <v>0</v>
      </c>
      <c r="I146" t="n">
        <v>0</v>
      </c>
      <c r="J146" t="n">
        <v>3</v>
      </c>
      <c r="K146" t="n">
        <v>0</v>
      </c>
      <c r="L146" t="n">
        <v>0</v>
      </c>
      <c r="M146" t="n">
        <v>0</v>
      </c>
      <c r="N146" t="n">
        <v>0</v>
      </c>
      <c r="O146" t="n">
        <v>3</v>
      </c>
      <c r="P146" t="n">
        <v>0</v>
      </c>
      <c r="Q146" t="n">
        <v>3</v>
      </c>
      <c r="R146" s="2" t="inlineStr">
        <is>
          <t>Garnlav
Lunglav
Ullticka</t>
        </is>
      </c>
      <c r="S146">
        <f>HYPERLINK("https://klasma.github.io/Logging_2303/artfynd/A 51010-2020 artfynd.xlsx", "A 51010-2020")</f>
        <v/>
      </c>
      <c r="T146">
        <f>HYPERLINK("https://klasma.github.io/Logging_2303/kartor/A 51010-2020 karta.png", "A 51010-2020")</f>
        <v/>
      </c>
      <c r="V146">
        <f>HYPERLINK("https://klasma.github.io/Logging_2303/klagomål/A 51010-2020 FSC-klagomål.docx", "A 51010-2020")</f>
        <v/>
      </c>
      <c r="W146">
        <f>HYPERLINK("https://klasma.github.io/Logging_2303/klagomålsmail/A 51010-2020 FSC-klagomål mail.docx", "A 51010-2020")</f>
        <v/>
      </c>
      <c r="X146">
        <f>HYPERLINK("https://klasma.github.io/Logging_2303/tillsyn/A 51010-2020 tillsynsbegäran.docx", "A 51010-2020")</f>
        <v/>
      </c>
      <c r="Y146">
        <f>HYPERLINK("https://klasma.github.io/Logging_2303/tillsynsmail/A 51010-2020 tillsynsbegäran mail.docx", "A 51010-2020")</f>
        <v/>
      </c>
    </row>
    <row r="147" ht="15" customHeight="1">
      <c r="A147" t="inlineStr">
        <is>
          <t>A 14814-2024</t>
        </is>
      </c>
      <c r="B147" s="1" t="n">
        <v>45397.95748842593</v>
      </c>
      <c r="C147" s="1" t="n">
        <v>45926</v>
      </c>
      <c r="D147" t="inlineStr">
        <is>
          <t>JÄMTLANDS LÄN</t>
        </is>
      </c>
      <c r="E147" t="inlineStr">
        <is>
          <t>RAGUNDA</t>
        </is>
      </c>
      <c r="F147" t="inlineStr">
        <is>
          <t>SCA</t>
        </is>
      </c>
      <c r="G147" t="n">
        <v>10.5</v>
      </c>
      <c r="H147" t="n">
        <v>0</v>
      </c>
      <c r="I147" t="n">
        <v>2</v>
      </c>
      <c r="J147" t="n">
        <v>1</v>
      </c>
      <c r="K147" t="n">
        <v>0</v>
      </c>
      <c r="L147" t="n">
        <v>0</v>
      </c>
      <c r="M147" t="n">
        <v>0</v>
      </c>
      <c r="N147" t="n">
        <v>0</v>
      </c>
      <c r="O147" t="n">
        <v>1</v>
      </c>
      <c r="P147" t="n">
        <v>0</v>
      </c>
      <c r="Q147" t="n">
        <v>3</v>
      </c>
      <c r="R147" s="2" t="inlineStr">
        <is>
          <t>Rosenticka
Svart trolldruva
Tibast</t>
        </is>
      </c>
      <c r="S147">
        <f>HYPERLINK("https://klasma.github.io/Logging_2303/artfynd/A 14814-2024 artfynd.xlsx", "A 14814-2024")</f>
        <v/>
      </c>
      <c r="T147">
        <f>HYPERLINK("https://klasma.github.io/Logging_2303/kartor/A 14814-2024 karta.png", "A 14814-2024")</f>
        <v/>
      </c>
      <c r="V147">
        <f>HYPERLINK("https://klasma.github.io/Logging_2303/klagomål/A 14814-2024 FSC-klagomål.docx", "A 14814-2024")</f>
        <v/>
      </c>
      <c r="W147">
        <f>HYPERLINK("https://klasma.github.io/Logging_2303/klagomålsmail/A 14814-2024 FSC-klagomål mail.docx", "A 14814-2024")</f>
        <v/>
      </c>
      <c r="X147">
        <f>HYPERLINK("https://klasma.github.io/Logging_2303/tillsyn/A 14814-2024 tillsynsbegäran.docx", "A 14814-2024")</f>
        <v/>
      </c>
      <c r="Y147">
        <f>HYPERLINK("https://klasma.github.io/Logging_2303/tillsynsmail/A 14814-2024 tillsynsbegäran mail.docx", "A 14814-2024")</f>
        <v/>
      </c>
    </row>
    <row r="148" ht="15" customHeight="1">
      <c r="A148" t="inlineStr">
        <is>
          <t>A 33278-2022</t>
        </is>
      </c>
      <c r="B148" s="1" t="n">
        <v>44788</v>
      </c>
      <c r="C148" s="1" t="n">
        <v>45926</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34585-2025</t>
        </is>
      </c>
      <c r="B149" s="1" t="n">
        <v>45847.61498842593</v>
      </c>
      <c r="C149" s="1" t="n">
        <v>45926</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7519-2023</t>
        </is>
      </c>
      <c r="B150" s="1" t="n">
        <v>44971</v>
      </c>
      <c r="C150" s="1" t="n">
        <v>45926</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32416-2025</t>
        </is>
      </c>
      <c r="B151" s="1" t="n">
        <v>45838</v>
      </c>
      <c r="C151" s="1" t="n">
        <v>45926</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41877-2025</t>
        </is>
      </c>
      <c r="B152" s="1" t="n">
        <v>45903.345625</v>
      </c>
      <c r="C152" s="1" t="n">
        <v>45926</v>
      </c>
      <c r="D152" t="inlineStr">
        <is>
          <t>JÄMTLANDS LÄN</t>
        </is>
      </c>
      <c r="E152" t="inlineStr">
        <is>
          <t>RAGUNDA</t>
        </is>
      </c>
      <c r="G152" t="n">
        <v>27.7</v>
      </c>
      <c r="H152" t="n">
        <v>1</v>
      </c>
      <c r="I152" t="n">
        <v>0</v>
      </c>
      <c r="J152" t="n">
        <v>2</v>
      </c>
      <c r="K152" t="n">
        <v>1</v>
      </c>
      <c r="L152" t="n">
        <v>0</v>
      </c>
      <c r="M152" t="n">
        <v>0</v>
      </c>
      <c r="N152" t="n">
        <v>0</v>
      </c>
      <c r="O152" t="n">
        <v>3</v>
      </c>
      <c r="P152" t="n">
        <v>1</v>
      </c>
      <c r="Q152" t="n">
        <v>3</v>
      </c>
      <c r="R152" s="2" t="inlineStr">
        <is>
          <t>Knärot
Garnlav
Mörk kolflarnlav</t>
        </is>
      </c>
      <c r="S152">
        <f>HYPERLINK("https://klasma.github.io/Logging_2303/artfynd/A 41877-2025 artfynd.xlsx", "A 41877-2025")</f>
        <v/>
      </c>
      <c r="T152">
        <f>HYPERLINK("https://klasma.github.io/Logging_2303/kartor/A 41877-2025 karta.png", "A 41877-2025")</f>
        <v/>
      </c>
      <c r="U152">
        <f>HYPERLINK("https://klasma.github.io/Logging_2303/knärot/A 41877-2025 karta knärot.png", "A 41877-2025")</f>
        <v/>
      </c>
      <c r="V152">
        <f>HYPERLINK("https://klasma.github.io/Logging_2303/klagomål/A 41877-2025 FSC-klagomål.docx", "A 41877-2025")</f>
        <v/>
      </c>
      <c r="W152">
        <f>HYPERLINK("https://klasma.github.io/Logging_2303/klagomålsmail/A 41877-2025 FSC-klagomål mail.docx", "A 41877-2025")</f>
        <v/>
      </c>
      <c r="X152">
        <f>HYPERLINK("https://klasma.github.io/Logging_2303/tillsyn/A 41877-2025 tillsynsbegäran.docx", "A 41877-2025")</f>
        <v/>
      </c>
      <c r="Y152">
        <f>HYPERLINK("https://klasma.github.io/Logging_2303/tillsynsmail/A 41877-2025 tillsynsbegäran mail.docx", "A 41877-2025")</f>
        <v/>
      </c>
    </row>
    <row r="153" ht="15" customHeight="1">
      <c r="A153" t="inlineStr">
        <is>
          <t>A 12737-2025</t>
        </is>
      </c>
      <c r="B153" s="1" t="n">
        <v>45733</v>
      </c>
      <c r="C153" s="1" t="n">
        <v>45926</v>
      </c>
      <c r="D153" t="inlineStr">
        <is>
          <t>JÄMTLANDS LÄN</t>
        </is>
      </c>
      <c r="E153" t="inlineStr">
        <is>
          <t>RAGUNDA</t>
        </is>
      </c>
      <c r="G153" t="n">
        <v>16.1</v>
      </c>
      <c r="H153" t="n">
        <v>2</v>
      </c>
      <c r="I153" t="n">
        <v>2</v>
      </c>
      <c r="J153" t="n">
        <v>0</v>
      </c>
      <c r="K153" t="n">
        <v>1</v>
      </c>
      <c r="L153" t="n">
        <v>0</v>
      </c>
      <c r="M153" t="n">
        <v>0</v>
      </c>
      <c r="N153" t="n">
        <v>0</v>
      </c>
      <c r="O153" t="n">
        <v>1</v>
      </c>
      <c r="P153" t="n">
        <v>1</v>
      </c>
      <c r="Q153" t="n">
        <v>3</v>
      </c>
      <c r="R153" s="2" t="inlineStr">
        <is>
          <t>Knärot
Plattlummer
Skarp dropptaggsvamp</t>
        </is>
      </c>
      <c r="S153">
        <f>HYPERLINK("https://klasma.github.io/Logging_2303/artfynd/A 12737-2025 artfynd.xlsx", "A 12737-2025")</f>
        <v/>
      </c>
      <c r="T153">
        <f>HYPERLINK("https://klasma.github.io/Logging_2303/kartor/A 12737-2025 karta.png", "A 12737-2025")</f>
        <v/>
      </c>
      <c r="U153">
        <f>HYPERLINK("https://klasma.github.io/Logging_2303/knärot/A 12737-2025 karta knärot.png", "A 12737-2025")</f>
        <v/>
      </c>
      <c r="V153">
        <f>HYPERLINK("https://klasma.github.io/Logging_2303/klagomål/A 12737-2025 FSC-klagomål.docx", "A 12737-2025")</f>
        <v/>
      </c>
      <c r="W153">
        <f>HYPERLINK("https://klasma.github.io/Logging_2303/klagomålsmail/A 12737-2025 FSC-klagomål mail.docx", "A 12737-2025")</f>
        <v/>
      </c>
      <c r="X153">
        <f>HYPERLINK("https://klasma.github.io/Logging_2303/tillsyn/A 12737-2025 tillsynsbegäran.docx", "A 12737-2025")</f>
        <v/>
      </c>
      <c r="Y153">
        <f>HYPERLINK("https://klasma.github.io/Logging_2303/tillsynsmail/A 12737-2025 tillsynsbegäran mail.docx", "A 12737-2025")</f>
        <v/>
      </c>
    </row>
    <row r="154" ht="15" customHeight="1">
      <c r="A154" t="inlineStr">
        <is>
          <t>A 5048-2025</t>
        </is>
      </c>
      <c r="B154" s="1" t="n">
        <v>45691.44769675926</v>
      </c>
      <c r="C154" s="1" t="n">
        <v>45926</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57941-2024</t>
        </is>
      </c>
      <c r="B155" s="1" t="n">
        <v>45631</v>
      </c>
      <c r="C155" s="1" t="n">
        <v>45926</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17043-2022</t>
        </is>
      </c>
      <c r="B156" s="1" t="n">
        <v>44676</v>
      </c>
      <c r="C156" s="1" t="n">
        <v>45926</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45926</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45926</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21245-2025</t>
        </is>
      </c>
      <c r="B159" s="1" t="n">
        <v>45779.57350694444</v>
      </c>
      <c r="C159" s="1" t="n">
        <v>45926</v>
      </c>
      <c r="D159" t="inlineStr">
        <is>
          <t>JÄMTLANDS LÄN</t>
        </is>
      </c>
      <c r="E159" t="inlineStr">
        <is>
          <t>RAGUNDA</t>
        </is>
      </c>
      <c r="F159" t="inlineStr">
        <is>
          <t>SCA</t>
        </is>
      </c>
      <c r="G159" t="n">
        <v>3.7</v>
      </c>
      <c r="H159" t="n">
        <v>1</v>
      </c>
      <c r="I159" t="n">
        <v>0</v>
      </c>
      <c r="J159" t="n">
        <v>1</v>
      </c>
      <c r="K159" t="n">
        <v>0</v>
      </c>
      <c r="L159" t="n">
        <v>0</v>
      </c>
      <c r="M159" t="n">
        <v>0</v>
      </c>
      <c r="N159" t="n">
        <v>0</v>
      </c>
      <c r="O159" t="n">
        <v>1</v>
      </c>
      <c r="P159" t="n">
        <v>0</v>
      </c>
      <c r="Q159" t="n">
        <v>2</v>
      </c>
      <c r="R159" s="2" t="inlineStr">
        <is>
          <t>Garnlav
Tjäder</t>
        </is>
      </c>
      <c r="S159">
        <f>HYPERLINK("https://klasma.github.io/Logging_2303/artfynd/A 21245-2025 artfynd.xlsx", "A 21245-2025")</f>
        <v/>
      </c>
      <c r="T159">
        <f>HYPERLINK("https://klasma.github.io/Logging_2303/kartor/A 21245-2025 karta.png", "A 21245-2025")</f>
        <v/>
      </c>
      <c r="V159">
        <f>HYPERLINK("https://klasma.github.io/Logging_2303/klagomål/A 21245-2025 FSC-klagomål.docx", "A 21245-2025")</f>
        <v/>
      </c>
      <c r="W159">
        <f>HYPERLINK("https://klasma.github.io/Logging_2303/klagomålsmail/A 21245-2025 FSC-klagomål mail.docx", "A 21245-2025")</f>
        <v/>
      </c>
      <c r="X159">
        <f>HYPERLINK("https://klasma.github.io/Logging_2303/tillsyn/A 21245-2025 tillsynsbegäran.docx", "A 21245-2025")</f>
        <v/>
      </c>
      <c r="Y159">
        <f>HYPERLINK("https://klasma.github.io/Logging_2303/tillsynsmail/A 21245-2025 tillsynsbegäran mail.docx", "A 21245-2025")</f>
        <v/>
      </c>
      <c r="Z159">
        <f>HYPERLINK("https://klasma.github.io/Logging_2303/fåglar/A 21245-2025 prioriterade fågelarter.docx", "A 21245-2025")</f>
        <v/>
      </c>
    </row>
    <row r="160" ht="15" customHeight="1">
      <c r="A160" t="inlineStr">
        <is>
          <t>A 10866-2025</t>
        </is>
      </c>
      <c r="B160" s="1" t="n">
        <v>45722.61543981481</v>
      </c>
      <c r="C160" s="1" t="n">
        <v>45926</v>
      </c>
      <c r="D160" t="inlineStr">
        <is>
          <t>JÄMTLANDS LÄN</t>
        </is>
      </c>
      <c r="E160" t="inlineStr">
        <is>
          <t>RAGUNDA</t>
        </is>
      </c>
      <c r="F160" t="inlineStr">
        <is>
          <t>SCA</t>
        </is>
      </c>
      <c r="G160" t="n">
        <v>15.9</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10866-2025 artfynd.xlsx", "A 10866-2025")</f>
        <v/>
      </c>
      <c r="T160">
        <f>HYPERLINK("https://klasma.github.io/Logging_2303/kartor/A 10866-2025 karta.png", "A 10866-2025")</f>
        <v/>
      </c>
      <c r="V160">
        <f>HYPERLINK("https://klasma.github.io/Logging_2303/klagomål/A 10866-2025 FSC-klagomål.docx", "A 10866-2025")</f>
        <v/>
      </c>
      <c r="W160">
        <f>HYPERLINK("https://klasma.github.io/Logging_2303/klagomålsmail/A 10866-2025 FSC-klagomål mail.docx", "A 10866-2025")</f>
        <v/>
      </c>
      <c r="X160">
        <f>HYPERLINK("https://klasma.github.io/Logging_2303/tillsyn/A 10866-2025 tillsynsbegäran.docx", "A 10866-2025")</f>
        <v/>
      </c>
      <c r="Y160">
        <f>HYPERLINK("https://klasma.github.io/Logging_2303/tillsynsmail/A 10866-2025 tillsynsbegäran mail.docx", "A 10866-2025")</f>
        <v/>
      </c>
    </row>
    <row r="161" ht="15" customHeight="1">
      <c r="A161" t="inlineStr">
        <is>
          <t>A 10884-2025</t>
        </is>
      </c>
      <c r="B161" s="1" t="n">
        <v>45722.65670138889</v>
      </c>
      <c r="C161" s="1" t="n">
        <v>45926</v>
      </c>
      <c r="D161" t="inlineStr">
        <is>
          <t>JÄMTLANDS LÄN</t>
        </is>
      </c>
      <c r="E161" t="inlineStr">
        <is>
          <t>RAGUNDA</t>
        </is>
      </c>
      <c r="F161" t="inlineStr">
        <is>
          <t>SCA</t>
        </is>
      </c>
      <c r="G161" t="n">
        <v>5.4</v>
      </c>
      <c r="H161" t="n">
        <v>0</v>
      </c>
      <c r="I161" t="n">
        <v>1</v>
      </c>
      <c r="J161" t="n">
        <v>1</v>
      </c>
      <c r="K161" t="n">
        <v>0</v>
      </c>
      <c r="L161" t="n">
        <v>0</v>
      </c>
      <c r="M161" t="n">
        <v>0</v>
      </c>
      <c r="N161" t="n">
        <v>0</v>
      </c>
      <c r="O161" t="n">
        <v>1</v>
      </c>
      <c r="P161" t="n">
        <v>0</v>
      </c>
      <c r="Q161" t="n">
        <v>2</v>
      </c>
      <c r="R161" s="2" t="inlineStr">
        <is>
          <t>Vitgrynig nållav
Dropptaggsvamp</t>
        </is>
      </c>
      <c r="S161">
        <f>HYPERLINK("https://klasma.github.io/Logging_2303/artfynd/A 10884-2025 artfynd.xlsx", "A 10884-2025")</f>
        <v/>
      </c>
      <c r="T161">
        <f>HYPERLINK("https://klasma.github.io/Logging_2303/kartor/A 10884-2025 karta.png", "A 10884-2025")</f>
        <v/>
      </c>
      <c r="V161">
        <f>HYPERLINK("https://klasma.github.io/Logging_2303/klagomål/A 10884-2025 FSC-klagomål.docx", "A 10884-2025")</f>
        <v/>
      </c>
      <c r="W161">
        <f>HYPERLINK("https://klasma.github.io/Logging_2303/klagomålsmail/A 10884-2025 FSC-klagomål mail.docx", "A 10884-2025")</f>
        <v/>
      </c>
      <c r="X161">
        <f>HYPERLINK("https://klasma.github.io/Logging_2303/tillsyn/A 10884-2025 tillsynsbegäran.docx", "A 10884-2025")</f>
        <v/>
      </c>
      <c r="Y161">
        <f>HYPERLINK("https://klasma.github.io/Logging_2303/tillsynsmail/A 10884-2025 tillsynsbegäran mail.docx", "A 10884-2025")</f>
        <v/>
      </c>
    </row>
    <row r="162" ht="15" customHeight="1">
      <c r="A162" t="inlineStr">
        <is>
          <t>A 19384-2025</t>
        </is>
      </c>
      <c r="B162" s="1" t="n">
        <v>45769.65692129629</v>
      </c>
      <c r="C162" s="1" t="n">
        <v>45926</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3838-2024</t>
        </is>
      </c>
      <c r="B163" s="1" t="n">
        <v>45321</v>
      </c>
      <c r="C163" s="1" t="n">
        <v>45926</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36756-2023</t>
        </is>
      </c>
      <c r="B164" s="1" t="n">
        <v>45153</v>
      </c>
      <c r="C164" s="1" t="n">
        <v>45926</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45926</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39495-2024</t>
        </is>
      </c>
      <c r="B166" s="1" t="n">
        <v>45551.65726851852</v>
      </c>
      <c r="C166" s="1" t="n">
        <v>45926</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25155-2025</t>
        </is>
      </c>
      <c r="B167" s="1" t="n">
        <v>45800.42782407408</v>
      </c>
      <c r="C167" s="1" t="n">
        <v>45926</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32736-2023</t>
        </is>
      </c>
      <c r="B168" s="1" t="n">
        <v>45121</v>
      </c>
      <c r="C168" s="1" t="n">
        <v>45926</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55647-2023</t>
        </is>
      </c>
      <c r="B169" s="1" t="n">
        <v>45238</v>
      </c>
      <c r="C169" s="1" t="n">
        <v>45926</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45035-2023</t>
        </is>
      </c>
      <c r="B170" s="1" t="n">
        <v>45191</v>
      </c>
      <c r="C170" s="1" t="n">
        <v>45926</v>
      </c>
      <c r="D170" t="inlineStr">
        <is>
          <t>JÄMTLANDS LÄN</t>
        </is>
      </c>
      <c r="E170" t="inlineStr">
        <is>
          <t>RAGUNDA</t>
        </is>
      </c>
      <c r="G170" t="n">
        <v>2.9</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45035-2023 artfynd.xlsx", "A 45035-2023")</f>
        <v/>
      </c>
      <c r="T170">
        <f>HYPERLINK("https://klasma.github.io/Logging_2303/kartor/A 45035-2023 karta.png", "A 45035-2023")</f>
        <v/>
      </c>
      <c r="V170">
        <f>HYPERLINK("https://klasma.github.io/Logging_2303/klagomål/A 45035-2023 FSC-klagomål.docx", "A 45035-2023")</f>
        <v/>
      </c>
      <c r="W170">
        <f>HYPERLINK("https://klasma.github.io/Logging_2303/klagomålsmail/A 45035-2023 FSC-klagomål mail.docx", "A 45035-2023")</f>
        <v/>
      </c>
      <c r="X170">
        <f>HYPERLINK("https://klasma.github.io/Logging_2303/tillsyn/A 45035-2023 tillsynsbegäran.docx", "A 45035-2023")</f>
        <v/>
      </c>
      <c r="Y170">
        <f>HYPERLINK("https://klasma.github.io/Logging_2303/tillsynsmail/A 45035-2023 tillsynsbegäran mail.docx", "A 45035-2023")</f>
        <v/>
      </c>
    </row>
    <row r="171" ht="15" customHeight="1">
      <c r="A171" t="inlineStr">
        <is>
          <t>A 11544-2024</t>
        </is>
      </c>
      <c r="B171" s="1" t="n">
        <v>45372.95680555556</v>
      </c>
      <c r="C171" s="1" t="n">
        <v>45926</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47267-2022</t>
        </is>
      </c>
      <c r="B172" s="1" t="n">
        <v>44852</v>
      </c>
      <c r="C172" s="1" t="n">
        <v>45926</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45926</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11843-2023</t>
        </is>
      </c>
      <c r="B174" s="1" t="n">
        <v>44993</v>
      </c>
      <c r="C174" s="1" t="n">
        <v>45926</v>
      </c>
      <c r="D174" t="inlineStr">
        <is>
          <t>JÄMTLANDS LÄN</t>
        </is>
      </c>
      <c r="E174" t="inlineStr">
        <is>
          <t>RAGUNDA</t>
        </is>
      </c>
      <c r="G174" t="n">
        <v>6.4</v>
      </c>
      <c r="H174" t="n">
        <v>2</v>
      </c>
      <c r="I174" t="n">
        <v>0</v>
      </c>
      <c r="J174" t="n">
        <v>1</v>
      </c>
      <c r="K174" t="n">
        <v>0</v>
      </c>
      <c r="L174" t="n">
        <v>0</v>
      </c>
      <c r="M174" t="n">
        <v>0</v>
      </c>
      <c r="N174" t="n">
        <v>0</v>
      </c>
      <c r="O174" t="n">
        <v>1</v>
      </c>
      <c r="P174" t="n">
        <v>0</v>
      </c>
      <c r="Q174" t="n">
        <v>2</v>
      </c>
      <c r="R174" s="2" t="inlineStr">
        <is>
          <t>Spillkråka
Revlummer</t>
        </is>
      </c>
      <c r="S174">
        <f>HYPERLINK("https://klasma.github.io/Logging_2303/artfynd/A 11843-2023 artfynd.xlsx", "A 11843-2023")</f>
        <v/>
      </c>
      <c r="T174">
        <f>HYPERLINK("https://klasma.github.io/Logging_2303/kartor/A 11843-2023 karta.png", "A 11843-2023")</f>
        <v/>
      </c>
      <c r="V174">
        <f>HYPERLINK("https://klasma.github.io/Logging_2303/klagomål/A 11843-2023 FSC-klagomål.docx", "A 11843-2023")</f>
        <v/>
      </c>
      <c r="W174">
        <f>HYPERLINK("https://klasma.github.io/Logging_2303/klagomålsmail/A 11843-2023 FSC-klagomål mail.docx", "A 11843-2023")</f>
        <v/>
      </c>
      <c r="X174">
        <f>HYPERLINK("https://klasma.github.io/Logging_2303/tillsyn/A 11843-2023 tillsynsbegäran.docx", "A 11843-2023")</f>
        <v/>
      </c>
      <c r="Y174">
        <f>HYPERLINK("https://klasma.github.io/Logging_2303/tillsynsmail/A 11843-2023 tillsynsbegäran mail.docx", "A 11843-2023")</f>
        <v/>
      </c>
      <c r="Z174">
        <f>HYPERLINK("https://klasma.github.io/Logging_2303/fåglar/A 11843-2023 prioriterade fågelarter.docx", "A 11843-2023")</f>
        <v/>
      </c>
    </row>
    <row r="175" ht="15" customHeight="1">
      <c r="A175" t="inlineStr">
        <is>
          <t>A 17733-2022</t>
        </is>
      </c>
      <c r="B175" s="1" t="n">
        <v>44680</v>
      </c>
      <c r="C175" s="1" t="n">
        <v>45926</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50089-2022</t>
        </is>
      </c>
      <c r="B176" s="1" t="n">
        <v>44865</v>
      </c>
      <c r="C176" s="1" t="n">
        <v>45926</v>
      </c>
      <c r="D176" t="inlineStr">
        <is>
          <t>JÄMTLANDS LÄN</t>
        </is>
      </c>
      <c r="E176" t="inlineStr">
        <is>
          <t>RAGUNDA</t>
        </is>
      </c>
      <c r="G176" t="n">
        <v>5.7</v>
      </c>
      <c r="H176" t="n">
        <v>2</v>
      </c>
      <c r="I176" t="n">
        <v>0</v>
      </c>
      <c r="J176" t="n">
        <v>2</v>
      </c>
      <c r="K176" t="n">
        <v>0</v>
      </c>
      <c r="L176" t="n">
        <v>0</v>
      </c>
      <c r="M176" t="n">
        <v>0</v>
      </c>
      <c r="N176" t="n">
        <v>0</v>
      </c>
      <c r="O176" t="n">
        <v>2</v>
      </c>
      <c r="P176" t="n">
        <v>0</v>
      </c>
      <c r="Q176" t="n">
        <v>2</v>
      </c>
      <c r="R176" s="2" t="inlineStr">
        <is>
          <t>Björktrast
Drillsnäppa</t>
        </is>
      </c>
      <c r="S176">
        <f>HYPERLINK("https://klasma.github.io/Logging_2303/artfynd/A 50089-2022 artfynd.xlsx", "A 50089-2022")</f>
        <v/>
      </c>
      <c r="T176">
        <f>HYPERLINK("https://klasma.github.io/Logging_2303/kartor/A 50089-2022 karta.png", "A 50089-2022")</f>
        <v/>
      </c>
      <c r="V176">
        <f>HYPERLINK("https://klasma.github.io/Logging_2303/klagomål/A 50089-2022 FSC-klagomål.docx", "A 50089-2022")</f>
        <v/>
      </c>
      <c r="W176">
        <f>HYPERLINK("https://klasma.github.io/Logging_2303/klagomålsmail/A 50089-2022 FSC-klagomål mail.docx", "A 50089-2022")</f>
        <v/>
      </c>
      <c r="X176">
        <f>HYPERLINK("https://klasma.github.io/Logging_2303/tillsyn/A 50089-2022 tillsynsbegäran.docx", "A 50089-2022")</f>
        <v/>
      </c>
      <c r="Y176">
        <f>HYPERLINK("https://klasma.github.io/Logging_2303/tillsynsmail/A 50089-2022 tillsynsbegäran mail.docx", "A 50089-2022")</f>
        <v/>
      </c>
      <c r="Z176">
        <f>HYPERLINK("https://klasma.github.io/Logging_2303/fåglar/A 50089-2022 prioriterade fågelarter.docx", "A 50089-2022")</f>
        <v/>
      </c>
    </row>
    <row r="177" ht="15" customHeight="1">
      <c r="A177" t="inlineStr">
        <is>
          <t>A 48427-2023</t>
        </is>
      </c>
      <c r="B177" s="1" t="n">
        <v>45205</v>
      </c>
      <c r="C177" s="1" t="n">
        <v>45926</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31960-2025</t>
        </is>
      </c>
      <c r="B178" s="1" t="n">
        <v>45835.344375</v>
      </c>
      <c r="C178" s="1" t="n">
        <v>45926</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11086-2025</t>
        </is>
      </c>
      <c r="B179" s="1" t="n">
        <v>45723.57329861111</v>
      </c>
      <c r="C179" s="1" t="n">
        <v>45926</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40826-2023</t>
        </is>
      </c>
      <c r="B180" s="1" t="n">
        <v>45171</v>
      </c>
      <c r="C180" s="1" t="n">
        <v>45926</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26482-2023</t>
        </is>
      </c>
      <c r="B181" s="1" t="n">
        <v>45089</v>
      </c>
      <c r="C181" s="1" t="n">
        <v>45926</v>
      </c>
      <c r="D181" t="inlineStr">
        <is>
          <t>JÄMTLANDS LÄN</t>
        </is>
      </c>
      <c r="E181" t="inlineStr">
        <is>
          <t>RAGUNDA</t>
        </is>
      </c>
      <c r="G181" t="n">
        <v>2</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HYPERLINK("https://klasma.github.io/Logging_2303/artfynd/A 26482-2023 artfynd.xlsx", "A 26482-2023")</f>
        <v/>
      </c>
      <c r="T181">
        <f>HYPERLINK("https://klasma.github.io/Logging_2303/kartor/A 26482-2023 karta.png", "A 26482-2023")</f>
        <v/>
      </c>
      <c r="V181">
        <f>HYPERLINK("https://klasma.github.io/Logging_2303/klagomål/A 26482-2023 FSC-klagomål.docx", "A 26482-2023")</f>
        <v/>
      </c>
      <c r="W181">
        <f>HYPERLINK("https://klasma.github.io/Logging_2303/klagomålsmail/A 26482-2023 FSC-klagomål mail.docx", "A 26482-2023")</f>
        <v/>
      </c>
      <c r="X181">
        <f>HYPERLINK("https://klasma.github.io/Logging_2303/tillsyn/A 26482-2023 tillsynsbegäran.docx", "A 26482-2023")</f>
        <v/>
      </c>
      <c r="Y181">
        <f>HYPERLINK("https://klasma.github.io/Logging_2303/tillsynsmail/A 26482-2023 tillsynsbegäran mail.docx", "A 26482-2023")</f>
        <v/>
      </c>
      <c r="Z181">
        <f>HYPERLINK("https://klasma.github.io/Logging_2303/fåglar/A 26482-2023 prioriterade fågelarter.docx", "A 26482-2023")</f>
        <v/>
      </c>
    </row>
    <row r="182" ht="15" customHeight="1">
      <c r="A182" t="inlineStr">
        <is>
          <t>A 35131-2025</t>
        </is>
      </c>
      <c r="B182" s="1" t="n">
        <v>45852.63597222222</v>
      </c>
      <c r="C182" s="1" t="n">
        <v>45926</v>
      </c>
      <c r="D182" t="inlineStr">
        <is>
          <t>JÄMTLANDS LÄN</t>
        </is>
      </c>
      <c r="E182" t="inlineStr">
        <is>
          <t>RAGUNDA</t>
        </is>
      </c>
      <c r="F182" t="inlineStr">
        <is>
          <t>SCA</t>
        </is>
      </c>
      <c r="G182" t="n">
        <v>6.9</v>
      </c>
      <c r="H182" t="n">
        <v>1</v>
      </c>
      <c r="I182" t="n">
        <v>1</v>
      </c>
      <c r="J182" t="n">
        <v>0</v>
      </c>
      <c r="K182" t="n">
        <v>0</v>
      </c>
      <c r="L182" t="n">
        <v>0</v>
      </c>
      <c r="M182" t="n">
        <v>0</v>
      </c>
      <c r="N182" t="n">
        <v>0</v>
      </c>
      <c r="O182" t="n">
        <v>0</v>
      </c>
      <c r="P182" t="n">
        <v>0</v>
      </c>
      <c r="Q182" t="n">
        <v>2</v>
      </c>
      <c r="R182" s="2" t="inlineStr">
        <is>
          <t>Ögonpyrola
Nattviol</t>
        </is>
      </c>
      <c r="S182">
        <f>HYPERLINK("https://klasma.github.io/Logging_2303/artfynd/A 35131-2025 artfynd.xlsx", "A 35131-2025")</f>
        <v/>
      </c>
      <c r="T182">
        <f>HYPERLINK("https://klasma.github.io/Logging_2303/kartor/A 35131-2025 karta.png", "A 35131-2025")</f>
        <v/>
      </c>
      <c r="V182">
        <f>HYPERLINK("https://klasma.github.io/Logging_2303/klagomål/A 35131-2025 FSC-klagomål.docx", "A 35131-2025")</f>
        <v/>
      </c>
      <c r="W182">
        <f>HYPERLINK("https://klasma.github.io/Logging_2303/klagomålsmail/A 35131-2025 FSC-klagomål mail.docx", "A 35131-2025")</f>
        <v/>
      </c>
      <c r="X182">
        <f>HYPERLINK("https://klasma.github.io/Logging_2303/tillsyn/A 35131-2025 tillsynsbegäran.docx", "A 35131-2025")</f>
        <v/>
      </c>
      <c r="Y182">
        <f>HYPERLINK("https://klasma.github.io/Logging_2303/tillsynsmail/A 35131-2025 tillsynsbegäran mail.docx", "A 35131-2025")</f>
        <v/>
      </c>
    </row>
    <row r="183" ht="15" customHeight="1">
      <c r="A183" t="inlineStr">
        <is>
          <t>A 41490-2022</t>
        </is>
      </c>
      <c r="B183" s="1" t="n">
        <v>44826.94976851852</v>
      </c>
      <c r="C183" s="1" t="n">
        <v>45926</v>
      </c>
      <c r="D183" t="inlineStr">
        <is>
          <t>JÄMTLANDS LÄN</t>
        </is>
      </c>
      <c r="E183" t="inlineStr">
        <is>
          <t>RAGUNDA</t>
        </is>
      </c>
      <c r="F183" t="inlineStr">
        <is>
          <t>SCA</t>
        </is>
      </c>
      <c r="G183" t="n">
        <v>2.7</v>
      </c>
      <c r="H183" t="n">
        <v>0</v>
      </c>
      <c r="I183" t="n">
        <v>1</v>
      </c>
      <c r="J183" t="n">
        <v>1</v>
      </c>
      <c r="K183" t="n">
        <v>0</v>
      </c>
      <c r="L183" t="n">
        <v>0</v>
      </c>
      <c r="M183" t="n">
        <v>0</v>
      </c>
      <c r="N183" t="n">
        <v>0</v>
      </c>
      <c r="O183" t="n">
        <v>1</v>
      </c>
      <c r="P183" t="n">
        <v>0</v>
      </c>
      <c r="Q183" t="n">
        <v>2</v>
      </c>
      <c r="R183" s="2" t="inlineStr">
        <is>
          <t>Lunglav
Skinnlav</t>
        </is>
      </c>
      <c r="S183">
        <f>HYPERLINK("https://klasma.github.io/Logging_2303/artfynd/A 41490-2022 artfynd.xlsx", "A 41490-2022")</f>
        <v/>
      </c>
      <c r="T183">
        <f>HYPERLINK("https://klasma.github.io/Logging_2303/kartor/A 41490-2022 karta.png", "A 41490-2022")</f>
        <v/>
      </c>
      <c r="V183">
        <f>HYPERLINK("https://klasma.github.io/Logging_2303/klagomål/A 41490-2022 FSC-klagomål.docx", "A 41490-2022")</f>
        <v/>
      </c>
      <c r="W183">
        <f>HYPERLINK("https://klasma.github.io/Logging_2303/klagomålsmail/A 41490-2022 FSC-klagomål mail.docx", "A 41490-2022")</f>
        <v/>
      </c>
      <c r="X183">
        <f>HYPERLINK("https://klasma.github.io/Logging_2303/tillsyn/A 41490-2022 tillsynsbegäran.docx", "A 41490-2022")</f>
        <v/>
      </c>
      <c r="Y183">
        <f>HYPERLINK("https://klasma.github.io/Logging_2303/tillsynsmail/A 41490-2022 tillsynsbegäran mail.docx", "A 41490-2022")</f>
        <v/>
      </c>
    </row>
    <row r="184" ht="15" customHeight="1">
      <c r="A184" t="inlineStr">
        <is>
          <t>A 14502-2024</t>
        </is>
      </c>
      <c r="B184" s="1" t="n">
        <v>45394</v>
      </c>
      <c r="C184" s="1" t="n">
        <v>45926</v>
      </c>
      <c r="D184" t="inlineStr">
        <is>
          <t>JÄMTLANDS LÄN</t>
        </is>
      </c>
      <c r="E184" t="inlineStr">
        <is>
          <t>RAGUNDA</t>
        </is>
      </c>
      <c r="G184" t="n">
        <v>11.6</v>
      </c>
      <c r="H184" t="n">
        <v>0</v>
      </c>
      <c r="I184" t="n">
        <v>0</v>
      </c>
      <c r="J184" t="n">
        <v>2</v>
      </c>
      <c r="K184" t="n">
        <v>0</v>
      </c>
      <c r="L184" t="n">
        <v>0</v>
      </c>
      <c r="M184" t="n">
        <v>0</v>
      </c>
      <c r="N184" t="n">
        <v>0</v>
      </c>
      <c r="O184" t="n">
        <v>2</v>
      </c>
      <c r="P184" t="n">
        <v>0</v>
      </c>
      <c r="Q184" t="n">
        <v>2</v>
      </c>
      <c r="R184" s="2" t="inlineStr">
        <is>
          <t>Garnlav
Stjärntagging</t>
        </is>
      </c>
      <c r="S184">
        <f>HYPERLINK("https://klasma.github.io/Logging_2303/artfynd/A 14502-2024 artfynd.xlsx", "A 14502-2024")</f>
        <v/>
      </c>
      <c r="T184">
        <f>HYPERLINK("https://klasma.github.io/Logging_2303/kartor/A 14502-2024 karta.png", "A 14502-2024")</f>
        <v/>
      </c>
      <c r="V184">
        <f>HYPERLINK("https://klasma.github.io/Logging_2303/klagomål/A 14502-2024 FSC-klagomål.docx", "A 14502-2024")</f>
        <v/>
      </c>
      <c r="W184">
        <f>HYPERLINK("https://klasma.github.io/Logging_2303/klagomålsmail/A 14502-2024 FSC-klagomål mail.docx", "A 14502-2024")</f>
        <v/>
      </c>
      <c r="X184">
        <f>HYPERLINK("https://klasma.github.io/Logging_2303/tillsyn/A 14502-2024 tillsynsbegäran.docx", "A 14502-2024")</f>
        <v/>
      </c>
      <c r="Y184">
        <f>HYPERLINK("https://klasma.github.io/Logging_2303/tillsynsmail/A 14502-2024 tillsynsbegäran mail.docx", "A 14502-2024")</f>
        <v/>
      </c>
    </row>
    <row r="185" ht="15" customHeight="1">
      <c r="A185" t="inlineStr">
        <is>
          <t>A 46771-2024</t>
        </is>
      </c>
      <c r="B185" s="1" t="n">
        <v>45583.49642361111</v>
      </c>
      <c r="C185" s="1" t="n">
        <v>45926</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44409-2023</t>
        </is>
      </c>
      <c r="B186" s="1" t="n">
        <v>45188</v>
      </c>
      <c r="C186" s="1" t="n">
        <v>45926</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Garnlav
Norrlandslav</t>
        </is>
      </c>
      <c r="S186">
        <f>HYPERLINK("https://klasma.github.io/Logging_2303/artfynd/A 44409-2023 artfynd.xlsx", "A 44409-2023")</f>
        <v/>
      </c>
      <c r="T186">
        <f>HYPERLINK("https://klasma.github.io/Logging_2303/kartor/A 44409-2023 karta.png", "A 44409-2023")</f>
        <v/>
      </c>
      <c r="V186">
        <f>HYPERLINK("https://klasma.github.io/Logging_2303/klagomål/A 44409-2023 FSC-klagomål.docx", "A 44409-2023")</f>
        <v/>
      </c>
      <c r="W186">
        <f>HYPERLINK("https://klasma.github.io/Logging_2303/klagomålsmail/A 44409-2023 FSC-klagomål mail.docx", "A 44409-2023")</f>
        <v/>
      </c>
      <c r="X186">
        <f>HYPERLINK("https://klasma.github.io/Logging_2303/tillsyn/A 44409-2023 tillsynsbegäran.docx", "A 44409-2023")</f>
        <v/>
      </c>
      <c r="Y186">
        <f>HYPERLINK("https://klasma.github.io/Logging_2303/tillsynsmail/A 44409-2023 tillsynsbegäran mail.docx", "A 44409-2023")</f>
        <v/>
      </c>
    </row>
    <row r="187" ht="15" customHeight="1">
      <c r="A187" t="inlineStr">
        <is>
          <t>A 48084-2022</t>
        </is>
      </c>
      <c r="B187" s="1" t="n">
        <v>44855</v>
      </c>
      <c r="C187" s="1" t="n">
        <v>45926</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12271-2024</t>
        </is>
      </c>
      <c r="B188" s="1" t="n">
        <v>45378</v>
      </c>
      <c r="C188" s="1" t="n">
        <v>45926</v>
      </c>
      <c r="D188" t="inlineStr">
        <is>
          <t>JÄMTLANDS LÄN</t>
        </is>
      </c>
      <c r="E188" t="inlineStr">
        <is>
          <t>RAGUNDA</t>
        </is>
      </c>
      <c r="F188" t="inlineStr">
        <is>
          <t>Kommuner</t>
        </is>
      </c>
      <c r="G188" t="n">
        <v>6.1</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12271-2024 artfynd.xlsx", "A 12271-2024")</f>
        <v/>
      </c>
      <c r="T188">
        <f>HYPERLINK("https://klasma.github.io/Logging_2303/kartor/A 12271-2024 karta.png", "A 12271-2024")</f>
        <v/>
      </c>
      <c r="V188">
        <f>HYPERLINK("https://klasma.github.io/Logging_2303/klagomål/A 12271-2024 FSC-klagomål.docx", "A 12271-2024")</f>
        <v/>
      </c>
      <c r="W188">
        <f>HYPERLINK("https://klasma.github.io/Logging_2303/klagomålsmail/A 12271-2024 FSC-klagomål mail.docx", "A 12271-2024")</f>
        <v/>
      </c>
      <c r="X188">
        <f>HYPERLINK("https://klasma.github.io/Logging_2303/tillsyn/A 12271-2024 tillsynsbegäran.docx", "A 12271-2024")</f>
        <v/>
      </c>
      <c r="Y188">
        <f>HYPERLINK("https://klasma.github.io/Logging_2303/tillsynsmail/A 12271-2024 tillsynsbegäran mail.docx", "A 12271-2024")</f>
        <v/>
      </c>
    </row>
    <row r="189" ht="15" customHeight="1">
      <c r="A189" t="inlineStr">
        <is>
          <t>A 34715-2024</t>
        </is>
      </c>
      <c r="B189" s="1" t="n">
        <v>45526.56393518519</v>
      </c>
      <c r="C189" s="1" t="n">
        <v>45926</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26324-2024</t>
        </is>
      </c>
      <c r="B190" s="1" t="n">
        <v>45468.97495370371</v>
      </c>
      <c r="C190" s="1" t="n">
        <v>45926</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57940-2024</t>
        </is>
      </c>
      <c r="B191" s="1" t="n">
        <v>45631</v>
      </c>
      <c r="C191" s="1" t="n">
        <v>45926</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51916-2021</t>
        </is>
      </c>
      <c r="B192" s="1" t="n">
        <v>44462</v>
      </c>
      <c r="C192" s="1" t="n">
        <v>45926</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45926</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45926</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45926</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45926</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45926</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45926</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36757-2023</t>
        </is>
      </c>
      <c r="B199" s="1" t="n">
        <v>45153</v>
      </c>
      <c r="C199" s="1" t="n">
        <v>45926</v>
      </c>
      <c r="D199" t="inlineStr">
        <is>
          <t>JÄMTLANDS LÄN</t>
        </is>
      </c>
      <c r="E199" t="inlineStr">
        <is>
          <t>RAGUNDA</t>
        </is>
      </c>
      <c r="G199" t="n">
        <v>0.7</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36757-2023 artfynd.xlsx", "A 36757-2023")</f>
        <v/>
      </c>
      <c r="T199">
        <f>HYPERLINK("https://klasma.github.io/Logging_2303/kartor/A 36757-2023 karta.png", "A 36757-2023")</f>
        <v/>
      </c>
      <c r="V199">
        <f>HYPERLINK("https://klasma.github.io/Logging_2303/klagomål/A 36757-2023 FSC-klagomål.docx", "A 36757-2023")</f>
        <v/>
      </c>
      <c r="W199">
        <f>HYPERLINK("https://klasma.github.io/Logging_2303/klagomålsmail/A 36757-2023 FSC-klagomål mail.docx", "A 36757-2023")</f>
        <v/>
      </c>
      <c r="X199">
        <f>HYPERLINK("https://klasma.github.io/Logging_2303/tillsyn/A 36757-2023 tillsynsbegäran.docx", "A 36757-2023")</f>
        <v/>
      </c>
      <c r="Y199">
        <f>HYPERLINK("https://klasma.github.io/Logging_2303/tillsynsmail/A 36757-2023 tillsynsbegäran mail.docx", "A 36757-2023")</f>
        <v/>
      </c>
      <c r="Z199">
        <f>HYPERLINK("https://klasma.github.io/Logging_2303/fåglar/A 36757-2023 prioriterade fågelarter.docx", "A 36757-2023")</f>
        <v/>
      </c>
    </row>
    <row r="200" ht="15" customHeight="1">
      <c r="A200" t="inlineStr">
        <is>
          <t>A 21212-2025</t>
        </is>
      </c>
      <c r="B200" s="1" t="n">
        <v>45779.48993055556</v>
      </c>
      <c r="C200" s="1" t="n">
        <v>45926</v>
      </c>
      <c r="D200" t="inlineStr">
        <is>
          <t>JÄMTLANDS LÄN</t>
        </is>
      </c>
      <c r="E200" t="inlineStr">
        <is>
          <t>RAGUNDA</t>
        </is>
      </c>
      <c r="F200" t="inlineStr">
        <is>
          <t>SCA</t>
        </is>
      </c>
      <c r="G200" t="n">
        <v>2.6</v>
      </c>
      <c r="H200" t="n">
        <v>0</v>
      </c>
      <c r="I200" t="n">
        <v>0</v>
      </c>
      <c r="J200" t="n">
        <v>1</v>
      </c>
      <c r="K200" t="n">
        <v>0</v>
      </c>
      <c r="L200" t="n">
        <v>0</v>
      </c>
      <c r="M200" t="n">
        <v>0</v>
      </c>
      <c r="N200" t="n">
        <v>0</v>
      </c>
      <c r="O200" t="n">
        <v>1</v>
      </c>
      <c r="P200" t="n">
        <v>0</v>
      </c>
      <c r="Q200" t="n">
        <v>1</v>
      </c>
      <c r="R200" s="2" t="inlineStr">
        <is>
          <t>Garnlav</t>
        </is>
      </c>
      <c r="S200">
        <f>HYPERLINK("https://klasma.github.io/Logging_2303/artfynd/A 21212-2025 artfynd.xlsx", "A 21212-2025")</f>
        <v/>
      </c>
      <c r="T200">
        <f>HYPERLINK("https://klasma.github.io/Logging_2303/kartor/A 21212-2025 karta.png", "A 21212-2025")</f>
        <v/>
      </c>
      <c r="V200">
        <f>HYPERLINK("https://klasma.github.io/Logging_2303/klagomål/A 21212-2025 FSC-klagomål.docx", "A 21212-2025")</f>
        <v/>
      </c>
      <c r="W200">
        <f>HYPERLINK("https://klasma.github.io/Logging_2303/klagomålsmail/A 21212-2025 FSC-klagomål mail.docx", "A 21212-2025")</f>
        <v/>
      </c>
      <c r="X200">
        <f>HYPERLINK("https://klasma.github.io/Logging_2303/tillsyn/A 21212-2025 tillsynsbegäran.docx", "A 21212-2025")</f>
        <v/>
      </c>
      <c r="Y200">
        <f>HYPERLINK("https://klasma.github.io/Logging_2303/tillsynsmail/A 21212-2025 tillsynsbegäran mail.docx", "A 21212-2025")</f>
        <v/>
      </c>
    </row>
    <row r="201" ht="15" customHeight="1">
      <c r="A201" t="inlineStr">
        <is>
          <t>A 25694-2023</t>
        </is>
      </c>
      <c r="B201" s="1" t="n">
        <v>45089</v>
      </c>
      <c r="C201" s="1" t="n">
        <v>45926</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61324-2024</t>
        </is>
      </c>
      <c r="B202" s="1" t="n">
        <v>45646.34438657408</v>
      </c>
      <c r="C202" s="1" t="n">
        <v>45926</v>
      </c>
      <c r="D202" t="inlineStr">
        <is>
          <t>JÄMTLANDS LÄN</t>
        </is>
      </c>
      <c r="E202" t="inlineStr">
        <is>
          <t>RAGUNDA</t>
        </is>
      </c>
      <c r="F202" t="inlineStr">
        <is>
          <t>SCA</t>
        </is>
      </c>
      <c r="G202" t="n">
        <v>11.2</v>
      </c>
      <c r="H202" t="n">
        <v>1</v>
      </c>
      <c r="I202" t="n">
        <v>0</v>
      </c>
      <c r="J202" t="n">
        <v>0</v>
      </c>
      <c r="K202" t="n">
        <v>0</v>
      </c>
      <c r="L202" t="n">
        <v>0</v>
      </c>
      <c r="M202" t="n">
        <v>0</v>
      </c>
      <c r="N202" t="n">
        <v>0</v>
      </c>
      <c r="O202" t="n">
        <v>0</v>
      </c>
      <c r="P202" t="n">
        <v>0</v>
      </c>
      <c r="Q202" t="n">
        <v>1</v>
      </c>
      <c r="R202" s="2" t="inlineStr">
        <is>
          <t>Trana</t>
        </is>
      </c>
      <c r="S202">
        <f>HYPERLINK("https://klasma.github.io/Logging_2303/artfynd/A 61324-2024 artfynd.xlsx", "A 61324-2024")</f>
        <v/>
      </c>
      <c r="T202">
        <f>HYPERLINK("https://klasma.github.io/Logging_2303/kartor/A 61324-2024 karta.png", "A 61324-2024")</f>
        <v/>
      </c>
      <c r="V202">
        <f>HYPERLINK("https://klasma.github.io/Logging_2303/klagomål/A 61324-2024 FSC-klagomål.docx", "A 61324-2024")</f>
        <v/>
      </c>
      <c r="W202">
        <f>HYPERLINK("https://klasma.github.io/Logging_2303/klagomålsmail/A 61324-2024 FSC-klagomål mail.docx", "A 61324-2024")</f>
        <v/>
      </c>
      <c r="X202">
        <f>HYPERLINK("https://klasma.github.io/Logging_2303/tillsyn/A 61324-2024 tillsynsbegäran.docx", "A 61324-2024")</f>
        <v/>
      </c>
      <c r="Y202">
        <f>HYPERLINK("https://klasma.github.io/Logging_2303/tillsynsmail/A 61324-2024 tillsynsbegäran mail.docx", "A 61324-2024")</f>
        <v/>
      </c>
      <c r="Z202">
        <f>HYPERLINK("https://klasma.github.io/Logging_2303/fåglar/A 61324-2024 prioriterade fågelarter.docx", "A 61324-2024")</f>
        <v/>
      </c>
    </row>
    <row r="203" ht="15" customHeight="1">
      <c r="A203" t="inlineStr">
        <is>
          <t>A 11040-2023</t>
        </is>
      </c>
      <c r="B203" s="1" t="n">
        <v>44991</v>
      </c>
      <c r="C203" s="1" t="n">
        <v>45926</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45926</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45926</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32069-2024</t>
        </is>
      </c>
      <c r="B206" s="1" t="n">
        <v>45510</v>
      </c>
      <c r="C206" s="1" t="n">
        <v>45926</v>
      </c>
      <c r="D206" t="inlineStr">
        <is>
          <t>JÄMTLANDS LÄN</t>
        </is>
      </c>
      <c r="E206" t="inlineStr">
        <is>
          <t>RAGUNDA</t>
        </is>
      </c>
      <c r="F206" t="inlineStr">
        <is>
          <t>SCA</t>
        </is>
      </c>
      <c r="G206" t="n">
        <v>1.8</v>
      </c>
      <c r="H206" t="n">
        <v>0</v>
      </c>
      <c r="I206" t="n">
        <v>0</v>
      </c>
      <c r="J206" t="n">
        <v>1</v>
      </c>
      <c r="K206" t="n">
        <v>0</v>
      </c>
      <c r="L206" t="n">
        <v>0</v>
      </c>
      <c r="M206" t="n">
        <v>0</v>
      </c>
      <c r="N206" t="n">
        <v>0</v>
      </c>
      <c r="O206" t="n">
        <v>1</v>
      </c>
      <c r="P206" t="n">
        <v>0</v>
      </c>
      <c r="Q206" t="n">
        <v>1</v>
      </c>
      <c r="R206" s="2" t="inlineStr">
        <is>
          <t>Lunglav</t>
        </is>
      </c>
      <c r="S206">
        <f>HYPERLINK("https://klasma.github.io/Logging_2303/artfynd/A 32069-2024 artfynd.xlsx", "A 32069-2024")</f>
        <v/>
      </c>
      <c r="T206">
        <f>HYPERLINK("https://klasma.github.io/Logging_2303/kartor/A 32069-2024 karta.png", "A 32069-2024")</f>
        <v/>
      </c>
      <c r="V206">
        <f>HYPERLINK("https://klasma.github.io/Logging_2303/klagomål/A 32069-2024 FSC-klagomål.docx", "A 32069-2024")</f>
        <v/>
      </c>
      <c r="W206">
        <f>HYPERLINK("https://klasma.github.io/Logging_2303/klagomålsmail/A 32069-2024 FSC-klagomål mail.docx", "A 32069-2024")</f>
        <v/>
      </c>
      <c r="X206">
        <f>HYPERLINK("https://klasma.github.io/Logging_2303/tillsyn/A 32069-2024 tillsynsbegäran.docx", "A 32069-2024")</f>
        <v/>
      </c>
      <c r="Y206">
        <f>HYPERLINK("https://klasma.github.io/Logging_2303/tillsynsmail/A 32069-2024 tillsynsbegäran mail.docx", "A 32069-2024")</f>
        <v/>
      </c>
    </row>
    <row r="207" ht="15" customHeight="1">
      <c r="A207" t="inlineStr">
        <is>
          <t>A 50233-2024</t>
        </is>
      </c>
      <c r="B207" s="1" t="n">
        <v>45600.55265046296</v>
      </c>
      <c r="C207" s="1" t="n">
        <v>45926</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19751-2025</t>
        </is>
      </c>
      <c r="B208" s="1" t="n">
        <v>45771.3859837963</v>
      </c>
      <c r="C208" s="1" t="n">
        <v>45926</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52898-2020</t>
        </is>
      </c>
      <c r="B209" s="1" t="n">
        <v>44119</v>
      </c>
      <c r="C209" s="1" t="n">
        <v>45926</v>
      </c>
      <c r="D209" t="inlineStr">
        <is>
          <t>JÄMTLANDS LÄN</t>
        </is>
      </c>
      <c r="E209" t="inlineStr">
        <is>
          <t>RAGUNDA</t>
        </is>
      </c>
      <c r="G209" t="n">
        <v>1.4</v>
      </c>
      <c r="H209" t="n">
        <v>1</v>
      </c>
      <c r="I209" t="n">
        <v>0</v>
      </c>
      <c r="J209" t="n">
        <v>0</v>
      </c>
      <c r="K209" t="n">
        <v>0</v>
      </c>
      <c r="L209" t="n">
        <v>0</v>
      </c>
      <c r="M209" t="n">
        <v>0</v>
      </c>
      <c r="N209" t="n">
        <v>0</v>
      </c>
      <c r="O209" t="n">
        <v>0</v>
      </c>
      <c r="P209" t="n">
        <v>0</v>
      </c>
      <c r="Q209" t="n">
        <v>1</v>
      </c>
      <c r="R209" s="2" t="inlineStr">
        <is>
          <t>Revlummer</t>
        </is>
      </c>
      <c r="S209">
        <f>HYPERLINK("https://klasma.github.io/Logging_2303/artfynd/A 52898-2020 artfynd.xlsx", "A 52898-2020")</f>
        <v/>
      </c>
      <c r="T209">
        <f>HYPERLINK("https://klasma.github.io/Logging_2303/kartor/A 52898-2020 karta.png", "A 52898-2020")</f>
        <v/>
      </c>
      <c r="V209">
        <f>HYPERLINK("https://klasma.github.io/Logging_2303/klagomål/A 52898-2020 FSC-klagomål.docx", "A 52898-2020")</f>
        <v/>
      </c>
      <c r="W209">
        <f>HYPERLINK("https://klasma.github.io/Logging_2303/klagomålsmail/A 52898-2020 FSC-klagomål mail.docx", "A 52898-2020")</f>
        <v/>
      </c>
      <c r="X209">
        <f>HYPERLINK("https://klasma.github.io/Logging_2303/tillsyn/A 52898-2020 tillsynsbegäran.docx", "A 52898-2020")</f>
        <v/>
      </c>
      <c r="Y209">
        <f>HYPERLINK("https://klasma.github.io/Logging_2303/tillsynsmail/A 52898-2020 tillsynsbegäran mail.docx", "A 52898-2020")</f>
        <v/>
      </c>
    </row>
    <row r="210" ht="15" customHeight="1">
      <c r="A210" t="inlineStr">
        <is>
          <t>A 19387-2025</t>
        </is>
      </c>
      <c r="B210" s="1" t="n">
        <v>45769.65736111111</v>
      </c>
      <c r="C210" s="1" t="n">
        <v>45926</v>
      </c>
      <c r="D210" t="inlineStr">
        <is>
          <t>JÄMTLANDS LÄN</t>
        </is>
      </c>
      <c r="E210" t="inlineStr">
        <is>
          <t>RAGUNDA</t>
        </is>
      </c>
      <c r="F210" t="inlineStr">
        <is>
          <t>SCA</t>
        </is>
      </c>
      <c r="G210" t="n">
        <v>16.4</v>
      </c>
      <c r="H210" t="n">
        <v>1</v>
      </c>
      <c r="I210" t="n">
        <v>0</v>
      </c>
      <c r="J210" t="n">
        <v>0</v>
      </c>
      <c r="K210" t="n">
        <v>1</v>
      </c>
      <c r="L210" t="n">
        <v>0</v>
      </c>
      <c r="M210" t="n">
        <v>0</v>
      </c>
      <c r="N210" t="n">
        <v>0</v>
      </c>
      <c r="O210" t="n">
        <v>1</v>
      </c>
      <c r="P210" t="n">
        <v>1</v>
      </c>
      <c r="Q210" t="n">
        <v>1</v>
      </c>
      <c r="R210" s="2" t="inlineStr">
        <is>
          <t>Norna</t>
        </is>
      </c>
      <c r="S210">
        <f>HYPERLINK("https://klasma.github.io/Logging_2303/artfynd/A 19387-2025 artfynd.xlsx", "A 19387-2025")</f>
        <v/>
      </c>
      <c r="T210">
        <f>HYPERLINK("https://klasma.github.io/Logging_2303/kartor/A 19387-2025 karta.png", "A 19387-2025")</f>
        <v/>
      </c>
      <c r="V210">
        <f>HYPERLINK("https://klasma.github.io/Logging_2303/klagomål/A 19387-2025 FSC-klagomål.docx", "A 19387-2025")</f>
        <v/>
      </c>
      <c r="W210">
        <f>HYPERLINK("https://klasma.github.io/Logging_2303/klagomålsmail/A 19387-2025 FSC-klagomål mail.docx", "A 19387-2025")</f>
        <v/>
      </c>
      <c r="X210">
        <f>HYPERLINK("https://klasma.github.io/Logging_2303/tillsyn/A 19387-2025 tillsynsbegäran.docx", "A 19387-2025")</f>
        <v/>
      </c>
      <c r="Y210">
        <f>HYPERLINK("https://klasma.github.io/Logging_2303/tillsynsmail/A 19387-2025 tillsynsbegäran mail.docx", "A 19387-2025")</f>
        <v/>
      </c>
    </row>
    <row r="211" ht="15" customHeight="1">
      <c r="A211" t="inlineStr">
        <is>
          <t>A 36224-2023</t>
        </is>
      </c>
      <c r="B211" s="1" t="n">
        <v>45149</v>
      </c>
      <c r="C211" s="1" t="n">
        <v>45926</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6703-2024</t>
        </is>
      </c>
      <c r="B212" s="1" t="n">
        <v>45341</v>
      </c>
      <c r="C212" s="1" t="n">
        <v>45926</v>
      </c>
      <c r="D212" t="inlineStr">
        <is>
          <t>JÄMTLANDS LÄN</t>
        </is>
      </c>
      <c r="E212" t="inlineStr">
        <is>
          <t>RAGUNDA</t>
        </is>
      </c>
      <c r="F212" t="inlineStr">
        <is>
          <t>SCA</t>
        </is>
      </c>
      <c r="G212" t="n">
        <v>2.4</v>
      </c>
      <c r="H212" t="n">
        <v>0</v>
      </c>
      <c r="I212" t="n">
        <v>0</v>
      </c>
      <c r="J212" t="n">
        <v>1</v>
      </c>
      <c r="K212" t="n">
        <v>0</v>
      </c>
      <c r="L212" t="n">
        <v>0</v>
      </c>
      <c r="M212" t="n">
        <v>0</v>
      </c>
      <c r="N212" t="n">
        <v>0</v>
      </c>
      <c r="O212" t="n">
        <v>1</v>
      </c>
      <c r="P212" t="n">
        <v>0</v>
      </c>
      <c r="Q212" t="n">
        <v>1</v>
      </c>
      <c r="R212" s="2" t="inlineStr">
        <is>
          <t>Vitgrynig nållav</t>
        </is>
      </c>
      <c r="S212">
        <f>HYPERLINK("https://klasma.github.io/Logging_2303/artfynd/A 6703-2024 artfynd.xlsx", "A 6703-2024")</f>
        <v/>
      </c>
      <c r="T212">
        <f>HYPERLINK("https://klasma.github.io/Logging_2303/kartor/A 6703-2024 karta.png", "A 6703-2024")</f>
        <v/>
      </c>
      <c r="V212">
        <f>HYPERLINK("https://klasma.github.io/Logging_2303/klagomål/A 6703-2024 FSC-klagomål.docx", "A 6703-2024")</f>
        <v/>
      </c>
      <c r="W212">
        <f>HYPERLINK("https://klasma.github.io/Logging_2303/klagomålsmail/A 6703-2024 FSC-klagomål mail.docx", "A 6703-2024")</f>
        <v/>
      </c>
      <c r="X212">
        <f>HYPERLINK("https://klasma.github.io/Logging_2303/tillsyn/A 6703-2024 tillsynsbegäran.docx", "A 6703-2024")</f>
        <v/>
      </c>
      <c r="Y212">
        <f>HYPERLINK("https://klasma.github.io/Logging_2303/tillsynsmail/A 6703-2024 tillsynsbegäran mail.docx", "A 6703-2024")</f>
        <v/>
      </c>
    </row>
    <row r="213" ht="15" customHeight="1">
      <c r="A213" t="inlineStr">
        <is>
          <t>A 2929-2024</t>
        </is>
      </c>
      <c r="B213" s="1" t="n">
        <v>45315</v>
      </c>
      <c r="C213" s="1" t="n">
        <v>45926</v>
      </c>
      <c r="D213" t="inlineStr">
        <is>
          <t>JÄMTLANDS LÄN</t>
        </is>
      </c>
      <c r="E213" t="inlineStr">
        <is>
          <t>RAGUNDA</t>
        </is>
      </c>
      <c r="G213" t="n">
        <v>1</v>
      </c>
      <c r="H213" t="n">
        <v>0</v>
      </c>
      <c r="I213" t="n">
        <v>0</v>
      </c>
      <c r="J213" t="n">
        <v>1</v>
      </c>
      <c r="K213" t="n">
        <v>0</v>
      </c>
      <c r="L213" t="n">
        <v>0</v>
      </c>
      <c r="M213" t="n">
        <v>0</v>
      </c>
      <c r="N213" t="n">
        <v>0</v>
      </c>
      <c r="O213" t="n">
        <v>1</v>
      </c>
      <c r="P213" t="n">
        <v>0</v>
      </c>
      <c r="Q213" t="n">
        <v>1</v>
      </c>
      <c r="R213" s="2" t="inlineStr">
        <is>
          <t>Klådris</t>
        </is>
      </c>
      <c r="S213">
        <f>HYPERLINK("https://klasma.github.io/Logging_2303/artfynd/A 2929-2024 artfynd.xlsx", "A 2929-2024")</f>
        <v/>
      </c>
      <c r="T213">
        <f>HYPERLINK("https://klasma.github.io/Logging_2303/kartor/A 2929-2024 karta.png", "A 2929-2024")</f>
        <v/>
      </c>
      <c r="V213">
        <f>HYPERLINK("https://klasma.github.io/Logging_2303/klagomål/A 2929-2024 FSC-klagomål.docx", "A 2929-2024")</f>
        <v/>
      </c>
      <c r="W213">
        <f>HYPERLINK("https://klasma.github.io/Logging_2303/klagomålsmail/A 2929-2024 FSC-klagomål mail.docx", "A 2929-2024")</f>
        <v/>
      </c>
      <c r="X213">
        <f>HYPERLINK("https://klasma.github.io/Logging_2303/tillsyn/A 2929-2024 tillsynsbegäran.docx", "A 2929-2024")</f>
        <v/>
      </c>
      <c r="Y213">
        <f>HYPERLINK("https://klasma.github.io/Logging_2303/tillsynsmail/A 2929-2024 tillsynsbegäran mail.docx", "A 2929-2024")</f>
        <v/>
      </c>
    </row>
    <row r="214" ht="15" customHeight="1">
      <c r="A214" t="inlineStr">
        <is>
          <t>A 43404-2023</t>
        </is>
      </c>
      <c r="B214" s="1" t="n">
        <v>45183</v>
      </c>
      <c r="C214" s="1" t="n">
        <v>45926</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19728-2025</t>
        </is>
      </c>
      <c r="B215" s="1" t="n">
        <v>45771.36548611111</v>
      </c>
      <c r="C215" s="1" t="n">
        <v>45926</v>
      </c>
      <c r="D215" t="inlineStr">
        <is>
          <t>JÄMTLANDS LÄN</t>
        </is>
      </c>
      <c r="E215" t="inlineStr">
        <is>
          <t>RAGUNDA</t>
        </is>
      </c>
      <c r="F215" t="inlineStr">
        <is>
          <t>SCA</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19728-2025 artfynd.xlsx", "A 19728-2025")</f>
        <v/>
      </c>
      <c r="T215">
        <f>HYPERLINK("https://klasma.github.io/Logging_2303/kartor/A 19728-2025 karta.png", "A 19728-2025")</f>
        <v/>
      </c>
      <c r="V215">
        <f>HYPERLINK("https://klasma.github.io/Logging_2303/klagomål/A 19728-2025 FSC-klagomål.docx", "A 19728-2025")</f>
        <v/>
      </c>
      <c r="W215">
        <f>HYPERLINK("https://klasma.github.io/Logging_2303/klagomålsmail/A 19728-2025 FSC-klagomål mail.docx", "A 19728-2025")</f>
        <v/>
      </c>
      <c r="X215">
        <f>HYPERLINK("https://klasma.github.io/Logging_2303/tillsyn/A 19728-2025 tillsynsbegäran.docx", "A 19728-2025")</f>
        <v/>
      </c>
      <c r="Y215">
        <f>HYPERLINK("https://klasma.github.io/Logging_2303/tillsynsmail/A 19728-2025 tillsynsbegäran mail.docx", "A 19728-2025")</f>
        <v/>
      </c>
      <c r="Z215">
        <f>HYPERLINK("https://klasma.github.io/Logging_2303/fåglar/A 19728-2025 prioriterade fågelarter.docx", "A 19728-2025")</f>
        <v/>
      </c>
    </row>
    <row r="216" ht="15" customHeight="1">
      <c r="A216" t="inlineStr">
        <is>
          <t>A 58846-2024</t>
        </is>
      </c>
      <c r="B216" s="1" t="n">
        <v>45636.3863425926</v>
      </c>
      <c r="C216" s="1" t="n">
        <v>45926</v>
      </c>
      <c r="D216" t="inlineStr">
        <is>
          <t>JÄMTLANDS LÄN</t>
        </is>
      </c>
      <c r="E216" t="inlineStr">
        <is>
          <t>RAGUNDA</t>
        </is>
      </c>
      <c r="F216" t="inlineStr">
        <is>
          <t>SCA</t>
        </is>
      </c>
      <c r="G216" t="n">
        <v>1.5</v>
      </c>
      <c r="H216" t="n">
        <v>0</v>
      </c>
      <c r="I216" t="n">
        <v>0</v>
      </c>
      <c r="J216" t="n">
        <v>0</v>
      </c>
      <c r="K216" t="n">
        <v>1</v>
      </c>
      <c r="L216" t="n">
        <v>0</v>
      </c>
      <c r="M216" t="n">
        <v>0</v>
      </c>
      <c r="N216" t="n">
        <v>0</v>
      </c>
      <c r="O216" t="n">
        <v>1</v>
      </c>
      <c r="P216" t="n">
        <v>1</v>
      </c>
      <c r="Q216" t="n">
        <v>1</v>
      </c>
      <c r="R216" s="2" t="inlineStr">
        <is>
          <t>Rynkskinn</t>
        </is>
      </c>
      <c r="S216">
        <f>HYPERLINK("https://klasma.github.io/Logging_2303/artfynd/A 58846-2024 artfynd.xlsx", "A 58846-2024")</f>
        <v/>
      </c>
      <c r="T216">
        <f>HYPERLINK("https://klasma.github.io/Logging_2303/kartor/A 58846-2024 karta.png", "A 58846-2024")</f>
        <v/>
      </c>
      <c r="V216">
        <f>HYPERLINK("https://klasma.github.io/Logging_2303/klagomål/A 58846-2024 FSC-klagomål.docx", "A 58846-2024")</f>
        <v/>
      </c>
      <c r="W216">
        <f>HYPERLINK("https://klasma.github.io/Logging_2303/klagomålsmail/A 58846-2024 FSC-klagomål mail.docx", "A 58846-2024")</f>
        <v/>
      </c>
      <c r="X216">
        <f>HYPERLINK("https://klasma.github.io/Logging_2303/tillsyn/A 58846-2024 tillsynsbegäran.docx", "A 58846-2024")</f>
        <v/>
      </c>
      <c r="Y216">
        <f>HYPERLINK("https://klasma.github.io/Logging_2303/tillsynsmail/A 58846-2024 tillsynsbegäran mail.docx", "A 58846-2024")</f>
        <v/>
      </c>
    </row>
    <row r="217" ht="15" customHeight="1">
      <c r="A217" t="inlineStr">
        <is>
          <t>A 27573-2025</t>
        </is>
      </c>
      <c r="B217" s="1" t="n">
        <v>45813.49061342593</v>
      </c>
      <c r="C217" s="1" t="n">
        <v>45926</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24443-2024</t>
        </is>
      </c>
      <c r="B218" s="1" t="n">
        <v>45457.9640625</v>
      </c>
      <c r="C218" s="1" t="n">
        <v>45926</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16316-2025</t>
        </is>
      </c>
      <c r="B219" s="1" t="n">
        <v>45751.34795138889</v>
      </c>
      <c r="C219" s="1" t="n">
        <v>45926</v>
      </c>
      <c r="D219" t="inlineStr">
        <is>
          <t>JÄMTLANDS LÄN</t>
        </is>
      </c>
      <c r="E219" t="inlineStr">
        <is>
          <t>RAGUNDA</t>
        </is>
      </c>
      <c r="F219" t="inlineStr">
        <is>
          <t>SCA</t>
        </is>
      </c>
      <c r="G219" t="n">
        <v>1.7</v>
      </c>
      <c r="H219" t="n">
        <v>1</v>
      </c>
      <c r="I219" t="n">
        <v>0</v>
      </c>
      <c r="J219" t="n">
        <v>0</v>
      </c>
      <c r="K219" t="n">
        <v>0</v>
      </c>
      <c r="L219" t="n">
        <v>0</v>
      </c>
      <c r="M219" t="n">
        <v>0</v>
      </c>
      <c r="N219" t="n">
        <v>0</v>
      </c>
      <c r="O219" t="n">
        <v>0</v>
      </c>
      <c r="P219" t="n">
        <v>0</v>
      </c>
      <c r="Q219" t="n">
        <v>1</v>
      </c>
      <c r="R219" s="2" t="inlineStr">
        <is>
          <t>Dactylorhiza incarnata subsp. incarnata</t>
        </is>
      </c>
      <c r="S219">
        <f>HYPERLINK("https://klasma.github.io/Logging_2303/artfynd/A 16316-2025 artfynd.xlsx", "A 16316-2025")</f>
        <v/>
      </c>
      <c r="T219">
        <f>HYPERLINK("https://klasma.github.io/Logging_2303/kartor/A 16316-2025 karta.png", "A 16316-2025")</f>
        <v/>
      </c>
      <c r="V219">
        <f>HYPERLINK("https://klasma.github.io/Logging_2303/klagomål/A 16316-2025 FSC-klagomål.docx", "A 16316-2025")</f>
        <v/>
      </c>
      <c r="W219">
        <f>HYPERLINK("https://klasma.github.io/Logging_2303/klagomålsmail/A 16316-2025 FSC-klagomål mail.docx", "A 16316-2025")</f>
        <v/>
      </c>
      <c r="X219">
        <f>HYPERLINK("https://klasma.github.io/Logging_2303/tillsyn/A 16316-2025 tillsynsbegäran.docx", "A 16316-2025")</f>
        <v/>
      </c>
      <c r="Y219">
        <f>HYPERLINK("https://klasma.github.io/Logging_2303/tillsynsmail/A 16316-2025 tillsynsbegäran mail.docx", "A 16316-2025")</f>
        <v/>
      </c>
    </row>
    <row r="220" ht="15" customHeight="1">
      <c r="A220" t="inlineStr">
        <is>
          <t>A 23930-2024</t>
        </is>
      </c>
      <c r="B220" s="1" t="n">
        <v>45455.96184027778</v>
      </c>
      <c r="C220" s="1" t="n">
        <v>45926</v>
      </c>
      <c r="D220" t="inlineStr">
        <is>
          <t>JÄMTLANDS LÄN</t>
        </is>
      </c>
      <c r="E220" t="inlineStr">
        <is>
          <t>RAGUNDA</t>
        </is>
      </c>
      <c r="F220" t="inlineStr">
        <is>
          <t>SCA</t>
        </is>
      </c>
      <c r="G220" t="n">
        <v>4.2</v>
      </c>
      <c r="H220" t="n">
        <v>1</v>
      </c>
      <c r="I220" t="n">
        <v>1</v>
      </c>
      <c r="J220" t="n">
        <v>0</v>
      </c>
      <c r="K220" t="n">
        <v>0</v>
      </c>
      <c r="L220" t="n">
        <v>0</v>
      </c>
      <c r="M220" t="n">
        <v>0</v>
      </c>
      <c r="N220" t="n">
        <v>0</v>
      </c>
      <c r="O220" t="n">
        <v>0</v>
      </c>
      <c r="P220" t="n">
        <v>0</v>
      </c>
      <c r="Q220" t="n">
        <v>1</v>
      </c>
      <c r="R220" s="2" t="inlineStr">
        <is>
          <t>Guckusko</t>
        </is>
      </c>
      <c r="S220">
        <f>HYPERLINK("https://klasma.github.io/Logging_2303/artfynd/A 23930-2024 artfynd.xlsx", "A 23930-2024")</f>
        <v/>
      </c>
      <c r="T220">
        <f>HYPERLINK("https://klasma.github.io/Logging_2303/kartor/A 23930-2024 karta.png", "A 23930-2024")</f>
        <v/>
      </c>
      <c r="V220">
        <f>HYPERLINK("https://klasma.github.io/Logging_2303/klagomål/A 23930-2024 FSC-klagomål.docx", "A 23930-2024")</f>
        <v/>
      </c>
      <c r="W220">
        <f>HYPERLINK("https://klasma.github.io/Logging_2303/klagomålsmail/A 23930-2024 FSC-klagomål mail.docx", "A 23930-2024")</f>
        <v/>
      </c>
      <c r="X220">
        <f>HYPERLINK("https://klasma.github.io/Logging_2303/tillsyn/A 23930-2024 tillsynsbegäran.docx", "A 23930-2024")</f>
        <v/>
      </c>
      <c r="Y220">
        <f>HYPERLINK("https://klasma.github.io/Logging_2303/tillsynsmail/A 23930-2024 tillsynsbegäran mail.docx", "A 23930-2024")</f>
        <v/>
      </c>
    </row>
    <row r="221" ht="15" customHeight="1">
      <c r="A221" t="inlineStr">
        <is>
          <t>A 20575-2025</t>
        </is>
      </c>
      <c r="B221" s="1" t="n">
        <v>45775.67769675926</v>
      </c>
      <c r="C221" s="1" t="n">
        <v>45926</v>
      </c>
      <c r="D221" t="inlineStr">
        <is>
          <t>JÄMTLANDS LÄN</t>
        </is>
      </c>
      <c r="E221" t="inlineStr">
        <is>
          <t>RAGUNDA</t>
        </is>
      </c>
      <c r="F221" t="inlineStr">
        <is>
          <t>SCA</t>
        </is>
      </c>
      <c r="G221" t="n">
        <v>8.1</v>
      </c>
      <c r="H221" t="n">
        <v>1</v>
      </c>
      <c r="I221" t="n">
        <v>0</v>
      </c>
      <c r="J221" t="n">
        <v>1</v>
      </c>
      <c r="K221" t="n">
        <v>0</v>
      </c>
      <c r="L221" t="n">
        <v>0</v>
      </c>
      <c r="M221" t="n">
        <v>0</v>
      </c>
      <c r="N221" t="n">
        <v>0</v>
      </c>
      <c r="O221" t="n">
        <v>1</v>
      </c>
      <c r="P221" t="n">
        <v>0</v>
      </c>
      <c r="Q221" t="n">
        <v>1</v>
      </c>
      <c r="R221" s="2" t="inlineStr">
        <is>
          <t>Skogsfru</t>
        </is>
      </c>
      <c r="S221">
        <f>HYPERLINK("https://klasma.github.io/Logging_2303/artfynd/A 20575-2025 artfynd.xlsx", "A 20575-2025")</f>
        <v/>
      </c>
      <c r="T221">
        <f>HYPERLINK("https://klasma.github.io/Logging_2303/kartor/A 20575-2025 karta.png", "A 20575-2025")</f>
        <v/>
      </c>
      <c r="V221">
        <f>HYPERLINK("https://klasma.github.io/Logging_2303/klagomål/A 20575-2025 FSC-klagomål.docx", "A 20575-2025")</f>
        <v/>
      </c>
      <c r="W221">
        <f>HYPERLINK("https://klasma.github.io/Logging_2303/klagomålsmail/A 20575-2025 FSC-klagomål mail.docx", "A 20575-2025")</f>
        <v/>
      </c>
      <c r="X221">
        <f>HYPERLINK("https://klasma.github.io/Logging_2303/tillsyn/A 20575-2025 tillsynsbegäran.docx", "A 20575-2025")</f>
        <v/>
      </c>
      <c r="Y221">
        <f>HYPERLINK("https://klasma.github.io/Logging_2303/tillsynsmail/A 20575-2025 tillsynsbegäran mail.docx", "A 20575-2025")</f>
        <v/>
      </c>
    </row>
    <row r="222" ht="15" customHeight="1">
      <c r="A222" t="inlineStr">
        <is>
          <t>A 36854-2023</t>
        </is>
      </c>
      <c r="B222" s="1" t="n">
        <v>45153</v>
      </c>
      <c r="C222" s="1" t="n">
        <v>45926</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18985-2023</t>
        </is>
      </c>
      <c r="B223" s="1" t="n">
        <v>45044</v>
      </c>
      <c r="C223" s="1" t="n">
        <v>45926</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Doftskinn</t>
        </is>
      </c>
      <c r="S223">
        <f>HYPERLINK("https://klasma.github.io/Logging_2303/artfynd/A 18985-2023 artfynd.xlsx", "A 18985-2023")</f>
        <v/>
      </c>
      <c r="T223">
        <f>HYPERLINK("https://klasma.github.io/Logging_2303/kartor/A 18985-2023 karta.png", "A 18985-2023")</f>
        <v/>
      </c>
      <c r="V223">
        <f>HYPERLINK("https://klasma.github.io/Logging_2303/klagomål/A 18985-2023 FSC-klagomål.docx", "A 18985-2023")</f>
        <v/>
      </c>
      <c r="W223">
        <f>HYPERLINK("https://klasma.github.io/Logging_2303/klagomålsmail/A 18985-2023 FSC-klagomål mail.docx", "A 18985-2023")</f>
        <v/>
      </c>
      <c r="X223">
        <f>HYPERLINK("https://klasma.github.io/Logging_2303/tillsyn/A 18985-2023 tillsynsbegäran.docx", "A 18985-2023")</f>
        <v/>
      </c>
      <c r="Y223">
        <f>HYPERLINK("https://klasma.github.io/Logging_2303/tillsynsmail/A 18985-2023 tillsynsbegäran mail.docx", "A 18985-2023")</f>
        <v/>
      </c>
    </row>
    <row r="224" ht="15" customHeight="1">
      <c r="A224" t="inlineStr">
        <is>
          <t>A 30485-2024</t>
        </is>
      </c>
      <c r="B224" s="1" t="n">
        <v>45491.95008101852</v>
      </c>
      <c r="C224" s="1" t="n">
        <v>45926</v>
      </c>
      <c r="D224" t="inlineStr">
        <is>
          <t>JÄMTLANDS LÄN</t>
        </is>
      </c>
      <c r="E224" t="inlineStr">
        <is>
          <t>RAGUNDA</t>
        </is>
      </c>
      <c r="F224" t="inlineStr">
        <is>
          <t>SCA</t>
        </is>
      </c>
      <c r="G224" t="n">
        <v>2</v>
      </c>
      <c r="H224" t="n">
        <v>0</v>
      </c>
      <c r="I224" t="n">
        <v>0</v>
      </c>
      <c r="J224" t="n">
        <v>1</v>
      </c>
      <c r="K224" t="n">
        <v>0</v>
      </c>
      <c r="L224" t="n">
        <v>0</v>
      </c>
      <c r="M224" t="n">
        <v>0</v>
      </c>
      <c r="N224" t="n">
        <v>0</v>
      </c>
      <c r="O224" t="n">
        <v>1</v>
      </c>
      <c r="P224" t="n">
        <v>0</v>
      </c>
      <c r="Q224" t="n">
        <v>1</v>
      </c>
      <c r="R224" s="2" t="inlineStr">
        <is>
          <t>Garnlav</t>
        </is>
      </c>
      <c r="S224">
        <f>HYPERLINK("https://klasma.github.io/Logging_2303/artfynd/A 30485-2024 artfynd.xlsx", "A 30485-2024")</f>
        <v/>
      </c>
      <c r="T224">
        <f>HYPERLINK("https://klasma.github.io/Logging_2303/kartor/A 30485-2024 karta.png", "A 30485-2024")</f>
        <v/>
      </c>
      <c r="V224">
        <f>HYPERLINK("https://klasma.github.io/Logging_2303/klagomål/A 30485-2024 FSC-klagomål.docx", "A 30485-2024")</f>
        <v/>
      </c>
      <c r="W224">
        <f>HYPERLINK("https://klasma.github.io/Logging_2303/klagomålsmail/A 30485-2024 FSC-klagomål mail.docx", "A 30485-2024")</f>
        <v/>
      </c>
      <c r="X224">
        <f>HYPERLINK("https://klasma.github.io/Logging_2303/tillsyn/A 30485-2024 tillsynsbegäran.docx", "A 30485-2024")</f>
        <v/>
      </c>
      <c r="Y224">
        <f>HYPERLINK("https://klasma.github.io/Logging_2303/tillsynsmail/A 30485-2024 tillsynsbegäran mail.docx", "A 30485-2024")</f>
        <v/>
      </c>
    </row>
    <row r="225" ht="15" customHeight="1">
      <c r="A225" t="inlineStr">
        <is>
          <t>A 59104-2023</t>
        </is>
      </c>
      <c r="B225" s="1" t="n">
        <v>45252</v>
      </c>
      <c r="C225" s="1" t="n">
        <v>45926</v>
      </c>
      <c r="D225" t="inlineStr">
        <is>
          <t>JÄMTLANDS LÄN</t>
        </is>
      </c>
      <c r="E225" t="inlineStr">
        <is>
          <t>RAGUNDA</t>
        </is>
      </c>
      <c r="F225" t="inlineStr">
        <is>
          <t>SCA</t>
        </is>
      </c>
      <c r="G225" t="n">
        <v>4.2</v>
      </c>
      <c r="H225" t="n">
        <v>0</v>
      </c>
      <c r="I225" t="n">
        <v>0</v>
      </c>
      <c r="J225" t="n">
        <v>1</v>
      </c>
      <c r="K225" t="n">
        <v>0</v>
      </c>
      <c r="L225" t="n">
        <v>0</v>
      </c>
      <c r="M225" t="n">
        <v>0</v>
      </c>
      <c r="N225" t="n">
        <v>0</v>
      </c>
      <c r="O225" t="n">
        <v>1</v>
      </c>
      <c r="P225" t="n">
        <v>0</v>
      </c>
      <c r="Q225" t="n">
        <v>1</v>
      </c>
      <c r="R225" s="2" t="inlineStr">
        <is>
          <t>Ullticka</t>
        </is>
      </c>
      <c r="S225">
        <f>HYPERLINK("https://klasma.github.io/Logging_2303/artfynd/A 59104-2023 artfynd.xlsx", "A 59104-2023")</f>
        <v/>
      </c>
      <c r="T225">
        <f>HYPERLINK("https://klasma.github.io/Logging_2303/kartor/A 59104-2023 karta.png", "A 59104-2023")</f>
        <v/>
      </c>
      <c r="V225">
        <f>HYPERLINK("https://klasma.github.io/Logging_2303/klagomål/A 59104-2023 FSC-klagomål.docx", "A 59104-2023")</f>
        <v/>
      </c>
      <c r="W225">
        <f>HYPERLINK("https://klasma.github.io/Logging_2303/klagomålsmail/A 59104-2023 FSC-klagomål mail.docx", "A 59104-2023")</f>
        <v/>
      </c>
      <c r="X225">
        <f>HYPERLINK("https://klasma.github.io/Logging_2303/tillsyn/A 59104-2023 tillsynsbegäran.docx", "A 59104-2023")</f>
        <v/>
      </c>
      <c r="Y225">
        <f>HYPERLINK("https://klasma.github.io/Logging_2303/tillsynsmail/A 59104-2023 tillsynsbegäran mail.docx", "A 59104-2023")</f>
        <v/>
      </c>
    </row>
    <row r="226" ht="15" customHeight="1">
      <c r="A226" t="inlineStr">
        <is>
          <t>A 35750-2023</t>
        </is>
      </c>
      <c r="B226" s="1" t="n">
        <v>45147</v>
      </c>
      <c r="C226" s="1" t="n">
        <v>45926</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978-2024</t>
        </is>
      </c>
      <c r="B227" s="1" t="n">
        <v>45301</v>
      </c>
      <c r="C227" s="1" t="n">
        <v>45926</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45926</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31773-2021</t>
        </is>
      </c>
      <c r="B229" s="1" t="n">
        <v>44369</v>
      </c>
      <c r="C229" s="1" t="n">
        <v>45926</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26317-2024</t>
        </is>
      </c>
      <c r="B230" s="1" t="n">
        <v>45468</v>
      </c>
      <c r="C230" s="1" t="n">
        <v>45926</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30390-2025</t>
        </is>
      </c>
      <c r="B231" s="1" t="n">
        <v>45827.57371527778</v>
      </c>
      <c r="C231" s="1" t="n">
        <v>45926</v>
      </c>
      <c r="D231" t="inlineStr">
        <is>
          <t>JÄMTLANDS LÄN</t>
        </is>
      </c>
      <c r="E231" t="inlineStr">
        <is>
          <t>RAGUNDA</t>
        </is>
      </c>
      <c r="F231" t="inlineStr">
        <is>
          <t>SCA</t>
        </is>
      </c>
      <c r="G231" t="n">
        <v>11.2</v>
      </c>
      <c r="H231" t="n">
        <v>0</v>
      </c>
      <c r="I231" t="n">
        <v>0</v>
      </c>
      <c r="J231" t="n">
        <v>1</v>
      </c>
      <c r="K231" t="n">
        <v>0</v>
      </c>
      <c r="L231" t="n">
        <v>0</v>
      </c>
      <c r="M231" t="n">
        <v>0</v>
      </c>
      <c r="N231" t="n">
        <v>0</v>
      </c>
      <c r="O231" t="n">
        <v>1</v>
      </c>
      <c r="P231" t="n">
        <v>0</v>
      </c>
      <c r="Q231" t="n">
        <v>1</v>
      </c>
      <c r="R231" s="2" t="inlineStr">
        <is>
          <t>Lunglav</t>
        </is>
      </c>
      <c r="S231">
        <f>HYPERLINK("https://klasma.github.io/Logging_2303/artfynd/A 30390-2025 artfynd.xlsx", "A 30390-2025")</f>
        <v/>
      </c>
      <c r="T231">
        <f>HYPERLINK("https://klasma.github.io/Logging_2303/kartor/A 30390-2025 karta.png", "A 30390-2025")</f>
        <v/>
      </c>
      <c r="U231">
        <f>HYPERLINK("https://klasma.github.io/Logging_2303/knärot/A 30390-2025 karta knärot.png", "A 30390-2025")</f>
        <v/>
      </c>
      <c r="V231">
        <f>HYPERLINK("https://klasma.github.io/Logging_2303/klagomål/A 30390-2025 FSC-klagomål.docx", "A 30390-2025")</f>
        <v/>
      </c>
      <c r="W231">
        <f>HYPERLINK("https://klasma.github.io/Logging_2303/klagomålsmail/A 30390-2025 FSC-klagomål mail.docx", "A 30390-2025")</f>
        <v/>
      </c>
      <c r="X231">
        <f>HYPERLINK("https://klasma.github.io/Logging_2303/tillsyn/A 30390-2025 tillsynsbegäran.docx", "A 30390-2025")</f>
        <v/>
      </c>
      <c r="Y231">
        <f>HYPERLINK("https://klasma.github.io/Logging_2303/tillsynsmail/A 30390-2025 tillsynsbegäran mail.docx", "A 30390-2025")</f>
        <v/>
      </c>
    </row>
    <row r="232" ht="15" customHeight="1">
      <c r="A232" t="inlineStr">
        <is>
          <t>A 49091-2022</t>
        </is>
      </c>
      <c r="B232" s="1" t="n">
        <v>44860</v>
      </c>
      <c r="C232" s="1" t="n">
        <v>45926</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22054-2025</t>
        </is>
      </c>
      <c r="B233" s="1" t="n">
        <v>45785.36525462963</v>
      </c>
      <c r="C233" s="1" t="n">
        <v>45926</v>
      </c>
      <c r="D233" t="inlineStr">
        <is>
          <t>JÄMTLANDS LÄN</t>
        </is>
      </c>
      <c r="E233" t="inlineStr">
        <is>
          <t>RAGUNDA</t>
        </is>
      </c>
      <c r="F233" t="inlineStr">
        <is>
          <t>SCA</t>
        </is>
      </c>
      <c r="G233" t="n">
        <v>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22054-2025 artfynd.xlsx", "A 22054-2025")</f>
        <v/>
      </c>
      <c r="T233">
        <f>HYPERLINK("https://klasma.github.io/Logging_2303/kartor/A 22054-2025 karta.png", "A 22054-2025")</f>
        <v/>
      </c>
      <c r="V233">
        <f>HYPERLINK("https://klasma.github.io/Logging_2303/klagomål/A 22054-2025 FSC-klagomål.docx", "A 22054-2025")</f>
        <v/>
      </c>
      <c r="W233">
        <f>HYPERLINK("https://klasma.github.io/Logging_2303/klagomålsmail/A 22054-2025 FSC-klagomål mail.docx", "A 22054-2025")</f>
        <v/>
      </c>
      <c r="X233">
        <f>HYPERLINK("https://klasma.github.io/Logging_2303/tillsyn/A 22054-2025 tillsynsbegäran.docx", "A 22054-2025")</f>
        <v/>
      </c>
      <c r="Y233">
        <f>HYPERLINK("https://klasma.github.io/Logging_2303/tillsynsmail/A 22054-2025 tillsynsbegäran mail.docx", "A 22054-2025")</f>
        <v/>
      </c>
      <c r="Z233">
        <f>HYPERLINK("https://klasma.github.io/Logging_2303/fåglar/A 22054-2025 prioriterade fågelarter.docx", "A 22054-2025")</f>
        <v/>
      </c>
    </row>
    <row r="234" ht="15" customHeight="1">
      <c r="A234" t="inlineStr">
        <is>
          <t>A 50164-2023</t>
        </is>
      </c>
      <c r="B234" s="1" t="n">
        <v>45208</v>
      </c>
      <c r="C234" s="1" t="n">
        <v>45926</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48429-2023</t>
        </is>
      </c>
      <c r="B235" s="1" t="n">
        <v>45205</v>
      </c>
      <c r="C235" s="1" t="n">
        <v>45926</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48429-2023 artfynd.xlsx", "A 48429-2023")</f>
        <v/>
      </c>
      <c r="T235">
        <f>HYPERLINK("https://klasma.github.io/Logging_2303/kartor/A 48429-2023 karta.png", "A 48429-2023")</f>
        <v/>
      </c>
      <c r="V235">
        <f>HYPERLINK("https://klasma.github.io/Logging_2303/klagomål/A 48429-2023 FSC-klagomål.docx", "A 48429-2023")</f>
        <v/>
      </c>
      <c r="W235">
        <f>HYPERLINK("https://klasma.github.io/Logging_2303/klagomålsmail/A 48429-2023 FSC-klagomål mail.docx", "A 48429-2023")</f>
        <v/>
      </c>
      <c r="X235">
        <f>HYPERLINK("https://klasma.github.io/Logging_2303/tillsyn/A 48429-2023 tillsynsbegäran.docx", "A 48429-2023")</f>
        <v/>
      </c>
      <c r="Y235">
        <f>HYPERLINK("https://klasma.github.io/Logging_2303/tillsynsmail/A 48429-2023 tillsynsbegäran mail.docx", "A 48429-2023")</f>
        <v/>
      </c>
    </row>
    <row r="236" ht="15" customHeight="1">
      <c r="A236" t="inlineStr">
        <is>
          <t>A 32445-2025</t>
        </is>
      </c>
      <c r="B236" s="1" t="n">
        <v>45838.38627314815</v>
      </c>
      <c r="C236" s="1" t="n">
        <v>45926</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32445-2025 artfynd.xlsx", "A 32445-2025")</f>
        <v/>
      </c>
      <c r="T236">
        <f>HYPERLINK("https://klasma.github.io/Logging_2303/kartor/A 32445-2025 karta.png", "A 32445-2025")</f>
        <v/>
      </c>
      <c r="V236">
        <f>HYPERLINK("https://klasma.github.io/Logging_2303/klagomål/A 32445-2025 FSC-klagomål.docx", "A 32445-2025")</f>
        <v/>
      </c>
      <c r="W236">
        <f>HYPERLINK("https://klasma.github.io/Logging_2303/klagomålsmail/A 32445-2025 FSC-klagomål mail.docx", "A 32445-2025")</f>
        <v/>
      </c>
      <c r="X236">
        <f>HYPERLINK("https://klasma.github.io/Logging_2303/tillsyn/A 32445-2025 tillsynsbegäran.docx", "A 32445-2025")</f>
        <v/>
      </c>
      <c r="Y236">
        <f>HYPERLINK("https://klasma.github.io/Logging_2303/tillsynsmail/A 32445-2025 tillsynsbegäran mail.docx", "A 32445-2025")</f>
        <v/>
      </c>
      <c r="Z236">
        <f>HYPERLINK("https://klasma.github.io/Logging_2303/fåglar/A 32445-2025 prioriterade fågelarter.docx", "A 32445-2025")</f>
        <v/>
      </c>
    </row>
    <row r="237" ht="15" customHeight="1">
      <c r="A237" t="inlineStr">
        <is>
          <t>A 34474-2025</t>
        </is>
      </c>
      <c r="B237" s="1" t="n">
        <v>45847.36528935185</v>
      </c>
      <c r="C237" s="1" t="n">
        <v>45926</v>
      </c>
      <c r="D237" t="inlineStr">
        <is>
          <t>JÄMTLANDS LÄN</t>
        </is>
      </c>
      <c r="E237" t="inlineStr">
        <is>
          <t>RAGUNDA</t>
        </is>
      </c>
      <c r="F237" t="inlineStr">
        <is>
          <t>SCA</t>
        </is>
      </c>
      <c r="G237" t="n">
        <v>9.699999999999999</v>
      </c>
      <c r="H237" t="n">
        <v>1</v>
      </c>
      <c r="I237" t="n">
        <v>0</v>
      </c>
      <c r="J237" t="n">
        <v>1</v>
      </c>
      <c r="K237" t="n">
        <v>0</v>
      </c>
      <c r="L237" t="n">
        <v>0</v>
      </c>
      <c r="M237" t="n">
        <v>0</v>
      </c>
      <c r="N237" t="n">
        <v>0</v>
      </c>
      <c r="O237" t="n">
        <v>1</v>
      </c>
      <c r="P237" t="n">
        <v>0</v>
      </c>
      <c r="Q237" t="n">
        <v>1</v>
      </c>
      <c r="R237" s="2" t="inlineStr">
        <is>
          <t>Fjällvråk</t>
        </is>
      </c>
      <c r="S237">
        <f>HYPERLINK("https://klasma.github.io/Logging_2303/artfynd/A 34474-2025 artfynd.xlsx", "A 34474-2025")</f>
        <v/>
      </c>
      <c r="T237">
        <f>HYPERLINK("https://klasma.github.io/Logging_2303/kartor/A 34474-2025 karta.png", "A 34474-2025")</f>
        <v/>
      </c>
      <c r="V237">
        <f>HYPERLINK("https://klasma.github.io/Logging_2303/klagomål/A 34474-2025 FSC-klagomål.docx", "A 34474-2025")</f>
        <v/>
      </c>
      <c r="W237">
        <f>HYPERLINK("https://klasma.github.io/Logging_2303/klagomålsmail/A 34474-2025 FSC-klagomål mail.docx", "A 34474-2025")</f>
        <v/>
      </c>
      <c r="X237">
        <f>HYPERLINK("https://klasma.github.io/Logging_2303/tillsyn/A 34474-2025 tillsynsbegäran.docx", "A 34474-2025")</f>
        <v/>
      </c>
      <c r="Y237">
        <f>HYPERLINK("https://klasma.github.io/Logging_2303/tillsynsmail/A 34474-2025 tillsynsbegäran mail.docx", "A 34474-2025")</f>
        <v/>
      </c>
      <c r="Z237">
        <f>HYPERLINK("https://klasma.github.io/Logging_2303/fåglar/A 34474-2025 prioriterade fågelarter.docx", "A 34474-2025")</f>
        <v/>
      </c>
    </row>
    <row r="238" ht="15" customHeight="1">
      <c r="A238" t="inlineStr">
        <is>
          <t>A 62072-2023</t>
        </is>
      </c>
      <c r="B238" s="1" t="n">
        <v>45266</v>
      </c>
      <c r="C238" s="1" t="n">
        <v>45926</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17340-2023</t>
        </is>
      </c>
      <c r="B239" s="1" t="n">
        <v>45033</v>
      </c>
      <c r="C239" s="1" t="n">
        <v>45926</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Vedtrappmossa</t>
        </is>
      </c>
      <c r="S239">
        <f>HYPERLINK("https://klasma.github.io/Logging_2303/artfynd/A 17340-2023 artfynd.xlsx", "A 17340-2023")</f>
        <v/>
      </c>
      <c r="T239">
        <f>HYPERLINK("https://klasma.github.io/Logging_2303/kartor/A 17340-2023 karta.png", "A 17340-2023")</f>
        <v/>
      </c>
      <c r="U239">
        <f>HYPERLINK("https://klasma.github.io/Logging_2303/knärot/A 17340-2023 karta knärot.png", "A 17340-2023")</f>
        <v/>
      </c>
      <c r="V239">
        <f>HYPERLINK("https://klasma.github.io/Logging_2303/klagomål/A 17340-2023 FSC-klagomål.docx", "A 17340-2023")</f>
        <v/>
      </c>
      <c r="W239">
        <f>HYPERLINK("https://klasma.github.io/Logging_2303/klagomålsmail/A 17340-2023 FSC-klagomål mail.docx", "A 17340-2023")</f>
        <v/>
      </c>
      <c r="X239">
        <f>HYPERLINK("https://klasma.github.io/Logging_2303/tillsyn/A 17340-2023 tillsynsbegäran.docx", "A 17340-2023")</f>
        <v/>
      </c>
      <c r="Y239">
        <f>HYPERLINK("https://klasma.github.io/Logging_2303/tillsynsmail/A 17340-2023 tillsynsbegäran mail.docx", "A 17340-2023")</f>
        <v/>
      </c>
    </row>
    <row r="240" ht="15" customHeight="1">
      <c r="A240" t="inlineStr">
        <is>
          <t>A 40841-2025</t>
        </is>
      </c>
      <c r="B240" s="1" t="n">
        <v>45897.531875</v>
      </c>
      <c r="C240" s="1" t="n">
        <v>45926</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26322-2024</t>
        </is>
      </c>
      <c r="B241" s="1" t="n">
        <v>45468.97461805555</v>
      </c>
      <c r="C241" s="1" t="n">
        <v>45926</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48477-2023</t>
        </is>
      </c>
      <c r="B242" s="1" t="n">
        <v>45206</v>
      </c>
      <c r="C242" s="1" t="n">
        <v>45926</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16724-2025</t>
        </is>
      </c>
      <c r="B243" s="1" t="n">
        <v>45754.51064814815</v>
      </c>
      <c r="C243" s="1" t="n">
        <v>45926</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49770-2024</t>
        </is>
      </c>
      <c r="B244" s="1" t="n">
        <v>45597.34461805555</v>
      </c>
      <c r="C244" s="1" t="n">
        <v>45926</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20774-2024</t>
        </is>
      </c>
      <c r="B245" s="1" t="n">
        <v>45436.94644675926</v>
      </c>
      <c r="C245" s="1" t="n">
        <v>45926</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33432-2023</t>
        </is>
      </c>
      <c r="B246" s="1" t="n">
        <v>45128</v>
      </c>
      <c r="C246" s="1" t="n">
        <v>45926</v>
      </c>
      <c r="D246" t="inlineStr">
        <is>
          <t>JÄMTLANDS LÄN</t>
        </is>
      </c>
      <c r="E246" t="inlineStr">
        <is>
          <t>RAGUNDA</t>
        </is>
      </c>
      <c r="F246" t="inlineStr">
        <is>
          <t>SCA</t>
        </is>
      </c>
      <c r="G246" t="n">
        <v>10</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33432-2023 artfynd.xlsx", "A 33432-2023")</f>
        <v/>
      </c>
      <c r="T246">
        <f>HYPERLINK("https://klasma.github.io/Logging_2303/kartor/A 33432-2023 karta.png", "A 33432-2023")</f>
        <v/>
      </c>
      <c r="V246">
        <f>HYPERLINK("https://klasma.github.io/Logging_2303/klagomål/A 33432-2023 FSC-klagomål.docx", "A 33432-2023")</f>
        <v/>
      </c>
      <c r="W246">
        <f>HYPERLINK("https://klasma.github.io/Logging_2303/klagomålsmail/A 33432-2023 FSC-klagomål mail.docx", "A 33432-2023")</f>
        <v/>
      </c>
      <c r="X246">
        <f>HYPERLINK("https://klasma.github.io/Logging_2303/tillsyn/A 33432-2023 tillsynsbegäran.docx", "A 33432-2023")</f>
        <v/>
      </c>
      <c r="Y246">
        <f>HYPERLINK("https://klasma.github.io/Logging_2303/tillsynsmail/A 33432-2023 tillsynsbegäran mail.docx", "A 33432-2023")</f>
        <v/>
      </c>
      <c r="Z246">
        <f>HYPERLINK("https://klasma.github.io/Logging_2303/fåglar/A 33432-2023 prioriterade fågelarter.docx", "A 33432-2023")</f>
        <v/>
      </c>
    </row>
    <row r="247" ht="15" customHeight="1">
      <c r="A247" t="inlineStr">
        <is>
          <t>A 57941-2020</t>
        </is>
      </c>
      <c r="B247" s="1" t="n">
        <v>44141</v>
      </c>
      <c r="C247" s="1" t="n">
        <v>45926</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45926</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45926</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45926</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45926</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45926</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45926</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45926</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45926</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45926</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45926</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45926</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45926</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45926</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45926</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45926</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45926</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45926</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45926</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45926</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45926</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45926</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45926</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45926</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45926</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45926</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45926</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45926</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45926</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45926</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45926</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45926</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45926</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45926</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45926</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45926</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45926</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45926</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45926</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45926</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45926</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45926</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45926</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45926</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45926</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45926</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45926</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45926</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45926</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45926</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45926</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45926</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45926</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45926</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45926</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45926</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45926</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45926</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45926</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45926</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45926</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45926</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45926</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45926</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45926</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45926</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45926</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45926</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45926</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45926</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45926</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45926</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45926</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45926</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45926</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45926</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45926</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45926</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45926</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45926</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45926</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45926</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45926</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45926</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45926</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45926</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45926</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45926</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45926</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45926</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45926</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45926</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47568-2022</t>
        </is>
      </c>
      <c r="B339" s="1" t="n">
        <v>44853.9499537037</v>
      </c>
      <c r="C339" s="1" t="n">
        <v>45926</v>
      </c>
      <c r="D339" t="inlineStr">
        <is>
          <t>JÄMTLANDS LÄN</t>
        </is>
      </c>
      <c r="E339" t="inlineStr">
        <is>
          <t>RAGUNDA</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26945-2021</t>
        </is>
      </c>
      <c r="B340" s="1" t="n">
        <v>44349.91995370371</v>
      </c>
      <c r="C340" s="1" t="n">
        <v>45926</v>
      </c>
      <c r="D340" t="inlineStr">
        <is>
          <t>JÄMTLANDS LÄN</t>
        </is>
      </c>
      <c r="E340" t="inlineStr">
        <is>
          <t>RAGUNDA</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45926</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40829-2022</t>
        </is>
      </c>
      <c r="B342" s="1" t="n">
        <v>44824.94635416667</v>
      </c>
      <c r="C342" s="1" t="n">
        <v>45926</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45926</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45926</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9185-2022</t>
        </is>
      </c>
      <c r="B345" s="1" t="n">
        <v>44615</v>
      </c>
      <c r="C345" s="1" t="n">
        <v>45926</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44851.95488425926</v>
      </c>
      <c r="C346" s="1" t="n">
        <v>45926</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34348-2021</t>
        </is>
      </c>
      <c r="B347" s="1" t="n">
        <v>44379</v>
      </c>
      <c r="C347" s="1" t="n">
        <v>45926</v>
      </c>
      <c r="D347" t="inlineStr">
        <is>
          <t>JÄMTLANDS LÄN</t>
        </is>
      </c>
      <c r="E347" t="inlineStr">
        <is>
          <t>RAGUNDA</t>
        </is>
      </c>
      <c r="G347" t="n">
        <v>8.1</v>
      </c>
      <c r="H347" t="n">
        <v>0</v>
      </c>
      <c r="I347" t="n">
        <v>0</v>
      </c>
      <c r="J347" t="n">
        <v>0</v>
      </c>
      <c r="K347" t="n">
        <v>0</v>
      </c>
      <c r="L347" t="n">
        <v>0</v>
      </c>
      <c r="M347" t="n">
        <v>0</v>
      </c>
      <c r="N347" t="n">
        <v>0</v>
      </c>
      <c r="O347" t="n">
        <v>0</v>
      </c>
      <c r="P347" t="n">
        <v>0</v>
      </c>
      <c r="Q347" t="n">
        <v>0</v>
      </c>
      <c r="R347" s="2" t="inlineStr"/>
    </row>
    <row r="348" ht="15" customHeight="1">
      <c r="A348" t="inlineStr">
        <is>
          <t>A 44241-2021</t>
        </is>
      </c>
      <c r="B348" s="1" t="n">
        <v>44434.94517361111</v>
      </c>
      <c r="C348" s="1" t="n">
        <v>45926</v>
      </c>
      <c r="D348" t="inlineStr">
        <is>
          <t>JÄMTLANDS LÄN</t>
        </is>
      </c>
      <c r="E348" t="inlineStr">
        <is>
          <t>RAGUNDA</t>
        </is>
      </c>
      <c r="G348" t="n">
        <v>0.8</v>
      </c>
      <c r="H348" t="n">
        <v>0</v>
      </c>
      <c r="I348" t="n">
        <v>0</v>
      </c>
      <c r="J348" t="n">
        <v>0</v>
      </c>
      <c r="K348" t="n">
        <v>0</v>
      </c>
      <c r="L348" t="n">
        <v>0</v>
      </c>
      <c r="M348" t="n">
        <v>0</v>
      </c>
      <c r="N348" t="n">
        <v>0</v>
      </c>
      <c r="O348" t="n">
        <v>0</v>
      </c>
      <c r="P348" t="n">
        <v>0</v>
      </c>
      <c r="Q348" t="n">
        <v>0</v>
      </c>
      <c r="R348" s="2" t="inlineStr"/>
    </row>
    <row r="349" ht="15" customHeight="1">
      <c r="A349" t="inlineStr">
        <is>
          <t>A 25253-2022</t>
        </is>
      </c>
      <c r="B349" s="1" t="n">
        <v>44729.94136574074</v>
      </c>
      <c r="C349" s="1" t="n">
        <v>45926</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39698-2022</t>
        </is>
      </c>
      <c r="B350" s="1" t="n">
        <v>44818</v>
      </c>
      <c r="C350" s="1" t="n">
        <v>45926</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65017-2021</t>
        </is>
      </c>
      <c r="B351" s="1" t="n">
        <v>44512</v>
      </c>
      <c r="C351" s="1" t="n">
        <v>45926</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31972-2022</t>
        </is>
      </c>
      <c r="B352" s="1" t="n">
        <v>44777.95504629629</v>
      </c>
      <c r="C352" s="1" t="n">
        <v>45926</v>
      </c>
      <c r="D352" t="inlineStr">
        <is>
          <t>JÄMTLANDS LÄN</t>
        </is>
      </c>
      <c r="E352" t="inlineStr">
        <is>
          <t>RAGUNDA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48086-2022</t>
        </is>
      </c>
      <c r="B353" s="1" t="n">
        <v>44855.9471875</v>
      </c>
      <c r="C353" s="1" t="n">
        <v>45926</v>
      </c>
      <c r="D353" t="inlineStr">
        <is>
          <t>JÄMTLANDS LÄN</t>
        </is>
      </c>
      <c r="E353" t="inlineStr">
        <is>
          <t>RAGUNDA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43147-2022</t>
        </is>
      </c>
      <c r="B354" s="1" t="n">
        <v>44833.9519212963</v>
      </c>
      <c r="C354" s="1" t="n">
        <v>45926</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57246-2020</t>
        </is>
      </c>
      <c r="B355" s="1" t="n">
        <v>44138</v>
      </c>
      <c r="C355" s="1" t="n">
        <v>45926</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40213-2021</t>
        </is>
      </c>
      <c r="B356" s="1" t="n">
        <v>44418.9369212963</v>
      </c>
      <c r="C356" s="1" t="n">
        <v>45926</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57730-2020</t>
        </is>
      </c>
      <c r="B357" s="1" t="n">
        <v>44140</v>
      </c>
      <c r="C357" s="1" t="n">
        <v>45926</v>
      </c>
      <c r="D357" t="inlineStr">
        <is>
          <t>JÄMTLANDS LÄN</t>
        </is>
      </c>
      <c r="E357" t="inlineStr">
        <is>
          <t>RAGUNDA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45926</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45926</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35749-2022</t>
        </is>
      </c>
      <c r="B360" s="1" t="n">
        <v>44799.94394675926</v>
      </c>
      <c r="C360" s="1" t="n">
        <v>45926</v>
      </c>
      <c r="D360" t="inlineStr">
        <is>
          <t>JÄMTLANDS LÄN</t>
        </is>
      </c>
      <c r="E360" t="inlineStr">
        <is>
          <t>RAGUNDA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1858-2022</t>
        </is>
      </c>
      <c r="B361" s="1" t="n">
        <v>44574</v>
      </c>
      <c r="C361" s="1" t="n">
        <v>45926</v>
      </c>
      <c r="D361" t="inlineStr">
        <is>
          <t>JÄMTLANDS LÄN</t>
        </is>
      </c>
      <c r="E361" t="inlineStr">
        <is>
          <t>RAGUNDA</t>
        </is>
      </c>
      <c r="G361" t="n">
        <v>5.7</v>
      </c>
      <c r="H361" t="n">
        <v>0</v>
      </c>
      <c r="I361" t="n">
        <v>0</v>
      </c>
      <c r="J361" t="n">
        <v>0</v>
      </c>
      <c r="K361" t="n">
        <v>0</v>
      </c>
      <c r="L361" t="n">
        <v>0</v>
      </c>
      <c r="M361" t="n">
        <v>0</v>
      </c>
      <c r="N361" t="n">
        <v>0</v>
      </c>
      <c r="O361" t="n">
        <v>0</v>
      </c>
      <c r="P361" t="n">
        <v>0</v>
      </c>
      <c r="Q361" t="n">
        <v>0</v>
      </c>
      <c r="R361" s="2" t="inlineStr"/>
    </row>
    <row r="362" ht="15" customHeight="1">
      <c r="A362" t="inlineStr">
        <is>
          <t>A 43040-2021</t>
        </is>
      </c>
      <c r="B362" s="1" t="n">
        <v>44431</v>
      </c>
      <c r="C362" s="1" t="n">
        <v>45926</v>
      </c>
      <c r="D362" t="inlineStr">
        <is>
          <t>JÄMTLANDS LÄN</t>
        </is>
      </c>
      <c r="E362" t="inlineStr">
        <is>
          <t>RAGUNDA</t>
        </is>
      </c>
      <c r="G362" t="n">
        <v>4.9</v>
      </c>
      <c r="H362" t="n">
        <v>0</v>
      </c>
      <c r="I362" t="n">
        <v>0</v>
      </c>
      <c r="J362" t="n">
        <v>0</v>
      </c>
      <c r="K362" t="n">
        <v>0</v>
      </c>
      <c r="L362" t="n">
        <v>0</v>
      </c>
      <c r="M362" t="n">
        <v>0</v>
      </c>
      <c r="N362" t="n">
        <v>0</v>
      </c>
      <c r="O362" t="n">
        <v>0</v>
      </c>
      <c r="P362" t="n">
        <v>0</v>
      </c>
      <c r="Q362" t="n">
        <v>0</v>
      </c>
      <c r="R362" s="2" t="inlineStr"/>
    </row>
    <row r="363" ht="15" customHeight="1">
      <c r="A363" t="inlineStr">
        <is>
          <t>A 54836-2022</t>
        </is>
      </c>
      <c r="B363" s="1" t="n">
        <v>44883.94918981481</v>
      </c>
      <c r="C363" s="1" t="n">
        <v>45926</v>
      </c>
      <c r="D363" t="inlineStr">
        <is>
          <t>JÄMTLANDS LÄN</t>
        </is>
      </c>
      <c r="E363" t="inlineStr">
        <is>
          <t>RAGUNDA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53522-2020</t>
        </is>
      </c>
      <c r="B364" s="1" t="n">
        <v>44124</v>
      </c>
      <c r="C364" s="1" t="n">
        <v>45926</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52334-2021</t>
        </is>
      </c>
      <c r="B365" s="1" t="n">
        <v>44463.94077546296</v>
      </c>
      <c r="C365" s="1" t="n">
        <v>45926</v>
      </c>
      <c r="D365" t="inlineStr">
        <is>
          <t>JÄMTLANDS LÄN</t>
        </is>
      </c>
      <c r="E365" t="inlineStr">
        <is>
          <t>RAGUNDA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45926</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45926</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58984-2021</t>
        </is>
      </c>
      <c r="B368" s="1" t="n">
        <v>44489.94711805556</v>
      </c>
      <c r="C368" s="1" t="n">
        <v>45926</v>
      </c>
      <c r="D368" t="inlineStr">
        <is>
          <t>JÄMTLANDS LÄN</t>
        </is>
      </c>
      <c r="E368" t="inlineStr">
        <is>
          <t>RAGUNDA</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40978-2022</t>
        </is>
      </c>
      <c r="B369" s="1" t="n">
        <v>44823</v>
      </c>
      <c r="C369" s="1" t="n">
        <v>45926</v>
      </c>
      <c r="D369" t="inlineStr">
        <is>
          <t>JÄMTLANDS LÄN</t>
        </is>
      </c>
      <c r="E369" t="inlineStr">
        <is>
          <t>RAGUNDA</t>
        </is>
      </c>
      <c r="G369" t="n">
        <v>1.5</v>
      </c>
      <c r="H369" t="n">
        <v>0</v>
      </c>
      <c r="I369" t="n">
        <v>0</v>
      </c>
      <c r="J369" t="n">
        <v>0</v>
      </c>
      <c r="K369" t="n">
        <v>0</v>
      </c>
      <c r="L369" t="n">
        <v>0</v>
      </c>
      <c r="M369" t="n">
        <v>0</v>
      </c>
      <c r="N369" t="n">
        <v>0</v>
      </c>
      <c r="O369" t="n">
        <v>0</v>
      </c>
      <c r="P369" t="n">
        <v>0</v>
      </c>
      <c r="Q369" t="n">
        <v>0</v>
      </c>
      <c r="R369" s="2" t="inlineStr"/>
    </row>
    <row r="370" ht="15" customHeight="1">
      <c r="A370" t="inlineStr">
        <is>
          <t>A 24741-2022</t>
        </is>
      </c>
      <c r="B370" s="1" t="n">
        <v>44727</v>
      </c>
      <c r="C370" s="1" t="n">
        <v>45926</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26948-2021</t>
        </is>
      </c>
      <c r="B371" s="1" t="n">
        <v>44349.92013888889</v>
      </c>
      <c r="C371" s="1" t="n">
        <v>45926</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48536-2022</t>
        </is>
      </c>
      <c r="B372" s="1" t="n">
        <v>44858</v>
      </c>
      <c r="C372" s="1" t="n">
        <v>45926</v>
      </c>
      <c r="D372" t="inlineStr">
        <is>
          <t>JÄMTLANDS LÄN</t>
        </is>
      </c>
      <c r="E372" t="inlineStr">
        <is>
          <t>RAGUNDA</t>
        </is>
      </c>
      <c r="F372" t="inlineStr">
        <is>
          <t>SCA</t>
        </is>
      </c>
      <c r="G372" t="n">
        <v>9.5</v>
      </c>
      <c r="H372" t="n">
        <v>0</v>
      </c>
      <c r="I372" t="n">
        <v>0</v>
      </c>
      <c r="J372" t="n">
        <v>0</v>
      </c>
      <c r="K372" t="n">
        <v>0</v>
      </c>
      <c r="L372" t="n">
        <v>0</v>
      </c>
      <c r="M372" t="n">
        <v>0</v>
      </c>
      <c r="N372" t="n">
        <v>0</v>
      </c>
      <c r="O372" t="n">
        <v>0</v>
      </c>
      <c r="P372" t="n">
        <v>0</v>
      </c>
      <c r="Q372" t="n">
        <v>0</v>
      </c>
      <c r="R372" s="2" t="inlineStr"/>
    </row>
    <row r="373" ht="15" customHeight="1">
      <c r="A373" t="inlineStr">
        <is>
          <t>A 41613-2021</t>
        </is>
      </c>
      <c r="B373" s="1" t="n">
        <v>44425</v>
      </c>
      <c r="C373" s="1" t="n">
        <v>45926</v>
      </c>
      <c r="D373" t="inlineStr">
        <is>
          <t>JÄMTLANDS LÄN</t>
        </is>
      </c>
      <c r="E373" t="inlineStr">
        <is>
          <t>RAGUNDA</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45926</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19600-2021</t>
        </is>
      </c>
      <c r="B375" s="1" t="n">
        <v>44308</v>
      </c>
      <c r="C375" s="1" t="n">
        <v>45926</v>
      </c>
      <c r="D375" t="inlineStr">
        <is>
          <t>JÄMTLANDS LÄN</t>
        </is>
      </c>
      <c r="E375" t="inlineStr">
        <is>
          <t>RAGUNDA</t>
        </is>
      </c>
      <c r="G375" t="n">
        <v>4.3</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45926</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16460-2022</t>
        </is>
      </c>
      <c r="B377" s="1" t="n">
        <v>44671</v>
      </c>
      <c r="C377" s="1" t="n">
        <v>45926</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29409-2021</t>
        </is>
      </c>
      <c r="B378" s="1" t="n">
        <v>44361.55445601852</v>
      </c>
      <c r="C378" s="1" t="n">
        <v>45926</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25027-2022</t>
        </is>
      </c>
      <c r="B379" s="1" t="n">
        <v>44728.94392361111</v>
      </c>
      <c r="C379" s="1" t="n">
        <v>45926</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32288-2022</t>
        </is>
      </c>
      <c r="B380" s="1" t="n">
        <v>44781</v>
      </c>
      <c r="C380" s="1" t="n">
        <v>45926</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28597-2021</t>
        </is>
      </c>
      <c r="B381" s="1" t="n">
        <v>44356.91935185185</v>
      </c>
      <c r="C381" s="1" t="n">
        <v>45926</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37806-2021</t>
        </is>
      </c>
      <c r="B382" s="1" t="n">
        <v>44402.42243055555</v>
      </c>
      <c r="C382" s="1" t="n">
        <v>45926</v>
      </c>
      <c r="D382" t="inlineStr">
        <is>
          <t>JÄMTLANDS LÄN</t>
        </is>
      </c>
      <c r="E382" t="inlineStr">
        <is>
          <t>RAGUNDA</t>
        </is>
      </c>
      <c r="G382" t="n">
        <v>0.3</v>
      </c>
      <c r="H382" t="n">
        <v>0</v>
      </c>
      <c r="I382" t="n">
        <v>0</v>
      </c>
      <c r="J382" t="n">
        <v>0</v>
      </c>
      <c r="K382" t="n">
        <v>0</v>
      </c>
      <c r="L382" t="n">
        <v>0</v>
      </c>
      <c r="M382" t="n">
        <v>0</v>
      </c>
      <c r="N382" t="n">
        <v>0</v>
      </c>
      <c r="O382" t="n">
        <v>0</v>
      </c>
      <c r="P382" t="n">
        <v>0</v>
      </c>
      <c r="Q382" t="n">
        <v>0</v>
      </c>
      <c r="R382" s="2" t="inlineStr"/>
    </row>
    <row r="383" ht="15" customHeight="1">
      <c r="A383" t="inlineStr">
        <is>
          <t>A 47803-2022</t>
        </is>
      </c>
      <c r="B383" s="1" t="n">
        <v>44854.95390046296</v>
      </c>
      <c r="C383" s="1" t="n">
        <v>45926</v>
      </c>
      <c r="D383" t="inlineStr">
        <is>
          <t>JÄMTLANDS LÄN</t>
        </is>
      </c>
      <c r="E383" t="inlineStr">
        <is>
          <t>RAGUNDA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42652-2022</t>
        </is>
      </c>
      <c r="B384" s="1" t="n">
        <v>44831.94846064815</v>
      </c>
      <c r="C384" s="1" t="n">
        <v>45926</v>
      </c>
      <c r="D384" t="inlineStr">
        <is>
          <t>JÄMTLANDS LÄN</t>
        </is>
      </c>
      <c r="E384" t="inlineStr">
        <is>
          <t>RAGUNDA</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42653-2022</t>
        </is>
      </c>
      <c r="B385" s="1" t="n">
        <v>44831.9485300926</v>
      </c>
      <c r="C385" s="1" t="n">
        <v>45926</v>
      </c>
      <c r="D385" t="inlineStr">
        <is>
          <t>JÄMTLANDS LÄN</t>
        </is>
      </c>
      <c r="E385" t="inlineStr">
        <is>
          <t>RAGUNDA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32986-2022</t>
        </is>
      </c>
      <c r="B386" s="1" t="n">
        <v>44784.94157407407</v>
      </c>
      <c r="C386" s="1" t="n">
        <v>45926</v>
      </c>
      <c r="D386" t="inlineStr">
        <is>
          <t>JÄMTLANDS LÄN</t>
        </is>
      </c>
      <c r="E386" t="inlineStr">
        <is>
          <t>RAGUNDA</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36941-2022</t>
        </is>
      </c>
      <c r="B387" s="1" t="n">
        <v>44805</v>
      </c>
      <c r="C387" s="1" t="n">
        <v>45926</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20548-2021</t>
        </is>
      </c>
      <c r="B388" s="1" t="n">
        <v>44315</v>
      </c>
      <c r="C388" s="1" t="n">
        <v>45926</v>
      </c>
      <c r="D388" t="inlineStr">
        <is>
          <t>JÄMTLANDS LÄN</t>
        </is>
      </c>
      <c r="E388" t="inlineStr">
        <is>
          <t>RAGUNDA</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49530-2022</t>
        </is>
      </c>
      <c r="B389" s="1" t="n">
        <v>44861</v>
      </c>
      <c r="C389" s="1" t="n">
        <v>45926</v>
      </c>
      <c r="D389" t="inlineStr">
        <is>
          <t>JÄMTLANDS LÄN</t>
        </is>
      </c>
      <c r="E389" t="inlineStr">
        <is>
          <t>RAGUNDA</t>
        </is>
      </c>
      <c r="F389" t="inlineStr">
        <is>
          <t>SCA</t>
        </is>
      </c>
      <c r="G389" t="n">
        <v>13.4</v>
      </c>
      <c r="H389" t="n">
        <v>0</v>
      </c>
      <c r="I389" t="n">
        <v>0</v>
      </c>
      <c r="J389" t="n">
        <v>0</v>
      </c>
      <c r="K389" t="n">
        <v>0</v>
      </c>
      <c r="L389" t="n">
        <v>0</v>
      </c>
      <c r="M389" t="n">
        <v>0</v>
      </c>
      <c r="N389" t="n">
        <v>0</v>
      </c>
      <c r="O389" t="n">
        <v>0</v>
      </c>
      <c r="P389" t="n">
        <v>0</v>
      </c>
      <c r="Q389" t="n">
        <v>0</v>
      </c>
      <c r="R389" s="2" t="inlineStr"/>
    </row>
    <row r="390" ht="15" customHeight="1">
      <c r="A390" t="inlineStr">
        <is>
          <t>A 31854-2022</t>
        </is>
      </c>
      <c r="B390" s="1" t="n">
        <v>44776</v>
      </c>
      <c r="C390" s="1" t="n">
        <v>45926</v>
      </c>
      <c r="D390" t="inlineStr">
        <is>
          <t>JÄMTLANDS LÄN</t>
        </is>
      </c>
      <c r="E390" t="inlineStr">
        <is>
          <t>RAGUNDA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42882-2022</t>
        </is>
      </c>
      <c r="B391" s="1" t="n">
        <v>44832.95300925926</v>
      </c>
      <c r="C391" s="1" t="n">
        <v>45926</v>
      </c>
      <c r="D391" t="inlineStr">
        <is>
          <t>JÄMTLANDS LÄN</t>
        </is>
      </c>
      <c r="E391" t="inlineStr">
        <is>
          <t>RAGUNDA</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42267-2022</t>
        </is>
      </c>
      <c r="B392" s="1" t="n">
        <v>44830</v>
      </c>
      <c r="C392" s="1" t="n">
        <v>45926</v>
      </c>
      <c r="D392" t="inlineStr">
        <is>
          <t>JÄMTLANDS LÄN</t>
        </is>
      </c>
      <c r="E392" t="inlineStr">
        <is>
          <t>RAGUNDA</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53144-2024</t>
        </is>
      </c>
      <c r="B393" s="1" t="n">
        <v>45611</v>
      </c>
      <c r="C393" s="1" t="n">
        <v>45926</v>
      </c>
      <c r="D393" t="inlineStr">
        <is>
          <t>JÄMTLANDS LÄN</t>
        </is>
      </c>
      <c r="E393" t="inlineStr">
        <is>
          <t>RAGUNDA</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16635-2025</t>
        </is>
      </c>
      <c r="B394" s="1" t="n">
        <v>45754</v>
      </c>
      <c r="C394" s="1" t="n">
        <v>45926</v>
      </c>
      <c r="D394" t="inlineStr">
        <is>
          <t>JÄMTLANDS LÄN</t>
        </is>
      </c>
      <c r="E394" t="inlineStr">
        <is>
          <t>RAGUNDA</t>
        </is>
      </c>
      <c r="F394" t="inlineStr">
        <is>
          <t>SCA</t>
        </is>
      </c>
      <c r="G394" t="n">
        <v>55.4</v>
      </c>
      <c r="H394" t="n">
        <v>0</v>
      </c>
      <c r="I394" t="n">
        <v>0</v>
      </c>
      <c r="J394" t="n">
        <v>0</v>
      </c>
      <c r="K394" t="n">
        <v>0</v>
      </c>
      <c r="L394" t="n">
        <v>0</v>
      </c>
      <c r="M394" t="n">
        <v>0</v>
      </c>
      <c r="N394" t="n">
        <v>0</v>
      </c>
      <c r="O394" t="n">
        <v>0</v>
      </c>
      <c r="P394" t="n">
        <v>0</v>
      </c>
      <c r="Q394" t="n">
        <v>0</v>
      </c>
      <c r="R394" s="2" t="inlineStr"/>
    </row>
    <row r="395" ht="15" customHeight="1">
      <c r="A395" t="inlineStr">
        <is>
          <t>A 4014-2022</t>
        </is>
      </c>
      <c r="B395" s="1" t="n">
        <v>44587.92144675926</v>
      </c>
      <c r="C395" s="1" t="n">
        <v>45926</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1554-2024</t>
        </is>
      </c>
      <c r="B396" s="1" t="n">
        <v>45306</v>
      </c>
      <c r="C396" s="1" t="n">
        <v>45926</v>
      </c>
      <c r="D396" t="inlineStr">
        <is>
          <t>JÄMTLANDS LÄN</t>
        </is>
      </c>
      <c r="E396" t="inlineStr">
        <is>
          <t>RAGUNDA</t>
        </is>
      </c>
      <c r="G396" t="n">
        <v>4.3</v>
      </c>
      <c r="H396" t="n">
        <v>0</v>
      </c>
      <c r="I396" t="n">
        <v>0</v>
      </c>
      <c r="J396" t="n">
        <v>0</v>
      </c>
      <c r="K396" t="n">
        <v>0</v>
      </c>
      <c r="L396" t="n">
        <v>0</v>
      </c>
      <c r="M396" t="n">
        <v>0</v>
      </c>
      <c r="N396" t="n">
        <v>0</v>
      </c>
      <c r="O396" t="n">
        <v>0</v>
      </c>
      <c r="P396" t="n">
        <v>0</v>
      </c>
      <c r="Q396" t="n">
        <v>0</v>
      </c>
      <c r="R396" s="2" t="inlineStr"/>
    </row>
    <row r="397" ht="15" customHeight="1">
      <c r="A397" t="inlineStr">
        <is>
          <t>A 14156-2024</t>
        </is>
      </c>
      <c r="B397" s="1" t="n">
        <v>45392</v>
      </c>
      <c r="C397" s="1" t="n">
        <v>45926</v>
      </c>
      <c r="D397" t="inlineStr">
        <is>
          <t>JÄMTLANDS LÄN</t>
        </is>
      </c>
      <c r="E397" t="inlineStr">
        <is>
          <t>RAGUNDA</t>
        </is>
      </c>
      <c r="G397" t="n">
        <v>0.6</v>
      </c>
      <c r="H397" t="n">
        <v>0</v>
      </c>
      <c r="I397" t="n">
        <v>0</v>
      </c>
      <c r="J397" t="n">
        <v>0</v>
      </c>
      <c r="K397" t="n">
        <v>0</v>
      </c>
      <c r="L397" t="n">
        <v>0</v>
      </c>
      <c r="M397" t="n">
        <v>0</v>
      </c>
      <c r="N397" t="n">
        <v>0</v>
      </c>
      <c r="O397" t="n">
        <v>0</v>
      </c>
      <c r="P397" t="n">
        <v>0</v>
      </c>
      <c r="Q397" t="n">
        <v>0</v>
      </c>
      <c r="R397" s="2" t="inlineStr"/>
    </row>
    <row r="398" ht="15" customHeight="1">
      <c r="A398" t="inlineStr">
        <is>
          <t>A 14157-2024</t>
        </is>
      </c>
      <c r="B398" s="1" t="n">
        <v>45392.92903935185</v>
      </c>
      <c r="C398" s="1" t="n">
        <v>45926</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38782-2021</t>
        </is>
      </c>
      <c r="B399" s="1" t="n">
        <v>44410</v>
      </c>
      <c r="C399" s="1" t="n">
        <v>45926</v>
      </c>
      <c r="D399" t="inlineStr">
        <is>
          <t>JÄMTLANDS LÄN</t>
        </is>
      </c>
      <c r="E399" t="inlineStr">
        <is>
          <t>RAGUNDA</t>
        </is>
      </c>
      <c r="G399" t="n">
        <v>3.2</v>
      </c>
      <c r="H399" t="n">
        <v>0</v>
      </c>
      <c r="I399" t="n">
        <v>0</v>
      </c>
      <c r="J399" t="n">
        <v>0</v>
      </c>
      <c r="K399" t="n">
        <v>0</v>
      </c>
      <c r="L399" t="n">
        <v>0</v>
      </c>
      <c r="M399" t="n">
        <v>0</v>
      </c>
      <c r="N399" t="n">
        <v>0</v>
      </c>
      <c r="O399" t="n">
        <v>0</v>
      </c>
      <c r="P399" t="n">
        <v>0</v>
      </c>
      <c r="Q399" t="n">
        <v>0</v>
      </c>
      <c r="R399" s="2" t="inlineStr"/>
    </row>
    <row r="400" ht="15" customHeight="1">
      <c r="A400" t="inlineStr">
        <is>
          <t>A 20728-2025</t>
        </is>
      </c>
      <c r="B400" s="1" t="n">
        <v>45776.51130787037</v>
      </c>
      <c r="C400" s="1" t="n">
        <v>45926</v>
      </c>
      <c r="D400" t="inlineStr">
        <is>
          <t>JÄMTLANDS LÄN</t>
        </is>
      </c>
      <c r="E400" t="inlineStr">
        <is>
          <t>RAGUNDA</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22311-2024</t>
        </is>
      </c>
      <c r="B401" s="1" t="n">
        <v>45446.57052083333</v>
      </c>
      <c r="C401" s="1" t="n">
        <v>45926</v>
      </c>
      <c r="D401" t="inlineStr">
        <is>
          <t>JÄMTLANDS LÄN</t>
        </is>
      </c>
      <c r="E401" t="inlineStr">
        <is>
          <t>RAGUNDA</t>
        </is>
      </c>
      <c r="G401" t="n">
        <v>1.3</v>
      </c>
      <c r="H401" t="n">
        <v>0</v>
      </c>
      <c r="I401" t="n">
        <v>0</v>
      </c>
      <c r="J401" t="n">
        <v>0</v>
      </c>
      <c r="K401" t="n">
        <v>0</v>
      </c>
      <c r="L401" t="n">
        <v>0</v>
      </c>
      <c r="M401" t="n">
        <v>0</v>
      </c>
      <c r="N401" t="n">
        <v>0</v>
      </c>
      <c r="O401" t="n">
        <v>0</v>
      </c>
      <c r="P401" t="n">
        <v>0</v>
      </c>
      <c r="Q401" t="n">
        <v>0</v>
      </c>
      <c r="R401" s="2" t="inlineStr"/>
    </row>
    <row r="402" ht="15" customHeight="1">
      <c r="A402" t="inlineStr">
        <is>
          <t>A 21195-2022</t>
        </is>
      </c>
      <c r="B402" s="1" t="n">
        <v>44704.94229166667</v>
      </c>
      <c r="C402" s="1" t="n">
        <v>45926</v>
      </c>
      <c r="D402" t="inlineStr">
        <is>
          <t>JÄMTLANDS LÄN</t>
        </is>
      </c>
      <c r="E402" t="inlineStr">
        <is>
          <t>RAGUNDA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49531-2022</t>
        </is>
      </c>
      <c r="B403" s="1" t="n">
        <v>44861</v>
      </c>
      <c r="C403" s="1" t="n">
        <v>45926</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20088-2023</t>
        </is>
      </c>
      <c r="B404" s="1" t="n">
        <v>45054</v>
      </c>
      <c r="C404" s="1" t="n">
        <v>45926</v>
      </c>
      <c r="D404" t="inlineStr">
        <is>
          <t>JÄMTLANDS LÄN</t>
        </is>
      </c>
      <c r="E404" t="inlineStr">
        <is>
          <t>RAGUNDA</t>
        </is>
      </c>
      <c r="F404" t="inlineStr">
        <is>
          <t>SCA</t>
        </is>
      </c>
      <c r="G404" t="n">
        <v>23.4</v>
      </c>
      <c r="H404" t="n">
        <v>0</v>
      </c>
      <c r="I404" t="n">
        <v>0</v>
      </c>
      <c r="J404" t="n">
        <v>0</v>
      </c>
      <c r="K404" t="n">
        <v>0</v>
      </c>
      <c r="L404" t="n">
        <v>0</v>
      </c>
      <c r="M404" t="n">
        <v>0</v>
      </c>
      <c r="N404" t="n">
        <v>0</v>
      </c>
      <c r="O404" t="n">
        <v>0</v>
      </c>
      <c r="P404" t="n">
        <v>0</v>
      </c>
      <c r="Q404" t="n">
        <v>0</v>
      </c>
      <c r="R404" s="2" t="inlineStr"/>
    </row>
    <row r="405" ht="15" customHeight="1">
      <c r="A405" t="inlineStr">
        <is>
          <t>A 20653-2025</t>
        </is>
      </c>
      <c r="B405" s="1" t="n">
        <v>45776.40311342593</v>
      </c>
      <c r="C405" s="1" t="n">
        <v>45926</v>
      </c>
      <c r="D405" t="inlineStr">
        <is>
          <t>JÄMTLANDS LÄN</t>
        </is>
      </c>
      <c r="E405" t="inlineStr">
        <is>
          <t>RAGUNDA</t>
        </is>
      </c>
      <c r="G405" t="n">
        <v>10.8</v>
      </c>
      <c r="H405" t="n">
        <v>0</v>
      </c>
      <c r="I405" t="n">
        <v>0</v>
      </c>
      <c r="J405" t="n">
        <v>0</v>
      </c>
      <c r="K405" t="n">
        <v>0</v>
      </c>
      <c r="L405" t="n">
        <v>0</v>
      </c>
      <c r="M405" t="n">
        <v>0</v>
      </c>
      <c r="N405" t="n">
        <v>0</v>
      </c>
      <c r="O405" t="n">
        <v>0</v>
      </c>
      <c r="P405" t="n">
        <v>0</v>
      </c>
      <c r="Q405" t="n">
        <v>0</v>
      </c>
      <c r="R405" s="2" t="inlineStr"/>
    </row>
    <row r="406" ht="15" customHeight="1">
      <c r="A406" t="inlineStr">
        <is>
          <t>A 20722-2025</t>
        </is>
      </c>
      <c r="B406" s="1" t="n">
        <v>45776.50651620371</v>
      </c>
      <c r="C406" s="1" t="n">
        <v>45926</v>
      </c>
      <c r="D406" t="inlineStr">
        <is>
          <t>JÄMTLANDS LÄN</t>
        </is>
      </c>
      <c r="E406" t="inlineStr">
        <is>
          <t>RAGUNDA</t>
        </is>
      </c>
      <c r="F406" t="inlineStr">
        <is>
          <t>Kommuner</t>
        </is>
      </c>
      <c r="G406" t="n">
        <v>0.8</v>
      </c>
      <c r="H406" t="n">
        <v>0</v>
      </c>
      <c r="I406" t="n">
        <v>0</v>
      </c>
      <c r="J406" t="n">
        <v>0</v>
      </c>
      <c r="K406" t="n">
        <v>0</v>
      </c>
      <c r="L406" t="n">
        <v>0</v>
      </c>
      <c r="M406" t="n">
        <v>0</v>
      </c>
      <c r="N406" t="n">
        <v>0</v>
      </c>
      <c r="O406" t="n">
        <v>0</v>
      </c>
      <c r="P406" t="n">
        <v>0</v>
      </c>
      <c r="Q406" t="n">
        <v>0</v>
      </c>
      <c r="R406" s="2" t="inlineStr"/>
    </row>
    <row r="407" ht="15" customHeight="1">
      <c r="A407" t="inlineStr">
        <is>
          <t>A 19403-2025</t>
        </is>
      </c>
      <c r="B407" s="1" t="n">
        <v>45769.67790509259</v>
      </c>
      <c r="C407" s="1" t="n">
        <v>45926</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20777-2025</t>
        </is>
      </c>
      <c r="B408" s="1" t="n">
        <v>45776.59422453704</v>
      </c>
      <c r="C408" s="1" t="n">
        <v>45926</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4882-2023</t>
        </is>
      </c>
      <c r="B409" s="1" t="n">
        <v>44957.94075231482</v>
      </c>
      <c r="C409" s="1" t="n">
        <v>45926</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15554-2025</t>
        </is>
      </c>
      <c r="B410" s="1" t="n">
        <v>45747.67739583334</v>
      </c>
      <c r="C410" s="1" t="n">
        <v>45926</v>
      </c>
      <c r="D410" t="inlineStr">
        <is>
          <t>JÄMTLANDS LÄN</t>
        </is>
      </c>
      <c r="E410" t="inlineStr">
        <is>
          <t>RAGUNDA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21150-2025</t>
        </is>
      </c>
      <c r="B411" s="1" t="n">
        <v>45779.34417824074</v>
      </c>
      <c r="C411" s="1" t="n">
        <v>45926</v>
      </c>
      <c r="D411" t="inlineStr">
        <is>
          <t>JÄMTLANDS LÄN</t>
        </is>
      </c>
      <c r="E411" t="inlineStr">
        <is>
          <t>RAGUNDA</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21177-2025</t>
        </is>
      </c>
      <c r="B412" s="1" t="n">
        <v>45779.4281712963</v>
      </c>
      <c r="C412" s="1" t="n">
        <v>45926</v>
      </c>
      <c r="D412" t="inlineStr">
        <is>
          <t>JÄMTLANDS LÄN</t>
        </is>
      </c>
      <c r="E412" t="inlineStr">
        <is>
          <t>RAGUNDA</t>
        </is>
      </c>
      <c r="F412" t="inlineStr">
        <is>
          <t>SCA</t>
        </is>
      </c>
      <c r="G412" t="n">
        <v>16.1</v>
      </c>
      <c r="H412" t="n">
        <v>0</v>
      </c>
      <c r="I412" t="n">
        <v>0</v>
      </c>
      <c r="J412" t="n">
        <v>0</v>
      </c>
      <c r="K412" t="n">
        <v>0</v>
      </c>
      <c r="L412" t="n">
        <v>0</v>
      </c>
      <c r="M412" t="n">
        <v>0</v>
      </c>
      <c r="N412" t="n">
        <v>0</v>
      </c>
      <c r="O412" t="n">
        <v>0</v>
      </c>
      <c r="P412" t="n">
        <v>0</v>
      </c>
      <c r="Q412" t="n">
        <v>0</v>
      </c>
      <c r="R412" s="2" t="inlineStr"/>
    </row>
    <row r="413" ht="15" customHeight="1">
      <c r="A413" t="inlineStr">
        <is>
          <t>A 21214-2025</t>
        </is>
      </c>
      <c r="B413" s="1" t="n">
        <v>45779.49025462963</v>
      </c>
      <c r="C413" s="1" t="n">
        <v>45926</v>
      </c>
      <c r="D413" t="inlineStr">
        <is>
          <t>JÄMTLANDS LÄN</t>
        </is>
      </c>
      <c r="E413" t="inlineStr">
        <is>
          <t>RAGUNDA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45926</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45926</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22941-2024</t>
        </is>
      </c>
      <c r="B416" s="1" t="n">
        <v>45448.94520833333</v>
      </c>
      <c r="C416" s="1" t="n">
        <v>45926</v>
      </c>
      <c r="D416" t="inlineStr">
        <is>
          <t>JÄMTLANDS LÄN</t>
        </is>
      </c>
      <c r="E416" t="inlineStr">
        <is>
          <t>RAGUNDA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21430-2025</t>
        </is>
      </c>
      <c r="B417" s="1" t="n">
        <v>45782.51099537037</v>
      </c>
      <c r="C417" s="1" t="n">
        <v>45926</v>
      </c>
      <c r="D417" t="inlineStr">
        <is>
          <t>JÄMTLANDS LÄN</t>
        </is>
      </c>
      <c r="E417" t="inlineStr">
        <is>
          <t>RAGUNDA</t>
        </is>
      </c>
      <c r="F417" t="inlineStr">
        <is>
          <t>SCA</t>
        </is>
      </c>
      <c r="G417" t="n">
        <v>7.1</v>
      </c>
      <c r="H417" t="n">
        <v>0</v>
      </c>
      <c r="I417" t="n">
        <v>0</v>
      </c>
      <c r="J417" t="n">
        <v>0</v>
      </c>
      <c r="K417" t="n">
        <v>0</v>
      </c>
      <c r="L417" t="n">
        <v>0</v>
      </c>
      <c r="M417" t="n">
        <v>0</v>
      </c>
      <c r="N417" t="n">
        <v>0</v>
      </c>
      <c r="O417" t="n">
        <v>0</v>
      </c>
      <c r="P417" t="n">
        <v>0</v>
      </c>
      <c r="Q417" t="n">
        <v>0</v>
      </c>
      <c r="R417" s="2" t="inlineStr"/>
    </row>
    <row r="418" ht="15" customHeight="1">
      <c r="A418" t="inlineStr">
        <is>
          <t>A 44881-2023</t>
        </is>
      </c>
      <c r="B418" s="1" t="n">
        <v>45187</v>
      </c>
      <c r="C418" s="1" t="n">
        <v>45926</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21451-2025</t>
        </is>
      </c>
      <c r="B419" s="1" t="n">
        <v>45782.55287037037</v>
      </c>
      <c r="C419" s="1" t="n">
        <v>45926</v>
      </c>
      <c r="D419" t="inlineStr">
        <is>
          <t>JÄMTLANDS LÄN</t>
        </is>
      </c>
      <c r="E419" t="inlineStr">
        <is>
          <t>RAGUNDA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21332-2025</t>
        </is>
      </c>
      <c r="B420" s="1" t="n">
        <v>45782.36506944444</v>
      </c>
      <c r="C420" s="1" t="n">
        <v>45926</v>
      </c>
      <c r="D420" t="inlineStr">
        <is>
          <t>JÄMTLANDS LÄN</t>
        </is>
      </c>
      <c r="E420" t="inlineStr">
        <is>
          <t>RAGUNDA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11147-2025</t>
        </is>
      </c>
      <c r="B421" s="1" t="n">
        <v>45723.67777777778</v>
      </c>
      <c r="C421" s="1" t="n">
        <v>45926</v>
      </c>
      <c r="D421" t="inlineStr">
        <is>
          <t>JÄMTLANDS LÄN</t>
        </is>
      </c>
      <c r="E421" t="inlineStr">
        <is>
          <t>RAGUNDA</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21432-2025</t>
        </is>
      </c>
      <c r="B422" s="1" t="n">
        <v>45782.51109953703</v>
      </c>
      <c r="C422" s="1" t="n">
        <v>45926</v>
      </c>
      <c r="D422" t="inlineStr">
        <is>
          <t>JÄMTLANDS LÄN</t>
        </is>
      </c>
      <c r="E422" t="inlineStr">
        <is>
          <t>RAGUNDA</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21331-2025</t>
        </is>
      </c>
      <c r="B423" s="1" t="n">
        <v>45782.36494212963</v>
      </c>
      <c r="C423" s="1" t="n">
        <v>45926</v>
      </c>
      <c r="D423" t="inlineStr">
        <is>
          <t>JÄMTLANDS LÄN</t>
        </is>
      </c>
      <c r="E423" t="inlineStr">
        <is>
          <t>RAGUNDA</t>
        </is>
      </c>
      <c r="F423" t="inlineStr">
        <is>
          <t>SCA</t>
        </is>
      </c>
      <c r="G423" t="n">
        <v>23.1</v>
      </c>
      <c r="H423" t="n">
        <v>0</v>
      </c>
      <c r="I423" t="n">
        <v>0</v>
      </c>
      <c r="J423" t="n">
        <v>0</v>
      </c>
      <c r="K423" t="n">
        <v>0</v>
      </c>
      <c r="L423" t="n">
        <v>0</v>
      </c>
      <c r="M423" t="n">
        <v>0</v>
      </c>
      <c r="N423" t="n">
        <v>0</v>
      </c>
      <c r="O423" t="n">
        <v>0</v>
      </c>
      <c r="P423" t="n">
        <v>0</v>
      </c>
      <c r="Q423" t="n">
        <v>0</v>
      </c>
      <c r="R423" s="2" t="inlineStr"/>
    </row>
    <row r="424" ht="15" customHeight="1">
      <c r="A424" t="inlineStr">
        <is>
          <t>A 13276-2025</t>
        </is>
      </c>
      <c r="B424" s="1" t="n">
        <v>45735.5517824074</v>
      </c>
      <c r="C424" s="1" t="n">
        <v>45926</v>
      </c>
      <c r="D424" t="inlineStr">
        <is>
          <t>JÄMTLANDS LÄN</t>
        </is>
      </c>
      <c r="E424" t="inlineStr">
        <is>
          <t>RAGUNDA</t>
        </is>
      </c>
      <c r="G424" t="n">
        <v>16.6</v>
      </c>
      <c r="H424" t="n">
        <v>0</v>
      </c>
      <c r="I424" t="n">
        <v>0</v>
      </c>
      <c r="J424" t="n">
        <v>0</v>
      </c>
      <c r="K424" t="n">
        <v>0</v>
      </c>
      <c r="L424" t="n">
        <v>0</v>
      </c>
      <c r="M424" t="n">
        <v>0</v>
      </c>
      <c r="N424" t="n">
        <v>0</v>
      </c>
      <c r="O424" t="n">
        <v>0</v>
      </c>
      <c r="P424" t="n">
        <v>0</v>
      </c>
      <c r="Q424" t="n">
        <v>0</v>
      </c>
      <c r="R424" s="2" t="inlineStr"/>
    </row>
    <row r="425" ht="15" customHeight="1">
      <c r="A425" t="inlineStr">
        <is>
          <t>A 9847-2025</t>
        </is>
      </c>
      <c r="B425" s="1" t="n">
        <v>45716.61487268518</v>
      </c>
      <c r="C425" s="1" t="n">
        <v>45926</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21550-2025</t>
        </is>
      </c>
      <c r="B426" s="1" t="n">
        <v>45782.67758101852</v>
      </c>
      <c r="C426" s="1" t="n">
        <v>45926</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28173-2024</t>
        </is>
      </c>
      <c r="B427" s="1" t="n">
        <v>45476.94533564815</v>
      </c>
      <c r="C427" s="1" t="n">
        <v>45926</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45926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55487-2023</t>
        </is>
      </c>
      <c r="B429" s="1" t="n">
        <v>45238</v>
      </c>
      <c r="C429" s="1" t="n">
        <v>45926</v>
      </c>
      <c r="D429" t="inlineStr">
        <is>
          <t>JÄMTLANDS LÄN</t>
        </is>
      </c>
      <c r="E429" t="inlineStr">
        <is>
          <t>RAGUNDA</t>
        </is>
      </c>
      <c r="G429" t="n">
        <v>3</v>
      </c>
      <c r="H429" t="n">
        <v>0</v>
      </c>
      <c r="I429" t="n">
        <v>0</v>
      </c>
      <c r="J429" t="n">
        <v>0</v>
      </c>
      <c r="K429" t="n">
        <v>0</v>
      </c>
      <c r="L429" t="n">
        <v>0</v>
      </c>
      <c r="M429" t="n">
        <v>0</v>
      </c>
      <c r="N429" t="n">
        <v>0</v>
      </c>
      <c r="O429" t="n">
        <v>0</v>
      </c>
      <c r="P429" t="n">
        <v>0</v>
      </c>
      <c r="Q429" t="n">
        <v>0</v>
      </c>
      <c r="R429" s="2" t="inlineStr"/>
    </row>
    <row r="430" ht="15" customHeight="1">
      <c r="A430" t="inlineStr">
        <is>
          <t>A 23734-2024</t>
        </is>
      </c>
      <c r="B430" s="1" t="n">
        <v>45454.95960648148</v>
      </c>
      <c r="C430" s="1" t="n">
        <v>45926</v>
      </c>
      <c r="D430" t="inlineStr">
        <is>
          <t>JÄMTLANDS LÄN</t>
        </is>
      </c>
      <c r="E430" t="inlineStr">
        <is>
          <t>RAGUNDA</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18454-2021</t>
        </is>
      </c>
      <c r="B431" s="1" t="n">
        <v>44305.92047453704</v>
      </c>
      <c r="C431" s="1" t="n">
        <v>45926</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38425-2022</t>
        </is>
      </c>
      <c r="B432" s="1" t="n">
        <v>44812.94709490741</v>
      </c>
      <c r="C432" s="1" t="n">
        <v>45926</v>
      </c>
      <c r="D432" t="inlineStr">
        <is>
          <t>JÄMTLANDS LÄN</t>
        </is>
      </c>
      <c r="E432" t="inlineStr">
        <is>
          <t>RAGUNDA</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9360-2023</t>
        </is>
      </c>
      <c r="B433" s="1" t="n">
        <v>44980.93865740741</v>
      </c>
      <c r="C433" s="1" t="n">
        <v>45926</v>
      </c>
      <c r="D433" t="inlineStr">
        <is>
          <t>JÄMTLANDS LÄN</t>
        </is>
      </c>
      <c r="E433" t="inlineStr">
        <is>
          <t>RAGUNDA</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13767-2022</t>
        </is>
      </c>
      <c r="B434" s="1" t="n">
        <v>44649.47048611111</v>
      </c>
      <c r="C434" s="1" t="n">
        <v>45926</v>
      </c>
      <c r="D434" t="inlineStr">
        <is>
          <t>JÄMTLANDS LÄN</t>
        </is>
      </c>
      <c r="E434" t="inlineStr">
        <is>
          <t>RAGUNDA</t>
        </is>
      </c>
      <c r="F434" t="inlineStr">
        <is>
          <t>Kommuner</t>
        </is>
      </c>
      <c r="G434" t="n">
        <v>3.1</v>
      </c>
      <c r="H434" t="n">
        <v>0</v>
      </c>
      <c r="I434" t="n">
        <v>0</v>
      </c>
      <c r="J434" t="n">
        <v>0</v>
      </c>
      <c r="K434" t="n">
        <v>0</v>
      </c>
      <c r="L434" t="n">
        <v>0</v>
      </c>
      <c r="M434" t="n">
        <v>0</v>
      </c>
      <c r="N434" t="n">
        <v>0</v>
      </c>
      <c r="O434" t="n">
        <v>0</v>
      </c>
      <c r="P434" t="n">
        <v>0</v>
      </c>
      <c r="Q434" t="n">
        <v>0</v>
      </c>
      <c r="R434" s="2" t="inlineStr"/>
    </row>
    <row r="435" ht="15" customHeight="1">
      <c r="A435" t="inlineStr">
        <is>
          <t>A 12995-2023</t>
        </is>
      </c>
      <c r="B435" s="1" t="n">
        <v>45002.0328125</v>
      </c>
      <c r="C435" s="1" t="n">
        <v>45926</v>
      </c>
      <c r="D435" t="inlineStr">
        <is>
          <t>JÄMTLANDS LÄN</t>
        </is>
      </c>
      <c r="E435" t="inlineStr">
        <is>
          <t>RAGUNDA</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1308-2025</t>
        </is>
      </c>
      <c r="B436" s="1" t="n">
        <v>45667.55239583334</v>
      </c>
      <c r="C436" s="1" t="n">
        <v>45926</v>
      </c>
      <c r="D436" t="inlineStr">
        <is>
          <t>JÄMTLANDS LÄN</t>
        </is>
      </c>
      <c r="E436" t="inlineStr">
        <is>
          <t>RAGUNDA</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44755-2024</t>
        </is>
      </c>
      <c r="B437" s="1" t="n">
        <v>45574.61184027778</v>
      </c>
      <c r="C437" s="1" t="n">
        <v>45926</v>
      </c>
      <c r="D437" t="inlineStr">
        <is>
          <t>JÄMTLANDS LÄN</t>
        </is>
      </c>
      <c r="E437" t="inlineStr">
        <is>
          <t>RAGUNDA</t>
        </is>
      </c>
      <c r="G437" t="n">
        <v>4.4</v>
      </c>
      <c r="H437" t="n">
        <v>0</v>
      </c>
      <c r="I437" t="n">
        <v>0</v>
      </c>
      <c r="J437" t="n">
        <v>0</v>
      </c>
      <c r="K437" t="n">
        <v>0</v>
      </c>
      <c r="L437" t="n">
        <v>0</v>
      </c>
      <c r="M437" t="n">
        <v>0</v>
      </c>
      <c r="N437" t="n">
        <v>0</v>
      </c>
      <c r="O437" t="n">
        <v>0</v>
      </c>
      <c r="P437" t="n">
        <v>0</v>
      </c>
      <c r="Q437" t="n">
        <v>0</v>
      </c>
      <c r="R437" s="2" t="inlineStr"/>
    </row>
    <row r="438" ht="15" customHeight="1">
      <c r="A438" t="inlineStr">
        <is>
          <t>A 44766-2024</t>
        </is>
      </c>
      <c r="B438" s="1" t="n">
        <v>45574.62297453704</v>
      </c>
      <c r="C438" s="1" t="n">
        <v>45926</v>
      </c>
      <c r="D438" t="inlineStr">
        <is>
          <t>JÄMTLANDS LÄN</t>
        </is>
      </c>
      <c r="E438" t="inlineStr">
        <is>
          <t>RAGUNDA</t>
        </is>
      </c>
      <c r="G438" t="n">
        <v>3.2</v>
      </c>
      <c r="H438" t="n">
        <v>0</v>
      </c>
      <c r="I438" t="n">
        <v>0</v>
      </c>
      <c r="J438" t="n">
        <v>0</v>
      </c>
      <c r="K438" t="n">
        <v>0</v>
      </c>
      <c r="L438" t="n">
        <v>0</v>
      </c>
      <c r="M438" t="n">
        <v>0</v>
      </c>
      <c r="N438" t="n">
        <v>0</v>
      </c>
      <c r="O438" t="n">
        <v>0</v>
      </c>
      <c r="P438" t="n">
        <v>0</v>
      </c>
      <c r="Q438" t="n">
        <v>0</v>
      </c>
      <c r="R438" s="2" t="inlineStr"/>
    </row>
    <row r="439" ht="15" customHeight="1">
      <c r="A439" t="inlineStr">
        <is>
          <t>A 16676-2022</t>
        </is>
      </c>
      <c r="B439" s="1" t="n">
        <v>44672.94018518519</v>
      </c>
      <c r="C439" s="1" t="n">
        <v>45926</v>
      </c>
      <c r="D439" t="inlineStr">
        <is>
          <t>JÄMTLANDS LÄN</t>
        </is>
      </c>
      <c r="E439" t="inlineStr">
        <is>
          <t>RAGUNDA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11252-2025</t>
        </is>
      </c>
      <c r="B440" s="1" t="n">
        <v>45726.38615740741</v>
      </c>
      <c r="C440" s="1" t="n">
        <v>45926</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22569-2023</t>
        </is>
      </c>
      <c r="B441" s="1" t="n">
        <v>45069</v>
      </c>
      <c r="C441" s="1" t="n">
        <v>45926</v>
      </c>
      <c r="D441" t="inlineStr">
        <is>
          <t>JÄMTLANDS LÄN</t>
        </is>
      </c>
      <c r="E441" t="inlineStr">
        <is>
          <t>RAGUNDA</t>
        </is>
      </c>
      <c r="G441" t="n">
        <v>6.6</v>
      </c>
      <c r="H441" t="n">
        <v>0</v>
      </c>
      <c r="I441" t="n">
        <v>0</v>
      </c>
      <c r="J441" t="n">
        <v>0</v>
      </c>
      <c r="K441" t="n">
        <v>0</v>
      </c>
      <c r="L441" t="n">
        <v>0</v>
      </c>
      <c r="M441" t="n">
        <v>0</v>
      </c>
      <c r="N441" t="n">
        <v>0</v>
      </c>
      <c r="O441" t="n">
        <v>0</v>
      </c>
      <c r="P441" t="n">
        <v>0</v>
      </c>
      <c r="Q441" t="n">
        <v>0</v>
      </c>
      <c r="R441" s="2" t="inlineStr"/>
    </row>
    <row r="442" ht="15" customHeight="1">
      <c r="A442" t="inlineStr">
        <is>
          <t>A 55536-2024</t>
        </is>
      </c>
      <c r="B442" s="1" t="n">
        <v>45622</v>
      </c>
      <c r="C442" s="1" t="n">
        <v>45926</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44597-2024</t>
        </is>
      </c>
      <c r="B443" s="1" t="n">
        <v>45574.51087962963</v>
      </c>
      <c r="C443" s="1" t="n">
        <v>45926</v>
      </c>
      <c r="D443" t="inlineStr">
        <is>
          <t>JÄMTLANDS LÄN</t>
        </is>
      </c>
      <c r="E443" t="inlineStr">
        <is>
          <t>RAGUNDA</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44598-2024</t>
        </is>
      </c>
      <c r="B444" s="1" t="n">
        <v>45574.51090277778</v>
      </c>
      <c r="C444" s="1" t="n">
        <v>45926</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11048-2023</t>
        </is>
      </c>
      <c r="B445" s="1" t="n">
        <v>44991</v>
      </c>
      <c r="C445" s="1" t="n">
        <v>45926</v>
      </c>
      <c r="D445" t="inlineStr">
        <is>
          <t>JÄMTLANDS LÄN</t>
        </is>
      </c>
      <c r="E445" t="inlineStr">
        <is>
          <t>RAGUNDA</t>
        </is>
      </c>
      <c r="F445" t="inlineStr">
        <is>
          <t>SCA</t>
        </is>
      </c>
      <c r="G445" t="n">
        <v>13.5</v>
      </c>
      <c r="H445" t="n">
        <v>0</v>
      </c>
      <c r="I445" t="n">
        <v>0</v>
      </c>
      <c r="J445" t="n">
        <v>0</v>
      </c>
      <c r="K445" t="n">
        <v>0</v>
      </c>
      <c r="L445" t="n">
        <v>0</v>
      </c>
      <c r="M445" t="n">
        <v>0</v>
      </c>
      <c r="N445" t="n">
        <v>0</v>
      </c>
      <c r="O445" t="n">
        <v>0</v>
      </c>
      <c r="P445" t="n">
        <v>0</v>
      </c>
      <c r="Q445" t="n">
        <v>0</v>
      </c>
      <c r="R445" s="2" t="inlineStr"/>
    </row>
    <row r="446" ht="15" customHeight="1">
      <c r="A446" t="inlineStr">
        <is>
          <t>A 11062-2023</t>
        </is>
      </c>
      <c r="B446" s="1" t="n">
        <v>44991</v>
      </c>
      <c r="C446" s="1" t="n">
        <v>45926</v>
      </c>
      <c r="D446" t="inlineStr">
        <is>
          <t>JÄMTLANDS LÄN</t>
        </is>
      </c>
      <c r="E446" t="inlineStr">
        <is>
          <t>RAGUNDA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57064-2024</t>
        </is>
      </c>
      <c r="B447" s="1" t="n">
        <v>45629.35326388889</v>
      </c>
      <c r="C447" s="1" t="n">
        <v>45926</v>
      </c>
      <c r="D447" t="inlineStr">
        <is>
          <t>JÄMTLANDS LÄN</t>
        </is>
      </c>
      <c r="E447" t="inlineStr">
        <is>
          <t>RAGUNDA</t>
        </is>
      </c>
      <c r="F447" t="inlineStr">
        <is>
          <t>Naturvårdsverket</t>
        </is>
      </c>
      <c r="G447" t="n">
        <v>0.5</v>
      </c>
      <c r="H447" t="n">
        <v>0</v>
      </c>
      <c r="I447" t="n">
        <v>0</v>
      </c>
      <c r="J447" t="n">
        <v>0</v>
      </c>
      <c r="K447" t="n">
        <v>0</v>
      </c>
      <c r="L447" t="n">
        <v>0</v>
      </c>
      <c r="M447" t="n">
        <v>0</v>
      </c>
      <c r="N447" t="n">
        <v>0</v>
      </c>
      <c r="O447" t="n">
        <v>0</v>
      </c>
      <c r="P447" t="n">
        <v>0</v>
      </c>
      <c r="Q447" t="n">
        <v>0</v>
      </c>
      <c r="R447" s="2" t="inlineStr"/>
    </row>
    <row r="448" ht="15" customHeight="1">
      <c r="A448" t="inlineStr">
        <is>
          <t>A 18610-2024</t>
        </is>
      </c>
      <c r="B448" s="1" t="n">
        <v>45425.96230324074</v>
      </c>
      <c r="C448" s="1" t="n">
        <v>45926</v>
      </c>
      <c r="D448" t="inlineStr">
        <is>
          <t>JÄMTLANDS LÄN</t>
        </is>
      </c>
      <c r="E448" t="inlineStr">
        <is>
          <t>RAGUNDA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57116-2024</t>
        </is>
      </c>
      <c r="B449" s="1" t="n">
        <v>45629.36513888889</v>
      </c>
      <c r="C449" s="1" t="n">
        <v>45926</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57889-2024</t>
        </is>
      </c>
      <c r="B450" s="1" t="n">
        <v>45631.46665509259</v>
      </c>
      <c r="C450" s="1" t="n">
        <v>45926</v>
      </c>
      <c r="D450" t="inlineStr">
        <is>
          <t>JÄMTLANDS LÄN</t>
        </is>
      </c>
      <c r="E450" t="inlineStr">
        <is>
          <t>RAGUNDA</t>
        </is>
      </c>
      <c r="G450" t="n">
        <v>11.1</v>
      </c>
      <c r="H450" t="n">
        <v>0</v>
      </c>
      <c r="I450" t="n">
        <v>0</v>
      </c>
      <c r="J450" t="n">
        <v>0</v>
      </c>
      <c r="K450" t="n">
        <v>0</v>
      </c>
      <c r="L450" t="n">
        <v>0</v>
      </c>
      <c r="M450" t="n">
        <v>0</v>
      </c>
      <c r="N450" t="n">
        <v>0</v>
      </c>
      <c r="O450" t="n">
        <v>0</v>
      </c>
      <c r="P450" t="n">
        <v>0</v>
      </c>
      <c r="Q450" t="n">
        <v>0</v>
      </c>
      <c r="R450" s="2" t="inlineStr"/>
    </row>
    <row r="451" ht="15" customHeight="1">
      <c r="A451" t="inlineStr">
        <is>
          <t>A 3104-2025</t>
        </is>
      </c>
      <c r="B451" s="1" t="n">
        <v>45678.67761574074</v>
      </c>
      <c r="C451" s="1" t="n">
        <v>45926</v>
      </c>
      <c r="D451" t="inlineStr">
        <is>
          <t>JÄMTLANDS LÄN</t>
        </is>
      </c>
      <c r="E451" t="inlineStr">
        <is>
          <t>RAGUNDA</t>
        </is>
      </c>
      <c r="F451" t="inlineStr">
        <is>
          <t>SCA</t>
        </is>
      </c>
      <c r="G451" t="n">
        <v>46.2</v>
      </c>
      <c r="H451" t="n">
        <v>0</v>
      </c>
      <c r="I451" t="n">
        <v>0</v>
      </c>
      <c r="J451" t="n">
        <v>0</v>
      </c>
      <c r="K451" t="n">
        <v>0</v>
      </c>
      <c r="L451" t="n">
        <v>0</v>
      </c>
      <c r="M451" t="n">
        <v>0</v>
      </c>
      <c r="N451" t="n">
        <v>0</v>
      </c>
      <c r="O451" t="n">
        <v>0</v>
      </c>
      <c r="P451" t="n">
        <v>0</v>
      </c>
      <c r="Q451" t="n">
        <v>0</v>
      </c>
      <c r="R451" s="2" t="inlineStr"/>
    </row>
    <row r="452" ht="15" customHeight="1">
      <c r="A452" t="inlineStr">
        <is>
          <t>A 10120-2022</t>
        </is>
      </c>
      <c r="B452" s="1" t="n">
        <v>44621</v>
      </c>
      <c r="C452" s="1" t="n">
        <v>45926</v>
      </c>
      <c r="D452" t="inlineStr">
        <is>
          <t>JÄMTLANDS LÄN</t>
        </is>
      </c>
      <c r="E452" t="inlineStr">
        <is>
          <t>RAGUNDA</t>
        </is>
      </c>
      <c r="G452" t="n">
        <v>0.4</v>
      </c>
      <c r="H452" t="n">
        <v>0</v>
      </c>
      <c r="I452" t="n">
        <v>0</v>
      </c>
      <c r="J452" t="n">
        <v>0</v>
      </c>
      <c r="K452" t="n">
        <v>0</v>
      </c>
      <c r="L452" t="n">
        <v>0</v>
      </c>
      <c r="M452" t="n">
        <v>0</v>
      </c>
      <c r="N452" t="n">
        <v>0</v>
      </c>
      <c r="O452" t="n">
        <v>0</v>
      </c>
      <c r="P452" t="n">
        <v>0</v>
      </c>
      <c r="Q452" t="n">
        <v>0</v>
      </c>
      <c r="R452" s="2" t="inlineStr"/>
    </row>
    <row r="453" ht="15" customHeight="1">
      <c r="A453" t="inlineStr">
        <is>
          <t>A 13964-2022</t>
        </is>
      </c>
      <c r="B453" s="1" t="n">
        <v>44650</v>
      </c>
      <c r="C453" s="1" t="n">
        <v>45926</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40246-2024</t>
        </is>
      </c>
      <c r="B454" s="1" t="n">
        <v>45554.61583333334</v>
      </c>
      <c r="C454" s="1" t="n">
        <v>45926</v>
      </c>
      <c r="D454" t="inlineStr">
        <is>
          <t>JÄMTLANDS LÄN</t>
        </is>
      </c>
      <c r="E454" t="inlineStr">
        <is>
          <t>RAGUNDA</t>
        </is>
      </c>
      <c r="G454" t="n">
        <v>1</v>
      </c>
      <c r="H454" t="n">
        <v>0</v>
      </c>
      <c r="I454" t="n">
        <v>0</v>
      </c>
      <c r="J454" t="n">
        <v>0</v>
      </c>
      <c r="K454" t="n">
        <v>0</v>
      </c>
      <c r="L454" t="n">
        <v>0</v>
      </c>
      <c r="M454" t="n">
        <v>0</v>
      </c>
      <c r="N454" t="n">
        <v>0</v>
      </c>
      <c r="O454" t="n">
        <v>0</v>
      </c>
      <c r="P454" t="n">
        <v>0</v>
      </c>
      <c r="Q454" t="n">
        <v>0</v>
      </c>
      <c r="R454" s="2" t="inlineStr"/>
    </row>
    <row r="455" ht="15" customHeight="1">
      <c r="A455" t="inlineStr">
        <is>
          <t>A 4878-2022</t>
        </is>
      </c>
      <c r="B455" s="1" t="n">
        <v>44593</v>
      </c>
      <c r="C455" s="1" t="n">
        <v>45926</v>
      </c>
      <c r="D455" t="inlineStr">
        <is>
          <t>JÄMTLANDS LÄN</t>
        </is>
      </c>
      <c r="E455" t="inlineStr">
        <is>
          <t>RAGUNDA</t>
        </is>
      </c>
      <c r="G455" t="n">
        <v>21.7</v>
      </c>
      <c r="H455" t="n">
        <v>0</v>
      </c>
      <c r="I455" t="n">
        <v>0</v>
      </c>
      <c r="J455" t="n">
        <v>0</v>
      </c>
      <c r="K455" t="n">
        <v>0</v>
      </c>
      <c r="L455" t="n">
        <v>0</v>
      </c>
      <c r="M455" t="n">
        <v>0</v>
      </c>
      <c r="N455" t="n">
        <v>0</v>
      </c>
      <c r="O455" t="n">
        <v>0</v>
      </c>
      <c r="P455" t="n">
        <v>0</v>
      </c>
      <c r="Q455" t="n">
        <v>0</v>
      </c>
      <c r="R455" s="2" t="inlineStr"/>
    </row>
    <row r="456" ht="15" customHeight="1">
      <c r="A456" t="inlineStr">
        <is>
          <t>A 57237-2022</t>
        </is>
      </c>
      <c r="B456" s="1" t="n">
        <v>44889</v>
      </c>
      <c r="C456" s="1" t="n">
        <v>45926</v>
      </c>
      <c r="D456" t="inlineStr">
        <is>
          <t>JÄMTLANDS LÄN</t>
        </is>
      </c>
      <c r="E456" t="inlineStr">
        <is>
          <t>RAGUNDA</t>
        </is>
      </c>
      <c r="G456" t="n">
        <v>2.2</v>
      </c>
      <c r="H456" t="n">
        <v>0</v>
      </c>
      <c r="I456" t="n">
        <v>0</v>
      </c>
      <c r="J456" t="n">
        <v>0</v>
      </c>
      <c r="K456" t="n">
        <v>0</v>
      </c>
      <c r="L456" t="n">
        <v>0</v>
      </c>
      <c r="M456" t="n">
        <v>0</v>
      </c>
      <c r="N456" t="n">
        <v>0</v>
      </c>
      <c r="O456" t="n">
        <v>0</v>
      </c>
      <c r="P456" t="n">
        <v>0</v>
      </c>
      <c r="Q456" t="n">
        <v>0</v>
      </c>
      <c r="R456" s="2" t="inlineStr"/>
    </row>
    <row r="457" ht="15" customHeight="1">
      <c r="A457" t="inlineStr">
        <is>
          <t>A 55524-2024</t>
        </is>
      </c>
      <c r="B457" s="1" t="n">
        <v>45622.47435185185</v>
      </c>
      <c r="C457" s="1" t="n">
        <v>45926</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60629-2023</t>
        </is>
      </c>
      <c r="B458" s="1" t="n">
        <v>45259</v>
      </c>
      <c r="C458" s="1" t="n">
        <v>45926</v>
      </c>
      <c r="D458" t="inlineStr">
        <is>
          <t>JÄMTLANDS LÄN</t>
        </is>
      </c>
      <c r="E458" t="inlineStr">
        <is>
          <t>RAGUNDA</t>
        </is>
      </c>
      <c r="G458" t="n">
        <v>3.4</v>
      </c>
      <c r="H458" t="n">
        <v>0</v>
      </c>
      <c r="I458" t="n">
        <v>0</v>
      </c>
      <c r="J458" t="n">
        <v>0</v>
      </c>
      <c r="K458" t="n">
        <v>0</v>
      </c>
      <c r="L458" t="n">
        <v>0</v>
      </c>
      <c r="M458" t="n">
        <v>0</v>
      </c>
      <c r="N458" t="n">
        <v>0</v>
      </c>
      <c r="O458" t="n">
        <v>0</v>
      </c>
      <c r="P458" t="n">
        <v>0</v>
      </c>
      <c r="Q458" t="n">
        <v>0</v>
      </c>
      <c r="R458" s="2" t="inlineStr"/>
    </row>
    <row r="459" ht="15" customHeight="1">
      <c r="A459" t="inlineStr">
        <is>
          <t>A 2133-2023</t>
        </is>
      </c>
      <c r="B459" s="1" t="n">
        <v>44939</v>
      </c>
      <c r="C459" s="1" t="n">
        <v>45926</v>
      </c>
      <c r="D459" t="inlineStr">
        <is>
          <t>JÄMTLANDS LÄN</t>
        </is>
      </c>
      <c r="E459" t="inlineStr">
        <is>
          <t>RAGUNDA</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19419-2024</t>
        </is>
      </c>
      <c r="B460" s="1" t="n">
        <v>45429</v>
      </c>
      <c r="C460" s="1" t="n">
        <v>45926</v>
      </c>
      <c r="D460" t="inlineStr">
        <is>
          <t>JÄMTLANDS LÄN</t>
        </is>
      </c>
      <c r="E460" t="inlineStr">
        <is>
          <t>RAGUNDA</t>
        </is>
      </c>
      <c r="G460" t="n">
        <v>3.5</v>
      </c>
      <c r="H460" t="n">
        <v>0</v>
      </c>
      <c r="I460" t="n">
        <v>0</v>
      </c>
      <c r="J460" t="n">
        <v>0</v>
      </c>
      <c r="K460" t="n">
        <v>0</v>
      </c>
      <c r="L460" t="n">
        <v>0</v>
      </c>
      <c r="M460" t="n">
        <v>0</v>
      </c>
      <c r="N460" t="n">
        <v>0</v>
      </c>
      <c r="O460" t="n">
        <v>0</v>
      </c>
      <c r="P460" t="n">
        <v>0</v>
      </c>
      <c r="Q460" t="n">
        <v>0</v>
      </c>
      <c r="R460" s="2" t="inlineStr"/>
    </row>
    <row r="461" ht="15" customHeight="1">
      <c r="A461" t="inlineStr">
        <is>
          <t>A 25332-2023</t>
        </is>
      </c>
      <c r="B461" s="1" t="n">
        <v>45086.94010416666</v>
      </c>
      <c r="C461" s="1" t="n">
        <v>45926</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29920-2024</t>
        </is>
      </c>
      <c r="B462" s="1" t="n">
        <v>45487.92856481481</v>
      </c>
      <c r="C462" s="1" t="n">
        <v>45926</v>
      </c>
      <c r="D462" t="inlineStr">
        <is>
          <t>JÄMTLANDS LÄN</t>
        </is>
      </c>
      <c r="E462" t="inlineStr">
        <is>
          <t>RAGUNDA</t>
        </is>
      </c>
      <c r="G462" t="n">
        <v>3.4</v>
      </c>
      <c r="H462" t="n">
        <v>0</v>
      </c>
      <c r="I462" t="n">
        <v>0</v>
      </c>
      <c r="J462" t="n">
        <v>0</v>
      </c>
      <c r="K462" t="n">
        <v>0</v>
      </c>
      <c r="L462" t="n">
        <v>0</v>
      </c>
      <c r="M462" t="n">
        <v>0</v>
      </c>
      <c r="N462" t="n">
        <v>0</v>
      </c>
      <c r="O462" t="n">
        <v>0</v>
      </c>
      <c r="P462" t="n">
        <v>0</v>
      </c>
      <c r="Q462" t="n">
        <v>0</v>
      </c>
      <c r="R462" s="2" t="inlineStr"/>
    </row>
    <row r="463" ht="15" customHeight="1">
      <c r="A463" t="inlineStr">
        <is>
          <t>A 3767-2025</t>
        </is>
      </c>
      <c r="B463" s="1" t="n">
        <v>45681.60203703704</v>
      </c>
      <c r="C463" s="1" t="n">
        <v>45926</v>
      </c>
      <c r="D463" t="inlineStr">
        <is>
          <t>JÄMTLANDS LÄN</t>
        </is>
      </c>
      <c r="E463" t="inlineStr">
        <is>
          <t>RAGUNDA</t>
        </is>
      </c>
      <c r="G463" t="n">
        <v>4.9</v>
      </c>
      <c r="H463" t="n">
        <v>0</v>
      </c>
      <c r="I463" t="n">
        <v>0</v>
      </c>
      <c r="J463" t="n">
        <v>0</v>
      </c>
      <c r="K463" t="n">
        <v>0</v>
      </c>
      <c r="L463" t="n">
        <v>0</v>
      </c>
      <c r="M463" t="n">
        <v>0</v>
      </c>
      <c r="N463" t="n">
        <v>0</v>
      </c>
      <c r="O463" t="n">
        <v>0</v>
      </c>
      <c r="P463" t="n">
        <v>0</v>
      </c>
      <c r="Q463" t="n">
        <v>0</v>
      </c>
      <c r="R463" s="2" t="inlineStr"/>
    </row>
    <row r="464" ht="15" customHeight="1">
      <c r="A464" t="inlineStr">
        <is>
          <t>A 7280-2024</t>
        </is>
      </c>
      <c r="B464" s="1" t="n">
        <v>45344</v>
      </c>
      <c r="C464" s="1" t="n">
        <v>45926</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44778-2024</t>
        </is>
      </c>
      <c r="B465" s="1" t="n">
        <v>45574.63355324074</v>
      </c>
      <c r="C465" s="1" t="n">
        <v>45926</v>
      </c>
      <c r="D465" t="inlineStr">
        <is>
          <t>JÄMTLANDS LÄN</t>
        </is>
      </c>
      <c r="E465" t="inlineStr">
        <is>
          <t>RAGUNDA</t>
        </is>
      </c>
      <c r="G465" t="n">
        <v>5.5</v>
      </c>
      <c r="H465" t="n">
        <v>0</v>
      </c>
      <c r="I465" t="n">
        <v>0</v>
      </c>
      <c r="J465" t="n">
        <v>0</v>
      </c>
      <c r="K465" t="n">
        <v>0</v>
      </c>
      <c r="L465" t="n">
        <v>0</v>
      </c>
      <c r="M465" t="n">
        <v>0</v>
      </c>
      <c r="N465" t="n">
        <v>0</v>
      </c>
      <c r="O465" t="n">
        <v>0</v>
      </c>
      <c r="P465" t="n">
        <v>0</v>
      </c>
      <c r="Q465" t="n">
        <v>0</v>
      </c>
      <c r="R465" s="2" t="inlineStr"/>
    </row>
    <row r="466" ht="15" customHeight="1">
      <c r="A466" t="inlineStr">
        <is>
          <t>A 44066-2024</t>
        </is>
      </c>
      <c r="B466" s="1" t="n">
        <v>45572.60363425926</v>
      </c>
      <c r="C466" s="1" t="n">
        <v>45926</v>
      </c>
      <c r="D466" t="inlineStr">
        <is>
          <t>JÄMTLANDS LÄN</t>
        </is>
      </c>
      <c r="E466" t="inlineStr">
        <is>
          <t>RAGUNDA</t>
        </is>
      </c>
      <c r="G466" t="n">
        <v>6.4</v>
      </c>
      <c r="H466" t="n">
        <v>0</v>
      </c>
      <c r="I466" t="n">
        <v>0</v>
      </c>
      <c r="J466" t="n">
        <v>0</v>
      </c>
      <c r="K466" t="n">
        <v>0</v>
      </c>
      <c r="L466" t="n">
        <v>0</v>
      </c>
      <c r="M466" t="n">
        <v>0</v>
      </c>
      <c r="N466" t="n">
        <v>0</v>
      </c>
      <c r="O466" t="n">
        <v>0</v>
      </c>
      <c r="P466" t="n">
        <v>0</v>
      </c>
      <c r="Q466" t="n">
        <v>0</v>
      </c>
      <c r="R466" s="2" t="inlineStr"/>
    </row>
    <row r="467" ht="15" customHeight="1">
      <c r="A467" t="inlineStr">
        <is>
          <t>A 2673-2024</t>
        </is>
      </c>
      <c r="B467" s="1" t="n">
        <v>45314</v>
      </c>
      <c r="C467" s="1" t="n">
        <v>45926</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64492-2023</t>
        </is>
      </c>
      <c r="B468" s="1" t="n">
        <v>45280.92645833334</v>
      </c>
      <c r="C468" s="1" t="n">
        <v>45926</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14368-2024</t>
        </is>
      </c>
      <c r="B469" s="1" t="n">
        <v>45393.94431712963</v>
      </c>
      <c r="C469" s="1" t="n">
        <v>45926</v>
      </c>
      <c r="D469" t="inlineStr">
        <is>
          <t>JÄMTLANDS LÄN</t>
        </is>
      </c>
      <c r="E469" t="inlineStr">
        <is>
          <t>RAGUNDA</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19383-2025</t>
        </is>
      </c>
      <c r="B470" s="1" t="n">
        <v>45769.65688657408</v>
      </c>
      <c r="C470" s="1" t="n">
        <v>45926</v>
      </c>
      <c r="D470" t="inlineStr">
        <is>
          <t>JÄMTLANDS LÄN</t>
        </is>
      </c>
      <c r="E470" t="inlineStr">
        <is>
          <t>RAGUNDA</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49229-2024</t>
        </is>
      </c>
      <c r="B471" s="1" t="n">
        <v>45595.42738425926</v>
      </c>
      <c r="C471" s="1" t="n">
        <v>45926</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13700-2023</t>
        </is>
      </c>
      <c r="B472" s="1" t="n">
        <v>45006</v>
      </c>
      <c r="C472" s="1" t="n">
        <v>45926</v>
      </c>
      <c r="D472" t="inlineStr">
        <is>
          <t>JÄMTLANDS LÄN</t>
        </is>
      </c>
      <c r="E472" t="inlineStr">
        <is>
          <t>RAGUNDA</t>
        </is>
      </c>
      <c r="F472" t="inlineStr">
        <is>
          <t>SCA</t>
        </is>
      </c>
      <c r="G472" t="n">
        <v>50.3</v>
      </c>
      <c r="H472" t="n">
        <v>0</v>
      </c>
      <c r="I472" t="n">
        <v>0</v>
      </c>
      <c r="J472" t="n">
        <v>0</v>
      </c>
      <c r="K472" t="n">
        <v>0</v>
      </c>
      <c r="L472" t="n">
        <v>0</v>
      </c>
      <c r="M472" t="n">
        <v>0</v>
      </c>
      <c r="N472" t="n">
        <v>0</v>
      </c>
      <c r="O472" t="n">
        <v>0</v>
      </c>
      <c r="P472" t="n">
        <v>0</v>
      </c>
      <c r="Q472" t="n">
        <v>0</v>
      </c>
      <c r="R472" s="2" t="inlineStr"/>
    </row>
    <row r="473" ht="15" customHeight="1">
      <c r="A473" t="inlineStr">
        <is>
          <t>A 19438-2023</t>
        </is>
      </c>
      <c r="B473" s="1" t="n">
        <v>45049</v>
      </c>
      <c r="C473" s="1" t="n">
        <v>45926</v>
      </c>
      <c r="D473" t="inlineStr">
        <is>
          <t>JÄMTLANDS LÄN</t>
        </is>
      </c>
      <c r="E473" t="inlineStr">
        <is>
          <t>RAGUNDA</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51389-2024</t>
        </is>
      </c>
      <c r="B474" s="1" t="n">
        <v>45604.40540509259</v>
      </c>
      <c r="C474" s="1" t="n">
        <v>45926</v>
      </c>
      <c r="D474" t="inlineStr">
        <is>
          <t>JÄMTLANDS LÄN</t>
        </is>
      </c>
      <c r="E474" t="inlineStr">
        <is>
          <t>RAGUNDA</t>
        </is>
      </c>
      <c r="G474" t="n">
        <v>1.7</v>
      </c>
      <c r="H474" t="n">
        <v>0</v>
      </c>
      <c r="I474" t="n">
        <v>0</v>
      </c>
      <c r="J474" t="n">
        <v>0</v>
      </c>
      <c r="K474" t="n">
        <v>0</v>
      </c>
      <c r="L474" t="n">
        <v>0</v>
      </c>
      <c r="M474" t="n">
        <v>0</v>
      </c>
      <c r="N474" t="n">
        <v>0</v>
      </c>
      <c r="O474" t="n">
        <v>0</v>
      </c>
      <c r="P474" t="n">
        <v>0</v>
      </c>
      <c r="Q474" t="n">
        <v>0</v>
      </c>
      <c r="R474" s="2" t="inlineStr"/>
    </row>
    <row r="475" ht="15" customHeight="1">
      <c r="A475" t="inlineStr">
        <is>
          <t>A 51393-2024</t>
        </is>
      </c>
      <c r="B475" s="1" t="n">
        <v>45604.41625</v>
      </c>
      <c r="C475" s="1" t="n">
        <v>45926</v>
      </c>
      <c r="D475" t="inlineStr">
        <is>
          <t>JÄMTLANDS LÄN</t>
        </is>
      </c>
      <c r="E475" t="inlineStr">
        <is>
          <t>RAGUNDA</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22388-2025</t>
        </is>
      </c>
      <c r="B476" s="1" t="n">
        <v>45786.51077546296</v>
      </c>
      <c r="C476" s="1" t="n">
        <v>45926</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9187-2022</t>
        </is>
      </c>
      <c r="B477" s="1" t="n">
        <v>44615</v>
      </c>
      <c r="C477" s="1" t="n">
        <v>45926</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12783-2023</t>
        </is>
      </c>
      <c r="B478" s="1" t="n">
        <v>45000</v>
      </c>
      <c r="C478" s="1" t="n">
        <v>45926</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57713-2020</t>
        </is>
      </c>
      <c r="B479" s="1" t="n">
        <v>44140</v>
      </c>
      <c r="C479" s="1" t="n">
        <v>45926</v>
      </c>
      <c r="D479" t="inlineStr">
        <is>
          <t>JÄMTLANDS LÄN</t>
        </is>
      </c>
      <c r="E479" t="inlineStr">
        <is>
          <t>RAGUNDA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53171-2024</t>
        </is>
      </c>
      <c r="B480" s="1" t="n">
        <v>45611.65679398148</v>
      </c>
      <c r="C480" s="1" t="n">
        <v>45926</v>
      </c>
      <c r="D480" t="inlineStr">
        <is>
          <t>JÄMTLANDS LÄN</t>
        </is>
      </c>
      <c r="E480" t="inlineStr">
        <is>
          <t>RAGUNDA</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7279-2024</t>
        </is>
      </c>
      <c r="B481" s="1" t="n">
        <v>45344.92822916667</v>
      </c>
      <c r="C481" s="1" t="n">
        <v>45926</v>
      </c>
      <c r="D481" t="inlineStr">
        <is>
          <t>JÄMTLANDS LÄN</t>
        </is>
      </c>
      <c r="E481" t="inlineStr">
        <is>
          <t>RAGUNDA</t>
        </is>
      </c>
      <c r="G481" t="n">
        <v>2.1</v>
      </c>
      <c r="H481" t="n">
        <v>0</v>
      </c>
      <c r="I481" t="n">
        <v>0</v>
      </c>
      <c r="J481" t="n">
        <v>0</v>
      </c>
      <c r="K481" t="n">
        <v>0</v>
      </c>
      <c r="L481" t="n">
        <v>0</v>
      </c>
      <c r="M481" t="n">
        <v>0</v>
      </c>
      <c r="N481" t="n">
        <v>0</v>
      </c>
      <c r="O481" t="n">
        <v>0</v>
      </c>
      <c r="P481" t="n">
        <v>0</v>
      </c>
      <c r="Q481" t="n">
        <v>0</v>
      </c>
      <c r="R481" s="2" t="inlineStr"/>
    </row>
    <row r="482" ht="15" customHeight="1">
      <c r="A482" t="inlineStr">
        <is>
          <t>A 6177-2022</t>
        </is>
      </c>
      <c r="B482" s="1" t="n">
        <v>44599.98685185185</v>
      </c>
      <c r="C482" s="1" t="n">
        <v>45926</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20987-2023</t>
        </is>
      </c>
      <c r="B483" s="1" t="n">
        <v>45056</v>
      </c>
      <c r="C483" s="1" t="n">
        <v>45926</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20994-2023</t>
        </is>
      </c>
      <c r="B484" s="1" t="n">
        <v>45056</v>
      </c>
      <c r="C484" s="1" t="n">
        <v>45926</v>
      </c>
      <c r="D484" t="inlineStr">
        <is>
          <t>JÄMTLANDS LÄN</t>
        </is>
      </c>
      <c r="E484" t="inlineStr">
        <is>
          <t>RAGUNDA</t>
        </is>
      </c>
      <c r="G484" t="n">
        <v>1.3</v>
      </c>
      <c r="H484" t="n">
        <v>0</v>
      </c>
      <c r="I484" t="n">
        <v>0</v>
      </c>
      <c r="J484" t="n">
        <v>0</v>
      </c>
      <c r="K484" t="n">
        <v>0</v>
      </c>
      <c r="L484" t="n">
        <v>0</v>
      </c>
      <c r="M484" t="n">
        <v>0</v>
      </c>
      <c r="N484" t="n">
        <v>0</v>
      </c>
      <c r="O484" t="n">
        <v>0</v>
      </c>
      <c r="P484" t="n">
        <v>0</v>
      </c>
      <c r="Q484" t="n">
        <v>0</v>
      </c>
      <c r="R484" s="2" t="inlineStr"/>
    </row>
    <row r="485" ht="15" customHeight="1">
      <c r="A485" t="inlineStr">
        <is>
          <t>A 54599-2023</t>
        </is>
      </c>
      <c r="B485" s="1" t="n">
        <v>45233.92591435185</v>
      </c>
      <c r="C485" s="1" t="n">
        <v>45926</v>
      </c>
      <c r="D485" t="inlineStr">
        <is>
          <t>JÄMTLANDS LÄN</t>
        </is>
      </c>
      <c r="E485" t="inlineStr">
        <is>
          <t>RAGUNDA</t>
        </is>
      </c>
      <c r="G485" t="n">
        <v>3.7</v>
      </c>
      <c r="H485" t="n">
        <v>0</v>
      </c>
      <c r="I485" t="n">
        <v>0</v>
      </c>
      <c r="J485" t="n">
        <v>0</v>
      </c>
      <c r="K485" t="n">
        <v>0</v>
      </c>
      <c r="L485" t="n">
        <v>0</v>
      </c>
      <c r="M485" t="n">
        <v>0</v>
      </c>
      <c r="N485" t="n">
        <v>0</v>
      </c>
      <c r="O485" t="n">
        <v>0</v>
      </c>
      <c r="P485" t="n">
        <v>0</v>
      </c>
      <c r="Q485" t="n">
        <v>0</v>
      </c>
      <c r="R485" s="2" t="inlineStr"/>
    </row>
    <row r="486" ht="15" customHeight="1">
      <c r="A486" t="inlineStr">
        <is>
          <t>A 55669-2023</t>
        </is>
      </c>
      <c r="B486" s="1" t="n">
        <v>45238.96797453704</v>
      </c>
      <c r="C486" s="1" t="n">
        <v>45926</v>
      </c>
      <c r="D486" t="inlineStr">
        <is>
          <t>JÄMTLANDS LÄN</t>
        </is>
      </c>
      <c r="E486" t="inlineStr">
        <is>
          <t>RAGUNDA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32063-2024</t>
        </is>
      </c>
      <c r="B487" s="1" t="n">
        <v>45510</v>
      </c>
      <c r="C487" s="1" t="n">
        <v>45926</v>
      </c>
      <c r="D487" t="inlineStr">
        <is>
          <t>JÄMTLANDS LÄN</t>
        </is>
      </c>
      <c r="E487" t="inlineStr">
        <is>
          <t>RAGUNDA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10641-2024</t>
        </is>
      </c>
      <c r="B488" s="1" t="n">
        <v>45367.69850694444</v>
      </c>
      <c r="C488" s="1" t="n">
        <v>45926</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10644-2024</t>
        </is>
      </c>
      <c r="B489" s="1" t="n">
        <v>45367.71348379629</v>
      </c>
      <c r="C489" s="1" t="n">
        <v>45926</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45926</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17742-2022</t>
        </is>
      </c>
      <c r="B491" s="1" t="n">
        <v>44680.95246527778</v>
      </c>
      <c r="C491" s="1" t="n">
        <v>45926</v>
      </c>
      <c r="D491" t="inlineStr">
        <is>
          <t>JÄMTLANDS LÄN</t>
        </is>
      </c>
      <c r="E491" t="inlineStr">
        <is>
          <t>RAGUNDA</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12660-2024</t>
        </is>
      </c>
      <c r="B492" s="1" t="n">
        <v>45384</v>
      </c>
      <c r="C492" s="1" t="n">
        <v>45926</v>
      </c>
      <c r="D492" t="inlineStr">
        <is>
          <t>JÄMTLANDS LÄN</t>
        </is>
      </c>
      <c r="E492" t="inlineStr">
        <is>
          <t>RAGUNDA</t>
        </is>
      </c>
      <c r="G492" t="n">
        <v>1.3</v>
      </c>
      <c r="H492" t="n">
        <v>0</v>
      </c>
      <c r="I492" t="n">
        <v>0</v>
      </c>
      <c r="J492" t="n">
        <v>0</v>
      </c>
      <c r="K492" t="n">
        <v>0</v>
      </c>
      <c r="L492" t="n">
        <v>0</v>
      </c>
      <c r="M492" t="n">
        <v>0</v>
      </c>
      <c r="N492" t="n">
        <v>0</v>
      </c>
      <c r="O492" t="n">
        <v>0</v>
      </c>
      <c r="P492" t="n">
        <v>0</v>
      </c>
      <c r="Q492" t="n">
        <v>0</v>
      </c>
      <c r="R492" s="2" t="inlineStr"/>
    </row>
    <row r="493" ht="15" customHeight="1">
      <c r="A493" t="inlineStr">
        <is>
          <t>A 55649-2023</t>
        </is>
      </c>
      <c r="B493" s="1" t="n">
        <v>45238</v>
      </c>
      <c r="C493" s="1" t="n">
        <v>45926</v>
      </c>
      <c r="D493" t="inlineStr">
        <is>
          <t>JÄMTLANDS LÄN</t>
        </is>
      </c>
      <c r="E493" t="inlineStr">
        <is>
          <t>RAGUNDA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22898-2025</t>
        </is>
      </c>
      <c r="B494" s="1" t="n">
        <v>45790.40670138889</v>
      </c>
      <c r="C494" s="1" t="n">
        <v>45926</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30825-2023</t>
        </is>
      </c>
      <c r="B495" s="1" t="n">
        <v>45112.94310185185</v>
      </c>
      <c r="C495" s="1" t="n">
        <v>45926</v>
      </c>
      <c r="D495" t="inlineStr">
        <is>
          <t>JÄMTLANDS LÄN</t>
        </is>
      </c>
      <c r="E495" t="inlineStr">
        <is>
          <t>RAGUNDA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52345-2024</t>
        </is>
      </c>
      <c r="B496" s="1" t="n">
        <v>45609.34412037037</v>
      </c>
      <c r="C496" s="1" t="n">
        <v>45926</v>
      </c>
      <c r="D496" t="inlineStr">
        <is>
          <t>JÄMTLANDS LÄN</t>
        </is>
      </c>
      <c r="E496" t="inlineStr">
        <is>
          <t>RAGUNDA</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23253-2025</t>
        </is>
      </c>
      <c r="B497" s="1" t="n">
        <v>45791.53238425926</v>
      </c>
      <c r="C497" s="1" t="n">
        <v>45926</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12521-2023</t>
        </is>
      </c>
      <c r="B498" s="1" t="n">
        <v>45000</v>
      </c>
      <c r="C498" s="1" t="n">
        <v>45926</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23413-2025</t>
        </is>
      </c>
      <c r="B499" s="1" t="n">
        <v>45792.34606481482</v>
      </c>
      <c r="C499" s="1" t="n">
        <v>45926</v>
      </c>
      <c r="D499" t="inlineStr">
        <is>
          <t>JÄMTLANDS LÄN</t>
        </is>
      </c>
      <c r="E499" t="inlineStr">
        <is>
          <t>RAGUNDA</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22655-2021</t>
        </is>
      </c>
      <c r="B500" s="1" t="n">
        <v>44322</v>
      </c>
      <c r="C500" s="1" t="n">
        <v>45926</v>
      </c>
      <c r="D500" t="inlineStr">
        <is>
          <t>JÄMTLANDS LÄN</t>
        </is>
      </c>
      <c r="E500" t="inlineStr">
        <is>
          <t>RAGUNDA</t>
        </is>
      </c>
      <c r="G500" t="n">
        <v>5.8</v>
      </c>
      <c r="H500" t="n">
        <v>0</v>
      </c>
      <c r="I500" t="n">
        <v>0</v>
      </c>
      <c r="J500" t="n">
        <v>0</v>
      </c>
      <c r="K500" t="n">
        <v>0</v>
      </c>
      <c r="L500" t="n">
        <v>0</v>
      </c>
      <c r="M500" t="n">
        <v>0</v>
      </c>
      <c r="N500" t="n">
        <v>0</v>
      </c>
      <c r="O500" t="n">
        <v>0</v>
      </c>
      <c r="P500" t="n">
        <v>0</v>
      </c>
      <c r="Q500" t="n">
        <v>0</v>
      </c>
      <c r="R500" s="2" t="inlineStr"/>
    </row>
    <row r="501" ht="15" customHeight="1">
      <c r="A501" t="inlineStr">
        <is>
          <t>A 23586-2025</t>
        </is>
      </c>
      <c r="B501" s="1" t="n">
        <v>45792.63584490741</v>
      </c>
      <c r="C501" s="1" t="n">
        <v>45926</v>
      </c>
      <c r="D501" t="inlineStr">
        <is>
          <t>JÄMTLANDS LÄN</t>
        </is>
      </c>
      <c r="E501" t="inlineStr">
        <is>
          <t>RAGUNDA</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23841-2025</t>
        </is>
      </c>
      <c r="B502" s="1" t="n">
        <v>45793.61523148148</v>
      </c>
      <c r="C502" s="1" t="n">
        <v>45926</v>
      </c>
      <c r="D502" t="inlineStr">
        <is>
          <t>JÄMTLANDS LÄN</t>
        </is>
      </c>
      <c r="E502" t="inlineStr">
        <is>
          <t>RAGUNDA</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9084-2023</t>
        </is>
      </c>
      <c r="B503" s="1" t="n">
        <v>44979</v>
      </c>
      <c r="C503" s="1" t="n">
        <v>45926</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23507-2025</t>
        </is>
      </c>
      <c r="B504" s="1" t="n">
        <v>45792.49023148148</v>
      </c>
      <c r="C504" s="1" t="n">
        <v>45926</v>
      </c>
      <c r="D504" t="inlineStr">
        <is>
          <t>JÄMTLANDS LÄN</t>
        </is>
      </c>
      <c r="E504" t="inlineStr">
        <is>
          <t>RAGUNDA</t>
        </is>
      </c>
      <c r="F504" t="inlineStr">
        <is>
          <t>SCA</t>
        </is>
      </c>
      <c r="G504" t="n">
        <v>16.4</v>
      </c>
      <c r="H504" t="n">
        <v>0</v>
      </c>
      <c r="I504" t="n">
        <v>0</v>
      </c>
      <c r="J504" t="n">
        <v>0</v>
      </c>
      <c r="K504" t="n">
        <v>0</v>
      </c>
      <c r="L504" t="n">
        <v>0</v>
      </c>
      <c r="M504" t="n">
        <v>0</v>
      </c>
      <c r="N504" t="n">
        <v>0</v>
      </c>
      <c r="O504" t="n">
        <v>0</v>
      </c>
      <c r="P504" t="n">
        <v>0</v>
      </c>
      <c r="Q504" t="n">
        <v>0</v>
      </c>
      <c r="R504" s="2" t="inlineStr"/>
    </row>
    <row r="505" ht="15" customHeight="1">
      <c r="A505" t="inlineStr">
        <is>
          <t>A 23840-2025</t>
        </is>
      </c>
      <c r="B505" s="1" t="n">
        <v>45793</v>
      </c>
      <c r="C505" s="1" t="n">
        <v>45926</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29319-2023</t>
        </is>
      </c>
      <c r="B506" s="1" t="n">
        <v>45105</v>
      </c>
      <c r="C506" s="1" t="n">
        <v>45926</v>
      </c>
      <c r="D506" t="inlineStr">
        <is>
          <t>JÄMTLANDS LÄN</t>
        </is>
      </c>
      <c r="E506" t="inlineStr">
        <is>
          <t>RAGUNDA</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23654-2025</t>
        </is>
      </c>
      <c r="B507" s="1" t="n">
        <v>45792.71905092592</v>
      </c>
      <c r="C507" s="1" t="n">
        <v>45926</v>
      </c>
      <c r="D507" t="inlineStr">
        <is>
          <t>JÄMTLANDS LÄN</t>
        </is>
      </c>
      <c r="E507" t="inlineStr">
        <is>
          <t>RAGUNDA</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9326-2024</t>
        </is>
      </c>
      <c r="B508" s="1" t="n">
        <v>45358.95818287037</v>
      </c>
      <c r="C508" s="1" t="n">
        <v>45926</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18612-2024</t>
        </is>
      </c>
      <c r="B509" s="1" t="n">
        <v>45425.96239583333</v>
      </c>
      <c r="C509" s="1" t="n">
        <v>45926</v>
      </c>
      <c r="D509" t="inlineStr">
        <is>
          <t>JÄMTLANDS LÄN</t>
        </is>
      </c>
      <c r="E509" t="inlineStr">
        <is>
          <t>RAGUNDA</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7520-2023</t>
        </is>
      </c>
      <c r="B510" s="1" t="n">
        <v>44971</v>
      </c>
      <c r="C510" s="1" t="n">
        <v>45926</v>
      </c>
      <c r="D510" t="inlineStr">
        <is>
          <t>JÄMTLANDS LÄN</t>
        </is>
      </c>
      <c r="E510" t="inlineStr">
        <is>
          <t>RAGUNDA</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21662-2023</t>
        </is>
      </c>
      <c r="B511" s="1" t="n">
        <v>45063</v>
      </c>
      <c r="C511" s="1" t="n">
        <v>45926</v>
      </c>
      <c r="D511" t="inlineStr">
        <is>
          <t>JÄMTLANDS LÄN</t>
        </is>
      </c>
      <c r="E511" t="inlineStr">
        <is>
          <t>RAGUNDA</t>
        </is>
      </c>
      <c r="G511" t="n">
        <v>1.8</v>
      </c>
      <c r="H511" t="n">
        <v>0</v>
      </c>
      <c r="I511" t="n">
        <v>0</v>
      </c>
      <c r="J511" t="n">
        <v>0</v>
      </c>
      <c r="K511" t="n">
        <v>0</v>
      </c>
      <c r="L511" t="n">
        <v>0</v>
      </c>
      <c r="M511" t="n">
        <v>0</v>
      </c>
      <c r="N511" t="n">
        <v>0</v>
      </c>
      <c r="O511" t="n">
        <v>0</v>
      </c>
      <c r="P511" t="n">
        <v>0</v>
      </c>
      <c r="Q511" t="n">
        <v>0</v>
      </c>
      <c r="R511" s="2" t="inlineStr"/>
    </row>
    <row r="512" ht="15" customHeight="1">
      <c r="A512" t="inlineStr">
        <is>
          <t>A 23405-2025</t>
        </is>
      </c>
      <c r="B512" s="1" t="n">
        <v>45792.34527777778</v>
      </c>
      <c r="C512" s="1" t="n">
        <v>45926</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464-2023</t>
        </is>
      </c>
      <c r="B513" s="1" t="n">
        <v>44929.92489583333</v>
      </c>
      <c r="C513" s="1" t="n">
        <v>45926</v>
      </c>
      <c r="D513" t="inlineStr">
        <is>
          <t>JÄMTLANDS LÄN</t>
        </is>
      </c>
      <c r="E513" t="inlineStr">
        <is>
          <t>RAGUNDA</t>
        </is>
      </c>
      <c r="G513" t="n">
        <v>1.4</v>
      </c>
      <c r="H513" t="n">
        <v>0</v>
      </c>
      <c r="I513" t="n">
        <v>0</v>
      </c>
      <c r="J513" t="n">
        <v>0</v>
      </c>
      <c r="K513" t="n">
        <v>0</v>
      </c>
      <c r="L513" t="n">
        <v>0</v>
      </c>
      <c r="M513" t="n">
        <v>0</v>
      </c>
      <c r="N513" t="n">
        <v>0</v>
      </c>
      <c r="O513" t="n">
        <v>0</v>
      </c>
      <c r="P513" t="n">
        <v>0</v>
      </c>
      <c r="Q513" t="n">
        <v>0</v>
      </c>
      <c r="R513" s="2" t="inlineStr"/>
    </row>
    <row r="514" ht="15" customHeight="1">
      <c r="A514" t="inlineStr">
        <is>
          <t>A 21194-2022</t>
        </is>
      </c>
      <c r="B514" s="1" t="n">
        <v>44704.9422337963</v>
      </c>
      <c r="C514" s="1" t="n">
        <v>45926</v>
      </c>
      <c r="D514" t="inlineStr">
        <is>
          <t>JÄMTLANDS LÄN</t>
        </is>
      </c>
      <c r="E514" t="inlineStr">
        <is>
          <t>RAGUNDA</t>
        </is>
      </c>
      <c r="F514" t="inlineStr">
        <is>
          <t>SCA</t>
        </is>
      </c>
      <c r="G514" t="n">
        <v>10.6</v>
      </c>
      <c r="H514" t="n">
        <v>0</v>
      </c>
      <c r="I514" t="n">
        <v>0</v>
      </c>
      <c r="J514" t="n">
        <v>0</v>
      </c>
      <c r="K514" t="n">
        <v>0</v>
      </c>
      <c r="L514" t="n">
        <v>0</v>
      </c>
      <c r="M514" t="n">
        <v>0</v>
      </c>
      <c r="N514" t="n">
        <v>0</v>
      </c>
      <c r="O514" t="n">
        <v>0</v>
      </c>
      <c r="P514" t="n">
        <v>0</v>
      </c>
      <c r="Q514" t="n">
        <v>0</v>
      </c>
      <c r="R514" s="2" t="inlineStr"/>
    </row>
    <row r="515" ht="15" customHeight="1">
      <c r="A515" t="inlineStr">
        <is>
          <t>A 53769-2023</t>
        </is>
      </c>
      <c r="B515" s="1" t="n">
        <v>45230</v>
      </c>
      <c r="C515" s="1" t="n">
        <v>45926</v>
      </c>
      <c r="D515" t="inlineStr">
        <is>
          <t>JÄMTLANDS LÄN</t>
        </is>
      </c>
      <c r="E515" t="inlineStr">
        <is>
          <t>RAGUNDA</t>
        </is>
      </c>
      <c r="F515" t="inlineStr">
        <is>
          <t>SCA</t>
        </is>
      </c>
      <c r="G515" t="n">
        <v>11.6</v>
      </c>
      <c r="H515" t="n">
        <v>0</v>
      </c>
      <c r="I515" t="n">
        <v>0</v>
      </c>
      <c r="J515" t="n">
        <v>0</v>
      </c>
      <c r="K515" t="n">
        <v>0</v>
      </c>
      <c r="L515" t="n">
        <v>0</v>
      </c>
      <c r="M515" t="n">
        <v>0</v>
      </c>
      <c r="N515" t="n">
        <v>0</v>
      </c>
      <c r="O515" t="n">
        <v>0</v>
      </c>
      <c r="P515" t="n">
        <v>0</v>
      </c>
      <c r="Q515" t="n">
        <v>0</v>
      </c>
      <c r="R515" s="2" t="inlineStr"/>
    </row>
    <row r="516" ht="15" customHeight="1">
      <c r="A516" t="inlineStr">
        <is>
          <t>A 52228-2024</t>
        </is>
      </c>
      <c r="B516" s="1" t="n">
        <v>45608.6078587963</v>
      </c>
      <c r="C516" s="1" t="n">
        <v>45926</v>
      </c>
      <c r="D516" t="inlineStr">
        <is>
          <t>JÄMTLANDS LÄN</t>
        </is>
      </c>
      <c r="E516" t="inlineStr">
        <is>
          <t>RAGUNDA</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60313-2021</t>
        </is>
      </c>
      <c r="B517" s="1" t="n">
        <v>44495</v>
      </c>
      <c r="C517" s="1" t="n">
        <v>45926</v>
      </c>
      <c r="D517" t="inlineStr">
        <is>
          <t>JÄMTLANDS LÄN</t>
        </is>
      </c>
      <c r="E517" t="inlineStr">
        <is>
          <t>RAGUNDA</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44727-2024</t>
        </is>
      </c>
      <c r="B518" s="1" t="n">
        <v>45574.57967592592</v>
      </c>
      <c r="C518" s="1" t="n">
        <v>45926</v>
      </c>
      <c r="D518" t="inlineStr">
        <is>
          <t>JÄMTLANDS LÄN</t>
        </is>
      </c>
      <c r="E518" t="inlineStr">
        <is>
          <t>RAGUNDA</t>
        </is>
      </c>
      <c r="G518" t="n">
        <v>4.7</v>
      </c>
      <c r="H518" t="n">
        <v>0</v>
      </c>
      <c r="I518" t="n">
        <v>0</v>
      </c>
      <c r="J518" t="n">
        <v>0</v>
      </c>
      <c r="K518" t="n">
        <v>0</v>
      </c>
      <c r="L518" t="n">
        <v>0</v>
      </c>
      <c r="M518" t="n">
        <v>0</v>
      </c>
      <c r="N518" t="n">
        <v>0</v>
      </c>
      <c r="O518" t="n">
        <v>0</v>
      </c>
      <c r="P518" t="n">
        <v>0</v>
      </c>
      <c r="Q518" t="n">
        <v>0</v>
      </c>
      <c r="R518" s="2" t="inlineStr"/>
    </row>
    <row r="519" ht="15" customHeight="1">
      <c r="A519" t="inlineStr">
        <is>
          <t>A 18284-2025</t>
        </is>
      </c>
      <c r="B519" s="1" t="n">
        <v>45762.39876157408</v>
      </c>
      <c r="C519" s="1" t="n">
        <v>45926</v>
      </c>
      <c r="D519" t="inlineStr">
        <is>
          <t>JÄMTLANDS LÄN</t>
        </is>
      </c>
      <c r="E519" t="inlineStr">
        <is>
          <t>RAGUNDA</t>
        </is>
      </c>
      <c r="G519" t="n">
        <v>0.2</v>
      </c>
      <c r="H519" t="n">
        <v>0</v>
      </c>
      <c r="I519" t="n">
        <v>0</v>
      </c>
      <c r="J519" t="n">
        <v>0</v>
      </c>
      <c r="K519" t="n">
        <v>0</v>
      </c>
      <c r="L519" t="n">
        <v>0</v>
      </c>
      <c r="M519" t="n">
        <v>0</v>
      </c>
      <c r="N519" t="n">
        <v>0</v>
      </c>
      <c r="O519" t="n">
        <v>0</v>
      </c>
      <c r="P519" t="n">
        <v>0</v>
      </c>
      <c r="Q519" t="n">
        <v>0</v>
      </c>
      <c r="R519" s="2" t="inlineStr"/>
      <c r="U519">
        <f>HYPERLINK("https://klasma.github.io/Logging_2303/knärot/A 18284-2025 karta knärot.png", "A 18284-2025")</f>
        <v/>
      </c>
      <c r="V519">
        <f>HYPERLINK("https://klasma.github.io/Logging_2303/klagomål/A 18284-2025 FSC-klagomål.docx", "A 18284-2025")</f>
        <v/>
      </c>
      <c r="W519">
        <f>HYPERLINK("https://klasma.github.io/Logging_2303/klagomålsmail/A 18284-2025 FSC-klagomål mail.docx", "A 18284-2025")</f>
        <v/>
      </c>
      <c r="X519">
        <f>HYPERLINK("https://klasma.github.io/Logging_2303/tillsyn/A 18284-2025 tillsynsbegäran.docx", "A 18284-2025")</f>
        <v/>
      </c>
      <c r="Y519">
        <f>HYPERLINK("https://klasma.github.io/Logging_2303/tillsynsmail/A 18284-2025 tillsynsbegäran mail.docx", "A 18284-2025")</f>
        <v/>
      </c>
    </row>
    <row r="520" ht="15" customHeight="1">
      <c r="A520" t="inlineStr">
        <is>
          <t>A 19263-2025</t>
        </is>
      </c>
      <c r="B520" s="1" t="n">
        <v>45769.51075231482</v>
      </c>
      <c r="C520" s="1" t="n">
        <v>45926</v>
      </c>
      <c r="D520" t="inlineStr">
        <is>
          <t>JÄMTLANDS LÄN</t>
        </is>
      </c>
      <c r="E520" t="inlineStr">
        <is>
          <t>RAGUNDA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24158-2025</t>
        </is>
      </c>
      <c r="B521" s="1" t="n">
        <v>45796</v>
      </c>
      <c r="C521" s="1" t="n">
        <v>45926</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row>
    <row r="522" ht="15" customHeight="1">
      <c r="A522" t="inlineStr">
        <is>
          <t>A 24161-2025</t>
        </is>
      </c>
      <c r="B522" s="1" t="n">
        <v>45796</v>
      </c>
      <c r="C522" s="1" t="n">
        <v>45926</v>
      </c>
      <c r="D522" t="inlineStr">
        <is>
          <t>JÄMTLANDS LÄN</t>
        </is>
      </c>
      <c r="E522" t="inlineStr">
        <is>
          <t>RAGUNDA</t>
        </is>
      </c>
      <c r="G522" t="n">
        <v>2.4</v>
      </c>
      <c r="H522" t="n">
        <v>0</v>
      </c>
      <c r="I522" t="n">
        <v>0</v>
      </c>
      <c r="J522" t="n">
        <v>0</v>
      </c>
      <c r="K522" t="n">
        <v>0</v>
      </c>
      <c r="L522" t="n">
        <v>0</v>
      </c>
      <c r="M522" t="n">
        <v>0</v>
      </c>
      <c r="N522" t="n">
        <v>0</v>
      </c>
      <c r="O522" t="n">
        <v>0</v>
      </c>
      <c r="P522" t="n">
        <v>0</v>
      </c>
      <c r="Q522" t="n">
        <v>0</v>
      </c>
      <c r="R522" s="2" t="inlineStr"/>
    </row>
    <row r="523" ht="15" customHeight="1">
      <c r="A523" t="inlineStr">
        <is>
          <t>A 2242-2024</t>
        </is>
      </c>
      <c r="B523" s="1" t="n">
        <v>45309</v>
      </c>
      <c r="C523" s="1" t="n">
        <v>45926</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2248-2024</t>
        </is>
      </c>
      <c r="B524" s="1" t="n">
        <v>45309</v>
      </c>
      <c r="C524" s="1" t="n">
        <v>45926</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21083-2024</t>
        </is>
      </c>
      <c r="B525" s="1" t="n">
        <v>45439.92752314815</v>
      </c>
      <c r="C525" s="1" t="n">
        <v>45926</v>
      </c>
      <c r="D525" t="inlineStr">
        <is>
          <t>JÄMTLANDS LÄN</t>
        </is>
      </c>
      <c r="E525" t="inlineStr">
        <is>
          <t>RAGUNDA</t>
        </is>
      </c>
      <c r="G525" t="n">
        <v>1.5</v>
      </c>
      <c r="H525" t="n">
        <v>0</v>
      </c>
      <c r="I525" t="n">
        <v>0</v>
      </c>
      <c r="J525" t="n">
        <v>0</v>
      </c>
      <c r="K525" t="n">
        <v>0</v>
      </c>
      <c r="L525" t="n">
        <v>0</v>
      </c>
      <c r="M525" t="n">
        <v>0</v>
      </c>
      <c r="N525" t="n">
        <v>0</v>
      </c>
      <c r="O525" t="n">
        <v>0</v>
      </c>
      <c r="P525" t="n">
        <v>0</v>
      </c>
      <c r="Q525" t="n">
        <v>0</v>
      </c>
      <c r="R525" s="2" t="inlineStr"/>
    </row>
    <row r="526" ht="15" customHeight="1">
      <c r="A526" t="inlineStr">
        <is>
          <t>A 462-2023</t>
        </is>
      </c>
      <c r="B526" s="1" t="n">
        <v>44929</v>
      </c>
      <c r="C526" s="1" t="n">
        <v>45926</v>
      </c>
      <c r="D526" t="inlineStr">
        <is>
          <t>JÄMTLANDS LÄN</t>
        </is>
      </c>
      <c r="E526" t="inlineStr">
        <is>
          <t>RAGUNDA</t>
        </is>
      </c>
      <c r="G526" t="n">
        <v>4.5</v>
      </c>
      <c r="H526" t="n">
        <v>0</v>
      </c>
      <c r="I526" t="n">
        <v>0</v>
      </c>
      <c r="J526" t="n">
        <v>0</v>
      </c>
      <c r="K526" t="n">
        <v>0</v>
      </c>
      <c r="L526" t="n">
        <v>0</v>
      </c>
      <c r="M526" t="n">
        <v>0</v>
      </c>
      <c r="N526" t="n">
        <v>0</v>
      </c>
      <c r="O526" t="n">
        <v>0</v>
      </c>
      <c r="P526" t="n">
        <v>0</v>
      </c>
      <c r="Q526" t="n">
        <v>0</v>
      </c>
      <c r="R526" s="2" t="inlineStr"/>
    </row>
    <row r="527" ht="15" customHeight="1">
      <c r="A527" t="inlineStr">
        <is>
          <t>A 12050-2023</t>
        </is>
      </c>
      <c r="B527" s="1" t="n">
        <v>44995.98644675926</v>
      </c>
      <c r="C527" s="1" t="n">
        <v>45926</v>
      </c>
      <c r="D527" t="inlineStr">
        <is>
          <t>JÄMTLANDS LÄN</t>
        </is>
      </c>
      <c r="E527" t="inlineStr">
        <is>
          <t>RAGUNDA</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62358-2023</t>
        </is>
      </c>
      <c r="B528" s="1" t="n">
        <v>45267</v>
      </c>
      <c r="C528" s="1" t="n">
        <v>45926</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56193-2022</t>
        </is>
      </c>
      <c r="B529" s="1" t="n">
        <v>44889</v>
      </c>
      <c r="C529" s="1" t="n">
        <v>45926</v>
      </c>
      <c r="D529" t="inlineStr">
        <is>
          <t>JÄMTLANDS LÄN</t>
        </is>
      </c>
      <c r="E529" t="inlineStr">
        <is>
          <t>RAGUNDA</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5515-2022</t>
        </is>
      </c>
      <c r="B530" s="1" t="n">
        <v>44595</v>
      </c>
      <c r="C530" s="1" t="n">
        <v>45926</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18820-2023</t>
        </is>
      </c>
      <c r="B531" s="1" t="n">
        <v>45042</v>
      </c>
      <c r="C531" s="1" t="n">
        <v>45926</v>
      </c>
      <c r="D531" t="inlineStr">
        <is>
          <t>JÄMTLANDS LÄN</t>
        </is>
      </c>
      <c r="E531" t="inlineStr">
        <is>
          <t>RAGUNDA</t>
        </is>
      </c>
      <c r="G531" t="n">
        <v>18.8</v>
      </c>
      <c r="H531" t="n">
        <v>0</v>
      </c>
      <c r="I531" t="n">
        <v>0</v>
      </c>
      <c r="J531" t="n">
        <v>0</v>
      </c>
      <c r="K531" t="n">
        <v>0</v>
      </c>
      <c r="L531" t="n">
        <v>0</v>
      </c>
      <c r="M531" t="n">
        <v>0</v>
      </c>
      <c r="N531" t="n">
        <v>0</v>
      </c>
      <c r="O531" t="n">
        <v>0</v>
      </c>
      <c r="P531" t="n">
        <v>0</v>
      </c>
      <c r="Q531" t="n">
        <v>0</v>
      </c>
      <c r="R531" s="2" t="inlineStr"/>
    </row>
    <row r="532" ht="15" customHeight="1">
      <c r="A532" t="inlineStr">
        <is>
          <t>A 49648-2023</t>
        </is>
      </c>
      <c r="B532" s="1" t="n">
        <v>45211.95061342593</v>
      </c>
      <c r="C532" s="1" t="n">
        <v>45926</v>
      </c>
      <c r="D532" t="inlineStr">
        <is>
          <t>JÄMTLANDS LÄN</t>
        </is>
      </c>
      <c r="E532" t="inlineStr">
        <is>
          <t>RAGUNDA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51537-2022</t>
        </is>
      </c>
      <c r="B533" s="1" t="n">
        <v>44869</v>
      </c>
      <c r="C533" s="1" t="n">
        <v>45926</v>
      </c>
      <c r="D533" t="inlineStr">
        <is>
          <t>JÄMTLANDS LÄN</t>
        </is>
      </c>
      <c r="E533" t="inlineStr">
        <is>
          <t>RAGUNDA</t>
        </is>
      </c>
      <c r="G533" t="n">
        <v>1.8</v>
      </c>
      <c r="H533" t="n">
        <v>0</v>
      </c>
      <c r="I533" t="n">
        <v>0</v>
      </c>
      <c r="J533" t="n">
        <v>0</v>
      </c>
      <c r="K533" t="n">
        <v>0</v>
      </c>
      <c r="L533" t="n">
        <v>0</v>
      </c>
      <c r="M533" t="n">
        <v>0</v>
      </c>
      <c r="N533" t="n">
        <v>0</v>
      </c>
      <c r="O533" t="n">
        <v>0</v>
      </c>
      <c r="P533" t="n">
        <v>0</v>
      </c>
      <c r="Q533" t="n">
        <v>0</v>
      </c>
      <c r="R533" s="2" t="inlineStr"/>
    </row>
    <row r="534" ht="15" customHeight="1">
      <c r="A534" t="inlineStr">
        <is>
          <t>A 59044-2022</t>
        </is>
      </c>
      <c r="B534" s="1" t="n">
        <v>44903</v>
      </c>
      <c r="C534" s="1" t="n">
        <v>45926</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5958-2023</t>
        </is>
      </c>
      <c r="B535" s="1" t="n">
        <v>44963</v>
      </c>
      <c r="C535" s="1" t="n">
        <v>45926</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8779-2025</t>
        </is>
      </c>
      <c r="B536" s="1" t="n">
        <v>45712.61552083334</v>
      </c>
      <c r="C536" s="1" t="n">
        <v>45926</v>
      </c>
      <c r="D536" t="inlineStr">
        <is>
          <t>JÄMTLANDS LÄN</t>
        </is>
      </c>
      <c r="E536" t="inlineStr">
        <is>
          <t>RAGUNDA</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61400-2022</t>
        </is>
      </c>
      <c r="B537" s="1" t="n">
        <v>44915</v>
      </c>
      <c r="C537" s="1" t="n">
        <v>45926</v>
      </c>
      <c r="D537" t="inlineStr">
        <is>
          <t>JÄMTLANDS LÄN</t>
        </is>
      </c>
      <c r="E537" t="inlineStr">
        <is>
          <t>RAGUNDA</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4348-2023</t>
        </is>
      </c>
      <c r="B538" s="1" t="n">
        <v>44953</v>
      </c>
      <c r="C538" s="1" t="n">
        <v>45926</v>
      </c>
      <c r="D538" t="inlineStr">
        <is>
          <t>JÄMTLANDS LÄN</t>
        </is>
      </c>
      <c r="E538" t="inlineStr">
        <is>
          <t>RAGUNDA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24159-2025</t>
        </is>
      </c>
      <c r="B539" s="1" t="n">
        <v>45796</v>
      </c>
      <c r="C539" s="1" t="n">
        <v>45926</v>
      </c>
      <c r="D539" t="inlineStr">
        <is>
          <t>JÄMTLANDS LÄN</t>
        </is>
      </c>
      <c r="E539" t="inlineStr">
        <is>
          <t>RAGUNDA</t>
        </is>
      </c>
      <c r="G539" t="n">
        <v>0.8</v>
      </c>
      <c r="H539" t="n">
        <v>0</v>
      </c>
      <c r="I539" t="n">
        <v>0</v>
      </c>
      <c r="J539" t="n">
        <v>0</v>
      </c>
      <c r="K539" t="n">
        <v>0</v>
      </c>
      <c r="L539" t="n">
        <v>0</v>
      </c>
      <c r="M539" t="n">
        <v>0</v>
      </c>
      <c r="N539" t="n">
        <v>0</v>
      </c>
      <c r="O539" t="n">
        <v>0</v>
      </c>
      <c r="P539" t="n">
        <v>0</v>
      </c>
      <c r="Q539" t="n">
        <v>0</v>
      </c>
      <c r="R539" s="2" t="inlineStr"/>
    </row>
    <row r="540" ht="15" customHeight="1">
      <c r="A540" t="inlineStr">
        <is>
          <t>A 56286-2023</t>
        </is>
      </c>
      <c r="B540" s="1" t="n">
        <v>45241.95741898148</v>
      </c>
      <c r="C540" s="1" t="n">
        <v>45926</v>
      </c>
      <c r="D540" t="inlineStr">
        <is>
          <t>JÄMTLANDS LÄN</t>
        </is>
      </c>
      <c r="E540" t="inlineStr">
        <is>
          <t>RAGUNDA</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56287-2023</t>
        </is>
      </c>
      <c r="B541" s="1" t="n">
        <v>45241</v>
      </c>
      <c r="C541" s="1" t="n">
        <v>45926</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19264-2025</t>
        </is>
      </c>
      <c r="B542" s="1" t="n">
        <v>45769.51087962963</v>
      </c>
      <c r="C542" s="1" t="n">
        <v>45926</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24391-2025</t>
        </is>
      </c>
      <c r="B543" s="1" t="n">
        <v>45797.63627314815</v>
      </c>
      <c r="C543" s="1" t="n">
        <v>45926</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29263-2024</t>
        </is>
      </c>
      <c r="B544" s="1" t="n">
        <v>45482.94891203703</v>
      </c>
      <c r="C544" s="1" t="n">
        <v>45926</v>
      </c>
      <c r="D544" t="inlineStr">
        <is>
          <t>JÄMTLANDS LÄN</t>
        </is>
      </c>
      <c r="E544" t="inlineStr">
        <is>
          <t>RAGUNDA</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8800-2025</t>
        </is>
      </c>
      <c r="B545" s="1" t="n">
        <v>45712.65671296296</v>
      </c>
      <c r="C545" s="1" t="n">
        <v>45926</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62135-2024</t>
        </is>
      </c>
      <c r="B546" s="1" t="n">
        <v>45656.64223379629</v>
      </c>
      <c r="C546" s="1" t="n">
        <v>45926</v>
      </c>
      <c r="D546" t="inlineStr">
        <is>
          <t>JÄMTLANDS LÄN</t>
        </is>
      </c>
      <c r="E546" t="inlineStr">
        <is>
          <t>RAGUNDA</t>
        </is>
      </c>
      <c r="G546" t="n">
        <v>1.5</v>
      </c>
      <c r="H546" t="n">
        <v>0</v>
      </c>
      <c r="I546" t="n">
        <v>0</v>
      </c>
      <c r="J546" t="n">
        <v>0</v>
      </c>
      <c r="K546" t="n">
        <v>0</v>
      </c>
      <c r="L546" t="n">
        <v>0</v>
      </c>
      <c r="M546" t="n">
        <v>0</v>
      </c>
      <c r="N546" t="n">
        <v>0</v>
      </c>
      <c r="O546" t="n">
        <v>0</v>
      </c>
      <c r="P546" t="n">
        <v>0</v>
      </c>
      <c r="Q546" t="n">
        <v>0</v>
      </c>
      <c r="R546" s="2" t="inlineStr"/>
    </row>
    <row r="547" ht="15" customHeight="1">
      <c r="A547" t="inlineStr">
        <is>
          <t>A 29265-2024</t>
        </is>
      </c>
      <c r="B547" s="1" t="n">
        <v>45482.9491087963</v>
      </c>
      <c r="C547" s="1" t="n">
        <v>45926</v>
      </c>
      <c r="D547" t="inlineStr">
        <is>
          <t>JÄMTLANDS LÄN</t>
        </is>
      </c>
      <c r="E547" t="inlineStr">
        <is>
          <t>RAGUNDA</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18248-2023</t>
        </is>
      </c>
      <c r="B548" s="1" t="n">
        <v>45040</v>
      </c>
      <c r="C548" s="1" t="n">
        <v>45926</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27291-2022</t>
        </is>
      </c>
      <c r="B549" s="1" t="n">
        <v>44741.94070601852</v>
      </c>
      <c r="C549" s="1" t="n">
        <v>45926</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8802-2022</t>
        </is>
      </c>
      <c r="B550" s="1" t="n">
        <v>44614</v>
      </c>
      <c r="C550" s="1" t="n">
        <v>45926</v>
      </c>
      <c r="D550" t="inlineStr">
        <is>
          <t>JÄMTLANDS LÄN</t>
        </is>
      </c>
      <c r="E550" t="inlineStr">
        <is>
          <t>RAGUNDA</t>
        </is>
      </c>
      <c r="G550" t="n">
        <v>2.8</v>
      </c>
      <c r="H550" t="n">
        <v>0</v>
      </c>
      <c r="I550" t="n">
        <v>0</v>
      </c>
      <c r="J550" t="n">
        <v>0</v>
      </c>
      <c r="K550" t="n">
        <v>0</v>
      </c>
      <c r="L550" t="n">
        <v>0</v>
      </c>
      <c r="M550" t="n">
        <v>0</v>
      </c>
      <c r="N550" t="n">
        <v>0</v>
      </c>
      <c r="O550" t="n">
        <v>0</v>
      </c>
      <c r="P550" t="n">
        <v>0</v>
      </c>
      <c r="Q550" t="n">
        <v>0</v>
      </c>
      <c r="R550" s="2" t="inlineStr"/>
    </row>
    <row r="551" ht="15" customHeight="1">
      <c r="A551" t="inlineStr">
        <is>
          <t>A 8776-2025</t>
        </is>
      </c>
      <c r="B551" s="1" t="n">
        <v>45712.61510416667</v>
      </c>
      <c r="C551" s="1" t="n">
        <v>45926</v>
      </c>
      <c r="D551" t="inlineStr">
        <is>
          <t>JÄMTLANDS LÄN</t>
        </is>
      </c>
      <c r="E551" t="inlineStr">
        <is>
          <t>RAGUNDA</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39489-2023</t>
        </is>
      </c>
      <c r="B552" s="1" t="n">
        <v>45166</v>
      </c>
      <c r="C552" s="1" t="n">
        <v>45926</v>
      </c>
      <c r="D552" t="inlineStr">
        <is>
          <t>JÄMTLANDS LÄN</t>
        </is>
      </c>
      <c r="E552" t="inlineStr">
        <is>
          <t>RAGUNDA</t>
        </is>
      </c>
      <c r="G552" t="n">
        <v>5</v>
      </c>
      <c r="H552" t="n">
        <v>0</v>
      </c>
      <c r="I552" t="n">
        <v>0</v>
      </c>
      <c r="J552" t="n">
        <v>0</v>
      </c>
      <c r="K552" t="n">
        <v>0</v>
      </c>
      <c r="L552" t="n">
        <v>0</v>
      </c>
      <c r="M552" t="n">
        <v>0</v>
      </c>
      <c r="N552" t="n">
        <v>0</v>
      </c>
      <c r="O552" t="n">
        <v>0</v>
      </c>
      <c r="P552" t="n">
        <v>0</v>
      </c>
      <c r="Q552" t="n">
        <v>0</v>
      </c>
      <c r="R552" s="2" t="inlineStr"/>
    </row>
    <row r="553" ht="15" customHeight="1">
      <c r="A553" t="inlineStr">
        <is>
          <t>A 55214-2022</t>
        </is>
      </c>
      <c r="B553" s="1" t="n">
        <v>44886</v>
      </c>
      <c r="C553" s="1" t="n">
        <v>45926</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14821-2025</t>
        </is>
      </c>
      <c r="B554" s="1" t="n">
        <v>45743.36</v>
      </c>
      <c r="C554" s="1" t="n">
        <v>45926</v>
      </c>
      <c r="D554" t="inlineStr">
        <is>
          <t>JÄMTLANDS LÄN</t>
        </is>
      </c>
      <c r="E554" t="inlineStr">
        <is>
          <t>RAGUNDA</t>
        </is>
      </c>
      <c r="F554" t="inlineStr">
        <is>
          <t>Kyrkan</t>
        </is>
      </c>
      <c r="G554" t="n">
        <v>6.4</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45926</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26122-2022</t>
        </is>
      </c>
      <c r="B556" s="1" t="n">
        <v>44734.94193287037</v>
      </c>
      <c r="C556" s="1" t="n">
        <v>45926</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36375-2022</t>
        </is>
      </c>
      <c r="B557" s="1" t="n">
        <v>44803.94351851852</v>
      </c>
      <c r="C557" s="1" t="n">
        <v>45926</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8679-2023</t>
        </is>
      </c>
      <c r="B558" s="1" t="n">
        <v>44977.98670138889</v>
      </c>
      <c r="C558" s="1" t="n">
        <v>45926</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62407-2023</t>
        </is>
      </c>
      <c r="B559" s="1" t="n">
        <v>45266</v>
      </c>
      <c r="C559" s="1" t="n">
        <v>45926</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9325-2024</t>
        </is>
      </c>
      <c r="B560" s="1" t="n">
        <v>45358.95813657407</v>
      </c>
      <c r="C560" s="1" t="n">
        <v>45926</v>
      </c>
      <c r="D560" t="inlineStr">
        <is>
          <t>JÄMTLANDS LÄN</t>
        </is>
      </c>
      <c r="E560" t="inlineStr">
        <is>
          <t>RAGUNDA</t>
        </is>
      </c>
      <c r="G560" t="n">
        <v>3.1</v>
      </c>
      <c r="H560" t="n">
        <v>0</v>
      </c>
      <c r="I560" t="n">
        <v>0</v>
      </c>
      <c r="J560" t="n">
        <v>0</v>
      </c>
      <c r="K560" t="n">
        <v>0</v>
      </c>
      <c r="L560" t="n">
        <v>0</v>
      </c>
      <c r="M560" t="n">
        <v>0</v>
      </c>
      <c r="N560" t="n">
        <v>0</v>
      </c>
      <c r="O560" t="n">
        <v>0</v>
      </c>
      <c r="P560" t="n">
        <v>0</v>
      </c>
      <c r="Q560" t="n">
        <v>0</v>
      </c>
      <c r="R560" s="2" t="inlineStr"/>
    </row>
    <row r="561" ht="15" customHeight="1">
      <c r="A561" t="inlineStr">
        <is>
          <t>A 5930-2025</t>
        </is>
      </c>
      <c r="B561" s="1" t="n">
        <v>45695.44724537037</v>
      </c>
      <c r="C561" s="1" t="n">
        <v>45926</v>
      </c>
      <c r="D561" t="inlineStr">
        <is>
          <t>JÄMTLANDS LÄN</t>
        </is>
      </c>
      <c r="E561" t="inlineStr">
        <is>
          <t>RAGUNDA</t>
        </is>
      </c>
      <c r="G561" t="n">
        <v>0.7</v>
      </c>
      <c r="H561" t="n">
        <v>0</v>
      </c>
      <c r="I561" t="n">
        <v>0</v>
      </c>
      <c r="J561" t="n">
        <v>0</v>
      </c>
      <c r="K561" t="n">
        <v>0</v>
      </c>
      <c r="L561" t="n">
        <v>0</v>
      </c>
      <c r="M561" t="n">
        <v>0</v>
      </c>
      <c r="N561" t="n">
        <v>0</v>
      </c>
      <c r="O561" t="n">
        <v>0</v>
      </c>
      <c r="P561" t="n">
        <v>0</v>
      </c>
      <c r="Q561" t="n">
        <v>0</v>
      </c>
      <c r="R561" s="2" t="inlineStr"/>
    </row>
    <row r="562" ht="15" customHeight="1">
      <c r="A562" t="inlineStr">
        <is>
          <t>A 21193-2022</t>
        </is>
      </c>
      <c r="B562" s="1" t="n">
        <v>44704.94217592593</v>
      </c>
      <c r="C562" s="1" t="n">
        <v>45926</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57170-2024</t>
        </is>
      </c>
      <c r="B563" s="1" t="n">
        <v>45629.42759259259</v>
      </c>
      <c r="C563" s="1" t="n">
        <v>45926</v>
      </c>
      <c r="D563" t="inlineStr">
        <is>
          <t>JÄMTLANDS LÄN</t>
        </is>
      </c>
      <c r="E563" t="inlineStr">
        <is>
          <t>RAGUNDA</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21524-2024</t>
        </is>
      </c>
      <c r="B564" s="1" t="n">
        <v>45441</v>
      </c>
      <c r="C564" s="1" t="n">
        <v>45926</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24732-2025</t>
        </is>
      </c>
      <c r="B565" s="1" t="n">
        <v>45799.34421296296</v>
      </c>
      <c r="C565" s="1" t="n">
        <v>45926</v>
      </c>
      <c r="D565" t="inlineStr">
        <is>
          <t>JÄMTLANDS LÄN</t>
        </is>
      </c>
      <c r="E565" t="inlineStr">
        <is>
          <t>RAGUNDA</t>
        </is>
      </c>
      <c r="F565" t="inlineStr">
        <is>
          <t>SCA</t>
        </is>
      </c>
      <c r="G565" t="n">
        <v>16.2</v>
      </c>
      <c r="H565" t="n">
        <v>0</v>
      </c>
      <c r="I565" t="n">
        <v>0</v>
      </c>
      <c r="J565" t="n">
        <v>0</v>
      </c>
      <c r="K565" t="n">
        <v>0</v>
      </c>
      <c r="L565" t="n">
        <v>0</v>
      </c>
      <c r="M565" t="n">
        <v>0</v>
      </c>
      <c r="N565" t="n">
        <v>0</v>
      </c>
      <c r="O565" t="n">
        <v>0</v>
      </c>
      <c r="P565" t="n">
        <v>0</v>
      </c>
      <c r="Q565" t="n">
        <v>0</v>
      </c>
      <c r="R565" s="2" t="inlineStr"/>
    </row>
    <row r="566" ht="15" customHeight="1">
      <c r="A566" t="inlineStr">
        <is>
          <t>A 38191-2024</t>
        </is>
      </c>
      <c r="B566" s="1" t="n">
        <v>45545.49078703704</v>
      </c>
      <c r="C566" s="1" t="n">
        <v>45926</v>
      </c>
      <c r="D566" t="inlineStr">
        <is>
          <t>JÄMTLANDS LÄN</t>
        </is>
      </c>
      <c r="E566" t="inlineStr">
        <is>
          <t>RAGUNDA</t>
        </is>
      </c>
      <c r="G566" t="n">
        <v>1.6</v>
      </c>
      <c r="H566" t="n">
        <v>0</v>
      </c>
      <c r="I566" t="n">
        <v>0</v>
      </c>
      <c r="J566" t="n">
        <v>0</v>
      </c>
      <c r="K566" t="n">
        <v>0</v>
      </c>
      <c r="L566" t="n">
        <v>0</v>
      </c>
      <c r="M566" t="n">
        <v>0</v>
      </c>
      <c r="N566" t="n">
        <v>0</v>
      </c>
      <c r="O566" t="n">
        <v>0</v>
      </c>
      <c r="P566" t="n">
        <v>0</v>
      </c>
      <c r="Q566" t="n">
        <v>0</v>
      </c>
      <c r="R566" s="2" t="inlineStr"/>
    </row>
    <row r="567" ht="15" customHeight="1">
      <c r="A567" t="inlineStr">
        <is>
          <t>A 7722-2023</t>
        </is>
      </c>
      <c r="B567" s="1" t="n">
        <v>44972.94140046297</v>
      </c>
      <c r="C567" s="1" t="n">
        <v>45926</v>
      </c>
      <c r="D567" t="inlineStr">
        <is>
          <t>JÄMTLANDS LÄN</t>
        </is>
      </c>
      <c r="E567" t="inlineStr">
        <is>
          <t>RAGUNDA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65341-2020</t>
        </is>
      </c>
      <c r="B568" s="1" t="n">
        <v>44173</v>
      </c>
      <c r="C568" s="1" t="n">
        <v>45926</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12204-2025</t>
        </is>
      </c>
      <c r="B569" s="1" t="n">
        <v>45729.51074074074</v>
      </c>
      <c r="C569" s="1" t="n">
        <v>45926</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8795-2022</t>
        </is>
      </c>
      <c r="B570" s="1" t="n">
        <v>44614</v>
      </c>
      <c r="C570" s="1" t="n">
        <v>45926</v>
      </c>
      <c r="D570" t="inlineStr">
        <is>
          <t>JÄMTLANDS LÄN</t>
        </is>
      </c>
      <c r="E570" t="inlineStr">
        <is>
          <t>RAGUNDA</t>
        </is>
      </c>
      <c r="G570" t="n">
        <v>3.9</v>
      </c>
      <c r="H570" t="n">
        <v>0</v>
      </c>
      <c r="I570" t="n">
        <v>0</v>
      </c>
      <c r="J570" t="n">
        <v>0</v>
      </c>
      <c r="K570" t="n">
        <v>0</v>
      </c>
      <c r="L570" t="n">
        <v>0</v>
      </c>
      <c r="M570" t="n">
        <v>0</v>
      </c>
      <c r="N570" t="n">
        <v>0</v>
      </c>
      <c r="O570" t="n">
        <v>0</v>
      </c>
      <c r="P570" t="n">
        <v>0</v>
      </c>
      <c r="Q570" t="n">
        <v>0</v>
      </c>
      <c r="R570" s="2" t="inlineStr"/>
    </row>
    <row r="571" ht="15" customHeight="1">
      <c r="A571" t="inlineStr">
        <is>
          <t>A 13299-2024</t>
        </is>
      </c>
      <c r="B571" s="1" t="n">
        <v>45386.68003472222</v>
      </c>
      <c r="C571" s="1" t="n">
        <v>45926</v>
      </c>
      <c r="D571" t="inlineStr">
        <is>
          <t>JÄMTLANDS LÄN</t>
        </is>
      </c>
      <c r="E571" t="inlineStr">
        <is>
          <t>RAGUNDA</t>
        </is>
      </c>
      <c r="G571" t="n">
        <v>1.9</v>
      </c>
      <c r="H571" t="n">
        <v>0</v>
      </c>
      <c r="I571" t="n">
        <v>0</v>
      </c>
      <c r="J571" t="n">
        <v>0</v>
      </c>
      <c r="K571" t="n">
        <v>0</v>
      </c>
      <c r="L571" t="n">
        <v>0</v>
      </c>
      <c r="M571" t="n">
        <v>0</v>
      </c>
      <c r="N571" t="n">
        <v>0</v>
      </c>
      <c r="O571" t="n">
        <v>0</v>
      </c>
      <c r="P571" t="n">
        <v>0</v>
      </c>
      <c r="Q571" t="n">
        <v>0</v>
      </c>
      <c r="R571" s="2" t="inlineStr"/>
    </row>
    <row r="572" ht="15" customHeight="1">
      <c r="A572" t="inlineStr">
        <is>
          <t>A 15024-2022</t>
        </is>
      </c>
      <c r="B572" s="1" t="n">
        <v>44657</v>
      </c>
      <c r="C572" s="1" t="n">
        <v>45926</v>
      </c>
      <c r="D572" t="inlineStr">
        <is>
          <t>JÄMTLANDS LÄN</t>
        </is>
      </c>
      <c r="E572" t="inlineStr">
        <is>
          <t>RAGUNDA</t>
        </is>
      </c>
      <c r="G572" t="n">
        <v>1.8</v>
      </c>
      <c r="H572" t="n">
        <v>0</v>
      </c>
      <c r="I572" t="n">
        <v>0</v>
      </c>
      <c r="J572" t="n">
        <v>0</v>
      </c>
      <c r="K572" t="n">
        <v>0</v>
      </c>
      <c r="L572" t="n">
        <v>0</v>
      </c>
      <c r="M572" t="n">
        <v>0</v>
      </c>
      <c r="N572" t="n">
        <v>0</v>
      </c>
      <c r="O572" t="n">
        <v>0</v>
      </c>
      <c r="P572" t="n">
        <v>0</v>
      </c>
      <c r="Q572" t="n">
        <v>0</v>
      </c>
      <c r="R572" s="2" t="inlineStr"/>
    </row>
    <row r="573" ht="15" customHeight="1">
      <c r="A573" t="inlineStr">
        <is>
          <t>A 891-2022</t>
        </is>
      </c>
      <c r="B573" s="1" t="n">
        <v>44571</v>
      </c>
      <c r="C573" s="1" t="n">
        <v>45926</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25631-2025</t>
        </is>
      </c>
      <c r="B574" s="1" t="n">
        <v>45803.5946875</v>
      </c>
      <c r="C574" s="1" t="n">
        <v>45926</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25630-2025</t>
        </is>
      </c>
      <c r="B575" s="1" t="n">
        <v>45803.59417824074</v>
      </c>
      <c r="C575" s="1" t="n">
        <v>45926</v>
      </c>
      <c r="D575" t="inlineStr">
        <is>
          <t>JÄMTLANDS LÄN</t>
        </is>
      </c>
      <c r="E575" t="inlineStr">
        <is>
          <t>RAGUNDA</t>
        </is>
      </c>
      <c r="G575" t="n">
        <v>6.9</v>
      </c>
      <c r="H575" t="n">
        <v>0</v>
      </c>
      <c r="I575" t="n">
        <v>0</v>
      </c>
      <c r="J575" t="n">
        <v>0</v>
      </c>
      <c r="K575" t="n">
        <v>0</v>
      </c>
      <c r="L575" t="n">
        <v>0</v>
      </c>
      <c r="M575" t="n">
        <v>0</v>
      </c>
      <c r="N575" t="n">
        <v>0</v>
      </c>
      <c r="O575" t="n">
        <v>0</v>
      </c>
      <c r="P575" t="n">
        <v>0</v>
      </c>
      <c r="Q575" t="n">
        <v>0</v>
      </c>
      <c r="R575" s="2" t="inlineStr"/>
    </row>
    <row r="576" ht="15" customHeight="1">
      <c r="A576" t="inlineStr">
        <is>
          <t>A 25376-2025</t>
        </is>
      </c>
      <c r="B576" s="1" t="n">
        <v>45800.63619212963</v>
      </c>
      <c r="C576" s="1" t="n">
        <v>45926</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36371-2023</t>
        </is>
      </c>
      <c r="B577" s="1" t="n">
        <v>45149</v>
      </c>
      <c r="C577" s="1" t="n">
        <v>45926</v>
      </c>
      <c r="D577" t="inlineStr">
        <is>
          <t>JÄMTLANDS LÄN</t>
        </is>
      </c>
      <c r="E577" t="inlineStr">
        <is>
          <t>RAGUNDA</t>
        </is>
      </c>
      <c r="G577" t="n">
        <v>25.7</v>
      </c>
      <c r="H577" t="n">
        <v>0</v>
      </c>
      <c r="I577" t="n">
        <v>0</v>
      </c>
      <c r="J577" t="n">
        <v>0</v>
      </c>
      <c r="K577" t="n">
        <v>0</v>
      </c>
      <c r="L577" t="n">
        <v>0</v>
      </c>
      <c r="M577" t="n">
        <v>0</v>
      </c>
      <c r="N577" t="n">
        <v>0</v>
      </c>
      <c r="O577" t="n">
        <v>0</v>
      </c>
      <c r="P577" t="n">
        <v>0</v>
      </c>
      <c r="Q577" t="n">
        <v>0</v>
      </c>
      <c r="R577" s="2" t="inlineStr"/>
    </row>
    <row r="578" ht="15" customHeight="1">
      <c r="A578" t="inlineStr">
        <is>
          <t>A 56702-2023</t>
        </is>
      </c>
      <c r="B578" s="1" t="n">
        <v>45243</v>
      </c>
      <c r="C578" s="1" t="n">
        <v>45926</v>
      </c>
      <c r="D578" t="inlineStr">
        <is>
          <t>JÄMTLANDS LÄN</t>
        </is>
      </c>
      <c r="E578" t="inlineStr">
        <is>
          <t>RAGUNDA</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25175-2025</t>
        </is>
      </c>
      <c r="B579" s="1" t="n">
        <v>45800.44822916666</v>
      </c>
      <c r="C579" s="1" t="n">
        <v>45926</v>
      </c>
      <c r="D579" t="inlineStr">
        <is>
          <t>JÄMTLANDS LÄN</t>
        </is>
      </c>
      <c r="E579" t="inlineStr">
        <is>
          <t>RAGUNDA</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25177-2025</t>
        </is>
      </c>
      <c r="B580" s="1" t="n">
        <v>45800.44862268519</v>
      </c>
      <c r="C580" s="1" t="n">
        <v>45926</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25659-2025</t>
        </is>
      </c>
      <c r="B581" s="1" t="n">
        <v>45803.61552083334</v>
      </c>
      <c r="C581" s="1" t="n">
        <v>45926</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25661-2025</t>
        </is>
      </c>
      <c r="B582" s="1" t="n">
        <v>45803.61557870371</v>
      </c>
      <c r="C582" s="1" t="n">
        <v>45926</v>
      </c>
      <c r="D582" t="inlineStr">
        <is>
          <t>JÄMTLANDS LÄN</t>
        </is>
      </c>
      <c r="E582" t="inlineStr">
        <is>
          <t>RAGUNDA</t>
        </is>
      </c>
      <c r="G582" t="n">
        <v>1.4</v>
      </c>
      <c r="H582" t="n">
        <v>0</v>
      </c>
      <c r="I582" t="n">
        <v>0</v>
      </c>
      <c r="J582" t="n">
        <v>0</v>
      </c>
      <c r="K582" t="n">
        <v>0</v>
      </c>
      <c r="L582" t="n">
        <v>0</v>
      </c>
      <c r="M582" t="n">
        <v>0</v>
      </c>
      <c r="N582" t="n">
        <v>0</v>
      </c>
      <c r="O582" t="n">
        <v>0</v>
      </c>
      <c r="P582" t="n">
        <v>0</v>
      </c>
      <c r="Q582" t="n">
        <v>0</v>
      </c>
      <c r="R582" s="2" t="inlineStr"/>
    </row>
    <row r="583" ht="15" customHeight="1">
      <c r="A583" t="inlineStr">
        <is>
          <t>A 35265-2023</t>
        </is>
      </c>
      <c r="B583" s="1" t="n">
        <v>45145.95326388889</v>
      </c>
      <c r="C583" s="1" t="n">
        <v>45926</v>
      </c>
      <c r="D583" t="inlineStr">
        <is>
          <t>JÄMTLANDS LÄN</t>
        </is>
      </c>
      <c r="E583" t="inlineStr">
        <is>
          <t>RAGUNDA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5148-2023</t>
        </is>
      </c>
      <c r="B584" s="1" t="n">
        <v>44958</v>
      </c>
      <c r="C584" s="1" t="n">
        <v>45926</v>
      </c>
      <c r="D584" t="inlineStr">
        <is>
          <t>JÄMTLANDS LÄN</t>
        </is>
      </c>
      <c r="E584" t="inlineStr">
        <is>
          <t>RAGUNDA</t>
        </is>
      </c>
      <c r="G584" t="n">
        <v>2.9</v>
      </c>
      <c r="H584" t="n">
        <v>0</v>
      </c>
      <c r="I584" t="n">
        <v>0</v>
      </c>
      <c r="J584" t="n">
        <v>0</v>
      </c>
      <c r="K584" t="n">
        <v>0</v>
      </c>
      <c r="L584" t="n">
        <v>0</v>
      </c>
      <c r="M584" t="n">
        <v>0</v>
      </c>
      <c r="N584" t="n">
        <v>0</v>
      </c>
      <c r="O584" t="n">
        <v>0</v>
      </c>
      <c r="P584" t="n">
        <v>0</v>
      </c>
      <c r="Q584" t="n">
        <v>0</v>
      </c>
      <c r="R584" s="2" t="inlineStr"/>
    </row>
    <row r="585" ht="15" customHeight="1">
      <c r="A585" t="inlineStr">
        <is>
          <t>A 25350-2025</t>
        </is>
      </c>
      <c r="B585" s="1" t="n">
        <v>45800</v>
      </c>
      <c r="C585" s="1" t="n">
        <v>45926</v>
      </c>
      <c r="D585" t="inlineStr">
        <is>
          <t>JÄMTLANDS LÄN</t>
        </is>
      </c>
      <c r="E585" t="inlineStr">
        <is>
          <t>RAGUNDA</t>
        </is>
      </c>
      <c r="G585" t="n">
        <v>2.4</v>
      </c>
      <c r="H585" t="n">
        <v>0</v>
      </c>
      <c r="I585" t="n">
        <v>0</v>
      </c>
      <c r="J585" t="n">
        <v>0</v>
      </c>
      <c r="K585" t="n">
        <v>0</v>
      </c>
      <c r="L585" t="n">
        <v>0</v>
      </c>
      <c r="M585" t="n">
        <v>0</v>
      </c>
      <c r="N585" t="n">
        <v>0</v>
      </c>
      <c r="O585" t="n">
        <v>0</v>
      </c>
      <c r="P585" t="n">
        <v>0</v>
      </c>
      <c r="Q585" t="n">
        <v>0</v>
      </c>
      <c r="R585" s="2" t="inlineStr"/>
    </row>
    <row r="586" ht="15" customHeight="1">
      <c r="A586" t="inlineStr">
        <is>
          <t>A 32259-2024</t>
        </is>
      </c>
      <c r="B586" s="1" t="n">
        <v>45511</v>
      </c>
      <c r="C586" s="1" t="n">
        <v>45926</v>
      </c>
      <c r="D586" t="inlineStr">
        <is>
          <t>JÄMTLANDS LÄN</t>
        </is>
      </c>
      <c r="E586" t="inlineStr">
        <is>
          <t>RAGUNDA</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66471-2021</t>
        </is>
      </c>
      <c r="B587" s="1" t="n">
        <v>44518</v>
      </c>
      <c r="C587" s="1" t="n">
        <v>45926</v>
      </c>
      <c r="D587" t="inlineStr">
        <is>
          <t>JÄMTLANDS LÄN</t>
        </is>
      </c>
      <c r="E587" t="inlineStr">
        <is>
          <t>RAGUNDA</t>
        </is>
      </c>
      <c r="G587" t="n">
        <v>13.4</v>
      </c>
      <c r="H587" t="n">
        <v>0</v>
      </c>
      <c r="I587" t="n">
        <v>0</v>
      </c>
      <c r="J587" t="n">
        <v>0</v>
      </c>
      <c r="K587" t="n">
        <v>0</v>
      </c>
      <c r="L587" t="n">
        <v>0</v>
      </c>
      <c r="M587" t="n">
        <v>0</v>
      </c>
      <c r="N587" t="n">
        <v>0</v>
      </c>
      <c r="O587" t="n">
        <v>0</v>
      </c>
      <c r="P587" t="n">
        <v>0</v>
      </c>
      <c r="Q587" t="n">
        <v>0</v>
      </c>
      <c r="R587" s="2" t="inlineStr"/>
    </row>
    <row r="588" ht="15" customHeight="1">
      <c r="A588" t="inlineStr">
        <is>
          <t>A 18778-2024</t>
        </is>
      </c>
      <c r="B588" s="1" t="n">
        <v>45426</v>
      </c>
      <c r="C588" s="1" t="n">
        <v>45926</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59556-2024</t>
        </is>
      </c>
      <c r="B589" s="1" t="n">
        <v>45638.63600694444</v>
      </c>
      <c r="C589" s="1" t="n">
        <v>45926</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25152-2025</t>
        </is>
      </c>
      <c r="B590" s="1" t="n">
        <v>45800.42743055556</v>
      </c>
      <c r="C590" s="1" t="n">
        <v>45926</v>
      </c>
      <c r="D590" t="inlineStr">
        <is>
          <t>JÄMTLANDS LÄN</t>
        </is>
      </c>
      <c r="E590" t="inlineStr">
        <is>
          <t>RAGUNDA</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19613-2023</t>
        </is>
      </c>
      <c r="B591" s="1" t="n">
        <v>45050.94020833333</v>
      </c>
      <c r="C591" s="1" t="n">
        <v>45926</v>
      </c>
      <c r="D591" t="inlineStr">
        <is>
          <t>JÄMTLANDS LÄN</t>
        </is>
      </c>
      <c r="E591" t="inlineStr">
        <is>
          <t>RAGUNDA</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25814-2025</t>
        </is>
      </c>
      <c r="B592" s="1" t="n">
        <v>45804.42642361111</v>
      </c>
      <c r="C592" s="1" t="n">
        <v>45926</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25944-2025</t>
        </is>
      </c>
      <c r="B593" s="1" t="n">
        <v>45804.59487268519</v>
      </c>
      <c r="C593" s="1" t="n">
        <v>45926</v>
      </c>
      <c r="D593" t="inlineStr">
        <is>
          <t>JÄMTLANDS LÄN</t>
        </is>
      </c>
      <c r="E593" t="inlineStr">
        <is>
          <t>RAGUNDA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26283-2025</t>
        </is>
      </c>
      <c r="B594" s="1" t="n">
        <v>45805.61495370371</v>
      </c>
      <c r="C594" s="1" t="n">
        <v>45926</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10788-2025</t>
        </is>
      </c>
      <c r="B595" s="1" t="n">
        <v>45722.48982638889</v>
      </c>
      <c r="C595" s="1" t="n">
        <v>45926</v>
      </c>
      <c r="D595" t="inlineStr">
        <is>
          <t>JÄMTLANDS LÄN</t>
        </is>
      </c>
      <c r="E595" t="inlineStr">
        <is>
          <t>RAGUNDA</t>
        </is>
      </c>
      <c r="G595" t="n">
        <v>3.5</v>
      </c>
      <c r="H595" t="n">
        <v>0</v>
      </c>
      <c r="I595" t="n">
        <v>0</v>
      </c>
      <c r="J595" t="n">
        <v>0</v>
      </c>
      <c r="K595" t="n">
        <v>0</v>
      </c>
      <c r="L595" t="n">
        <v>0</v>
      </c>
      <c r="M595" t="n">
        <v>0</v>
      </c>
      <c r="N595" t="n">
        <v>0</v>
      </c>
      <c r="O595" t="n">
        <v>0</v>
      </c>
      <c r="P595" t="n">
        <v>0</v>
      </c>
      <c r="Q595" t="n">
        <v>0</v>
      </c>
      <c r="R595" s="2" t="inlineStr"/>
    </row>
    <row r="596" ht="15" customHeight="1">
      <c r="A596" t="inlineStr">
        <is>
          <t>A 24258-2025</t>
        </is>
      </c>
      <c r="B596" s="1" t="n">
        <v>45797.40800925926</v>
      </c>
      <c r="C596" s="1" t="n">
        <v>45926</v>
      </c>
      <c r="D596" t="inlineStr">
        <is>
          <t>JÄMTLANDS LÄN</t>
        </is>
      </c>
      <c r="E596" t="inlineStr">
        <is>
          <t>RAGUNDA</t>
        </is>
      </c>
      <c r="G596" t="n">
        <v>1.2</v>
      </c>
      <c r="H596" t="n">
        <v>0</v>
      </c>
      <c r="I596" t="n">
        <v>0</v>
      </c>
      <c r="J596" t="n">
        <v>0</v>
      </c>
      <c r="K596" t="n">
        <v>0</v>
      </c>
      <c r="L596" t="n">
        <v>0</v>
      </c>
      <c r="M596" t="n">
        <v>0</v>
      </c>
      <c r="N596" t="n">
        <v>0</v>
      </c>
      <c r="O596" t="n">
        <v>0</v>
      </c>
      <c r="P596" t="n">
        <v>0</v>
      </c>
      <c r="Q596" t="n">
        <v>0</v>
      </c>
      <c r="R596" s="2" t="inlineStr"/>
    </row>
    <row r="597" ht="15" customHeight="1">
      <c r="A597" t="inlineStr">
        <is>
          <t>A 16529-2022</t>
        </is>
      </c>
      <c r="B597" s="1" t="n">
        <v>44671</v>
      </c>
      <c r="C597" s="1" t="n">
        <v>45926</v>
      </c>
      <c r="D597" t="inlineStr">
        <is>
          <t>JÄMTLANDS LÄN</t>
        </is>
      </c>
      <c r="E597" t="inlineStr">
        <is>
          <t>RAGUNDA</t>
        </is>
      </c>
      <c r="G597" t="n">
        <v>1.5</v>
      </c>
      <c r="H597" t="n">
        <v>0</v>
      </c>
      <c r="I597" t="n">
        <v>0</v>
      </c>
      <c r="J597" t="n">
        <v>0</v>
      </c>
      <c r="K597" t="n">
        <v>0</v>
      </c>
      <c r="L597" t="n">
        <v>0</v>
      </c>
      <c r="M597" t="n">
        <v>0</v>
      </c>
      <c r="N597" t="n">
        <v>0</v>
      </c>
      <c r="O597" t="n">
        <v>0</v>
      </c>
      <c r="P597" t="n">
        <v>0</v>
      </c>
      <c r="Q597" t="n">
        <v>0</v>
      </c>
      <c r="R597" s="2" t="inlineStr"/>
    </row>
    <row r="598" ht="15" customHeight="1">
      <c r="A598" t="inlineStr">
        <is>
          <t>A 24197-2024</t>
        </is>
      </c>
      <c r="B598" s="1" t="n">
        <v>45456.96601851852</v>
      </c>
      <c r="C598" s="1" t="n">
        <v>45926</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25994-2025</t>
        </is>
      </c>
      <c r="B599" s="1" t="n">
        <v>45804.65672453704</v>
      </c>
      <c r="C599" s="1" t="n">
        <v>45926</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5313-2025</t>
        </is>
      </c>
      <c r="B600" s="1" t="n">
        <v>45692.51069444444</v>
      </c>
      <c r="C600" s="1" t="n">
        <v>45926</v>
      </c>
      <c r="D600" t="inlineStr">
        <is>
          <t>JÄMTLANDS LÄN</t>
        </is>
      </c>
      <c r="E600" t="inlineStr">
        <is>
          <t>RAGUNDA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5357-2025</t>
        </is>
      </c>
      <c r="B601" s="1" t="n">
        <v>45692.57326388889</v>
      </c>
      <c r="C601" s="1" t="n">
        <v>45926</v>
      </c>
      <c r="D601" t="inlineStr">
        <is>
          <t>JÄMTLANDS LÄN</t>
        </is>
      </c>
      <c r="E601" t="inlineStr">
        <is>
          <t>RAGUNDA</t>
        </is>
      </c>
      <c r="F601" t="inlineStr">
        <is>
          <t>SCA</t>
        </is>
      </c>
      <c r="G601" t="n">
        <v>5.4</v>
      </c>
      <c r="H601" t="n">
        <v>0</v>
      </c>
      <c r="I601" t="n">
        <v>0</v>
      </c>
      <c r="J601" t="n">
        <v>0</v>
      </c>
      <c r="K601" t="n">
        <v>0</v>
      </c>
      <c r="L601" t="n">
        <v>0</v>
      </c>
      <c r="M601" t="n">
        <v>0</v>
      </c>
      <c r="N601" t="n">
        <v>0</v>
      </c>
      <c r="O601" t="n">
        <v>0</v>
      </c>
      <c r="P601" t="n">
        <v>0</v>
      </c>
      <c r="Q601" t="n">
        <v>0</v>
      </c>
      <c r="R601" s="2" t="inlineStr"/>
    </row>
    <row r="602" ht="15" customHeight="1">
      <c r="A602" t="inlineStr">
        <is>
          <t>A 3018-2024</t>
        </is>
      </c>
      <c r="B602" s="1" t="n">
        <v>45315.9492824074</v>
      </c>
      <c r="C602" s="1" t="n">
        <v>45926</v>
      </c>
      <c r="D602" t="inlineStr">
        <is>
          <t>JÄMTLANDS LÄN</t>
        </is>
      </c>
      <c r="E602" t="inlineStr">
        <is>
          <t>RAGUNDA</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55309-2020</t>
        </is>
      </c>
      <c r="B603" s="1" t="n">
        <v>44130.9416550926</v>
      </c>
      <c r="C603" s="1" t="n">
        <v>45926</v>
      </c>
      <c r="D603" t="inlineStr">
        <is>
          <t>JÄMTLANDS LÄN</t>
        </is>
      </c>
      <c r="E603" t="inlineStr">
        <is>
          <t>RAGUNDA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44605-2024</t>
        </is>
      </c>
      <c r="B604" s="1" t="n">
        <v>45574.51185185185</v>
      </c>
      <c r="C604" s="1" t="n">
        <v>45926</v>
      </c>
      <c r="D604" t="inlineStr">
        <is>
          <t>JÄMTLANDS LÄN</t>
        </is>
      </c>
      <c r="E604" t="inlineStr">
        <is>
          <t>RAGUNDA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26172-2025</t>
        </is>
      </c>
      <c r="B605" s="1" t="n">
        <v>45805.46613425926</v>
      </c>
      <c r="C605" s="1" t="n">
        <v>45926</v>
      </c>
      <c r="D605" t="inlineStr">
        <is>
          <t>JÄMTLANDS LÄN</t>
        </is>
      </c>
      <c r="E605" t="inlineStr">
        <is>
          <t>RAGUNDA</t>
        </is>
      </c>
      <c r="G605" t="n">
        <v>2.1</v>
      </c>
      <c r="H605" t="n">
        <v>0</v>
      </c>
      <c r="I605" t="n">
        <v>0</v>
      </c>
      <c r="J605" t="n">
        <v>0</v>
      </c>
      <c r="K605" t="n">
        <v>0</v>
      </c>
      <c r="L605" t="n">
        <v>0</v>
      </c>
      <c r="M605" t="n">
        <v>0</v>
      </c>
      <c r="N605" t="n">
        <v>0</v>
      </c>
      <c r="O605" t="n">
        <v>0</v>
      </c>
      <c r="P605" t="n">
        <v>0</v>
      </c>
      <c r="Q605" t="n">
        <v>0</v>
      </c>
      <c r="R605" s="2" t="inlineStr"/>
    </row>
    <row r="606" ht="15" customHeight="1">
      <c r="A606" t="inlineStr">
        <is>
          <t>A 61934-2022</t>
        </is>
      </c>
      <c r="B606" s="1" t="n">
        <v>44917</v>
      </c>
      <c r="C606" s="1" t="n">
        <v>45926</v>
      </c>
      <c r="D606" t="inlineStr">
        <is>
          <t>JÄMTLANDS LÄN</t>
        </is>
      </c>
      <c r="E606" t="inlineStr">
        <is>
          <t>RAGUNDA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20773-2024</t>
        </is>
      </c>
      <c r="B607" s="1" t="n">
        <v>45436.94636574074</v>
      </c>
      <c r="C607" s="1" t="n">
        <v>45926</v>
      </c>
      <c r="D607" t="inlineStr">
        <is>
          <t>JÄMTLANDS LÄN</t>
        </is>
      </c>
      <c r="E607" t="inlineStr">
        <is>
          <t>RAGUNDA</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34323-2023</t>
        </is>
      </c>
      <c r="B608" s="1" t="n">
        <v>45138.94925925926</v>
      </c>
      <c r="C608" s="1" t="n">
        <v>45926</v>
      </c>
      <c r="D608" t="inlineStr">
        <is>
          <t>JÄMTLANDS LÄN</t>
        </is>
      </c>
      <c r="E608" t="inlineStr">
        <is>
          <t>RAGUNDA</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8678-2023</t>
        </is>
      </c>
      <c r="B609" s="1" t="n">
        <v>44977.98660879629</v>
      </c>
      <c r="C609" s="1" t="n">
        <v>45926</v>
      </c>
      <c r="D609" t="inlineStr">
        <is>
          <t>JÄMTLANDS LÄN</t>
        </is>
      </c>
      <c r="E609" t="inlineStr">
        <is>
          <t>RAGUNDA</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26246-2025</t>
        </is>
      </c>
      <c r="B610" s="1" t="n">
        <v>45805.57390046296</v>
      </c>
      <c r="C610" s="1" t="n">
        <v>45926</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50486-2023</t>
        </is>
      </c>
      <c r="B611" s="1" t="n">
        <v>45216.92424768519</v>
      </c>
      <c r="C611" s="1" t="n">
        <v>45926</v>
      </c>
      <c r="D611" t="inlineStr">
        <is>
          <t>JÄMTLANDS LÄN</t>
        </is>
      </c>
      <c r="E611" t="inlineStr">
        <is>
          <t>RAGUNDA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28742-2023</t>
        </is>
      </c>
      <c r="B612" s="1" t="n">
        <v>45103</v>
      </c>
      <c r="C612" s="1" t="n">
        <v>45926</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51538-2022</t>
        </is>
      </c>
      <c r="B613" s="1" t="n">
        <v>44869</v>
      </c>
      <c r="C613" s="1" t="n">
        <v>45926</v>
      </c>
      <c r="D613" t="inlineStr">
        <is>
          <t>JÄMTLANDS LÄN</t>
        </is>
      </c>
      <c r="E613" t="inlineStr">
        <is>
          <t>RAGUNDA</t>
        </is>
      </c>
      <c r="G613" t="n">
        <v>6.8</v>
      </c>
      <c r="H613" t="n">
        <v>0</v>
      </c>
      <c r="I613" t="n">
        <v>0</v>
      </c>
      <c r="J613" t="n">
        <v>0</v>
      </c>
      <c r="K613" t="n">
        <v>0</v>
      </c>
      <c r="L613" t="n">
        <v>0</v>
      </c>
      <c r="M613" t="n">
        <v>0</v>
      </c>
      <c r="N613" t="n">
        <v>0</v>
      </c>
      <c r="O613" t="n">
        <v>0</v>
      </c>
      <c r="P613" t="n">
        <v>0</v>
      </c>
      <c r="Q613" t="n">
        <v>0</v>
      </c>
      <c r="R613" s="2" t="inlineStr"/>
    </row>
    <row r="614" ht="15" customHeight="1">
      <c r="A614" t="inlineStr">
        <is>
          <t>A 17323-2025</t>
        </is>
      </c>
      <c r="B614" s="1" t="n">
        <v>45756.63601851852</v>
      </c>
      <c r="C614" s="1" t="n">
        <v>45926</v>
      </c>
      <c r="D614" t="inlineStr">
        <is>
          <t>JÄMTLANDS LÄN</t>
        </is>
      </c>
      <c r="E614" t="inlineStr">
        <is>
          <t>RAGUNDA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19727-2025</t>
        </is>
      </c>
      <c r="B615" s="1" t="n">
        <v>45771.36538194444</v>
      </c>
      <c r="C615" s="1" t="n">
        <v>45926</v>
      </c>
      <c r="D615" t="inlineStr">
        <is>
          <t>JÄMTLANDS LÄN</t>
        </is>
      </c>
      <c r="E615" t="inlineStr">
        <is>
          <t>RAGUNDA</t>
        </is>
      </c>
      <c r="F615" t="inlineStr">
        <is>
          <t>SCA</t>
        </is>
      </c>
      <c r="G615" t="n">
        <v>9</v>
      </c>
      <c r="H615" t="n">
        <v>0</v>
      </c>
      <c r="I615" t="n">
        <v>0</v>
      </c>
      <c r="J615" t="n">
        <v>0</v>
      </c>
      <c r="K615" t="n">
        <v>0</v>
      </c>
      <c r="L615" t="n">
        <v>0</v>
      </c>
      <c r="M615" t="n">
        <v>0</v>
      </c>
      <c r="N615" t="n">
        <v>0</v>
      </c>
      <c r="O615" t="n">
        <v>0</v>
      </c>
      <c r="P615" t="n">
        <v>0</v>
      </c>
      <c r="Q615" t="n">
        <v>0</v>
      </c>
      <c r="R615" s="2" t="inlineStr"/>
    </row>
    <row r="616" ht="15" customHeight="1">
      <c r="A616" t="inlineStr">
        <is>
          <t>A 19854-2025</t>
        </is>
      </c>
      <c r="B616" s="1" t="n">
        <v>45771.51074074074</v>
      </c>
      <c r="C616" s="1" t="n">
        <v>45926</v>
      </c>
      <c r="D616" t="inlineStr">
        <is>
          <t>JÄMTLANDS LÄN</t>
        </is>
      </c>
      <c r="E616" t="inlineStr">
        <is>
          <t>RAGUNDA</t>
        </is>
      </c>
      <c r="F616" t="inlineStr">
        <is>
          <t>SCA</t>
        </is>
      </c>
      <c r="G616" t="n">
        <v>8.4</v>
      </c>
      <c r="H616" t="n">
        <v>0</v>
      </c>
      <c r="I616" t="n">
        <v>0</v>
      </c>
      <c r="J616" t="n">
        <v>0</v>
      </c>
      <c r="K616" t="n">
        <v>0</v>
      </c>
      <c r="L616" t="n">
        <v>0</v>
      </c>
      <c r="M616" t="n">
        <v>0</v>
      </c>
      <c r="N616" t="n">
        <v>0</v>
      </c>
      <c r="O616" t="n">
        <v>0</v>
      </c>
      <c r="P616" t="n">
        <v>0</v>
      </c>
      <c r="Q616" t="n">
        <v>0</v>
      </c>
      <c r="R616" s="2" t="inlineStr"/>
    </row>
    <row r="617" ht="15" customHeight="1">
      <c r="A617" t="inlineStr">
        <is>
          <t>A 16364-2023</t>
        </is>
      </c>
      <c r="B617" s="1" t="n">
        <v>45028</v>
      </c>
      <c r="C617" s="1" t="n">
        <v>45926</v>
      </c>
      <c r="D617" t="inlineStr">
        <is>
          <t>JÄMTLANDS LÄN</t>
        </is>
      </c>
      <c r="E617" t="inlineStr">
        <is>
          <t>RAGUNDA</t>
        </is>
      </c>
      <c r="G617" t="n">
        <v>0.5</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44550.92168981482</v>
      </c>
      <c r="C618" s="1" t="n">
        <v>45926</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59136-2023</t>
        </is>
      </c>
      <c r="B619" s="1" t="n">
        <v>45251</v>
      </c>
      <c r="C619" s="1" t="n">
        <v>45926</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51396-2024</t>
        </is>
      </c>
      <c r="B620" s="1" t="n">
        <v>45604.4190625</v>
      </c>
      <c r="C620" s="1" t="n">
        <v>45926</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50503-2024</t>
        </is>
      </c>
      <c r="B621" s="1" t="n">
        <v>45601.5315625</v>
      </c>
      <c r="C621" s="1" t="n">
        <v>45926</v>
      </c>
      <c r="D621" t="inlineStr">
        <is>
          <t>JÄMTLANDS LÄN</t>
        </is>
      </c>
      <c r="E621" t="inlineStr">
        <is>
          <t>RAGUNDA</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10610-2024</t>
        </is>
      </c>
      <c r="B622" s="1" t="n">
        <v>45367.04693287037</v>
      </c>
      <c r="C622" s="1" t="n">
        <v>45926</v>
      </c>
      <c r="D622" t="inlineStr">
        <is>
          <t>JÄMTLANDS LÄN</t>
        </is>
      </c>
      <c r="E622" t="inlineStr">
        <is>
          <t>RAGUNDA</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26640-2025</t>
        </is>
      </c>
      <c r="B623" s="1" t="n">
        <v>45810.36495370371</v>
      </c>
      <c r="C623" s="1" t="n">
        <v>45926</v>
      </c>
      <c r="D623" t="inlineStr">
        <is>
          <t>JÄMTLANDS LÄN</t>
        </is>
      </c>
      <c r="E623" t="inlineStr">
        <is>
          <t>RAGUNDA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49659-2023</t>
        </is>
      </c>
      <c r="B624" s="1" t="n">
        <v>45211.95134259259</v>
      </c>
      <c r="C624" s="1" t="n">
        <v>45926</v>
      </c>
      <c r="D624" t="inlineStr">
        <is>
          <t>JÄMTLANDS LÄN</t>
        </is>
      </c>
      <c r="E624" t="inlineStr">
        <is>
          <t>RAGUNDA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10706-2023</t>
        </is>
      </c>
      <c r="B625" s="1" t="n">
        <v>44984</v>
      </c>
      <c r="C625" s="1" t="n">
        <v>45926</v>
      </c>
      <c r="D625" t="inlineStr">
        <is>
          <t>JÄMTLANDS LÄN</t>
        </is>
      </c>
      <c r="E625" t="inlineStr">
        <is>
          <t>RAGUNDA</t>
        </is>
      </c>
      <c r="G625" t="n">
        <v>7.7</v>
      </c>
      <c r="H625" t="n">
        <v>0</v>
      </c>
      <c r="I625" t="n">
        <v>0</v>
      </c>
      <c r="J625" t="n">
        <v>0</v>
      </c>
      <c r="K625" t="n">
        <v>0</v>
      </c>
      <c r="L625" t="n">
        <v>0</v>
      </c>
      <c r="M625" t="n">
        <v>0</v>
      </c>
      <c r="N625" t="n">
        <v>0</v>
      </c>
      <c r="O625" t="n">
        <v>0</v>
      </c>
      <c r="P625" t="n">
        <v>0</v>
      </c>
      <c r="Q625" t="n">
        <v>0</v>
      </c>
      <c r="R625" s="2" t="inlineStr"/>
    </row>
    <row r="626" ht="15" customHeight="1">
      <c r="A626" t="inlineStr">
        <is>
          <t>A 63708-2023</t>
        </is>
      </c>
      <c r="B626" s="1" t="n">
        <v>45275.95060185185</v>
      </c>
      <c r="C626" s="1" t="n">
        <v>45926</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16250-2022</t>
        </is>
      </c>
      <c r="B627" s="1" t="n">
        <v>44670</v>
      </c>
      <c r="C627" s="1" t="n">
        <v>45926</v>
      </c>
      <c r="D627" t="inlineStr">
        <is>
          <t>JÄMTLANDS LÄN</t>
        </is>
      </c>
      <c r="E627" t="inlineStr">
        <is>
          <t>RAGUNDA</t>
        </is>
      </c>
      <c r="G627" t="n">
        <v>1</v>
      </c>
      <c r="H627" t="n">
        <v>0</v>
      </c>
      <c r="I627" t="n">
        <v>0</v>
      </c>
      <c r="J627" t="n">
        <v>0</v>
      </c>
      <c r="K627" t="n">
        <v>0</v>
      </c>
      <c r="L627" t="n">
        <v>0</v>
      </c>
      <c r="M627" t="n">
        <v>0</v>
      </c>
      <c r="N627" t="n">
        <v>0</v>
      </c>
      <c r="O627" t="n">
        <v>0</v>
      </c>
      <c r="P627" t="n">
        <v>0</v>
      </c>
      <c r="Q627" t="n">
        <v>0</v>
      </c>
      <c r="R627" s="2" t="inlineStr"/>
    </row>
    <row r="628" ht="15" customHeight="1">
      <c r="A628" t="inlineStr">
        <is>
          <t>A 60663-2022</t>
        </is>
      </c>
      <c r="B628" s="1" t="n">
        <v>44911.93846064815</v>
      </c>
      <c r="C628" s="1" t="n">
        <v>45926</v>
      </c>
      <c r="D628" t="inlineStr">
        <is>
          <t>JÄMTLANDS LÄN</t>
        </is>
      </c>
      <c r="E628" t="inlineStr">
        <is>
          <t>RAGUNDA</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50521-2024</t>
        </is>
      </c>
      <c r="B629" s="1" t="n">
        <v>45601.55331018518</v>
      </c>
      <c r="C629" s="1" t="n">
        <v>45926</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51685-2020</t>
        </is>
      </c>
      <c r="B630" s="1" t="n">
        <v>44113</v>
      </c>
      <c r="C630" s="1" t="n">
        <v>45926</v>
      </c>
      <c r="D630" t="inlineStr">
        <is>
          <t>JÄMTLANDS LÄN</t>
        </is>
      </c>
      <c r="E630" t="inlineStr">
        <is>
          <t>RAGUNDA</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4916-2025</t>
        </is>
      </c>
      <c r="B631" s="1" t="n">
        <v>45688.68196759259</v>
      </c>
      <c r="C631" s="1" t="n">
        <v>45926</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2001-2025</t>
        </is>
      </c>
      <c r="B632" s="1" t="n">
        <v>45672.44898148148</v>
      </c>
      <c r="C632" s="1" t="n">
        <v>45926</v>
      </c>
      <c r="D632" t="inlineStr">
        <is>
          <t>JÄMTLANDS LÄN</t>
        </is>
      </c>
      <c r="E632" t="inlineStr">
        <is>
          <t>RAGUNDA</t>
        </is>
      </c>
      <c r="F632" t="inlineStr">
        <is>
          <t>SCA</t>
        </is>
      </c>
      <c r="G632" t="n">
        <v>16.2</v>
      </c>
      <c r="H632" t="n">
        <v>0</v>
      </c>
      <c r="I632" t="n">
        <v>0</v>
      </c>
      <c r="J632" t="n">
        <v>0</v>
      </c>
      <c r="K632" t="n">
        <v>0</v>
      </c>
      <c r="L632" t="n">
        <v>0</v>
      </c>
      <c r="M632" t="n">
        <v>0</v>
      </c>
      <c r="N632" t="n">
        <v>0</v>
      </c>
      <c r="O632" t="n">
        <v>0</v>
      </c>
      <c r="P632" t="n">
        <v>0</v>
      </c>
      <c r="Q632" t="n">
        <v>0</v>
      </c>
      <c r="R632" s="2" t="inlineStr"/>
    </row>
    <row r="633" ht="15" customHeight="1">
      <c r="A633" t="inlineStr">
        <is>
          <t>A 53762-2023</t>
        </is>
      </c>
      <c r="B633" s="1" t="n">
        <v>45230.96376157407</v>
      </c>
      <c r="C633" s="1" t="n">
        <v>45926</v>
      </c>
      <c r="D633" t="inlineStr">
        <is>
          <t>JÄMTLANDS LÄN</t>
        </is>
      </c>
      <c r="E633" t="inlineStr">
        <is>
          <t>RAGUNDA</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59557-2023</t>
        </is>
      </c>
      <c r="B634" s="1" t="n">
        <v>45253</v>
      </c>
      <c r="C634" s="1" t="n">
        <v>45926</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58847-2024</t>
        </is>
      </c>
      <c r="B635" s="1" t="n">
        <v>45636.3864699074</v>
      </c>
      <c r="C635" s="1" t="n">
        <v>45926</v>
      </c>
      <c r="D635" t="inlineStr">
        <is>
          <t>JÄMTLANDS LÄN</t>
        </is>
      </c>
      <c r="E635" t="inlineStr">
        <is>
          <t>RAGUNDA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57112-2024</t>
        </is>
      </c>
      <c r="B636" s="1" t="n">
        <v>45629.36486111111</v>
      </c>
      <c r="C636" s="1" t="n">
        <v>45926</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53136-2024</t>
        </is>
      </c>
      <c r="B637" s="1" t="n">
        <v>45611.5953125</v>
      </c>
      <c r="C637" s="1" t="n">
        <v>45926</v>
      </c>
      <c r="D637" t="inlineStr">
        <is>
          <t>JÄMTLANDS LÄN</t>
        </is>
      </c>
      <c r="E637" t="inlineStr">
        <is>
          <t>RAGUNDA</t>
        </is>
      </c>
      <c r="G637" t="n">
        <v>3.8</v>
      </c>
      <c r="H637" t="n">
        <v>0</v>
      </c>
      <c r="I637" t="n">
        <v>0</v>
      </c>
      <c r="J637" t="n">
        <v>0</v>
      </c>
      <c r="K637" t="n">
        <v>0</v>
      </c>
      <c r="L637" t="n">
        <v>0</v>
      </c>
      <c r="M637" t="n">
        <v>0</v>
      </c>
      <c r="N637" t="n">
        <v>0</v>
      </c>
      <c r="O637" t="n">
        <v>0</v>
      </c>
      <c r="P637" t="n">
        <v>0</v>
      </c>
      <c r="Q637" t="n">
        <v>0</v>
      </c>
      <c r="R637" s="2" t="inlineStr"/>
    </row>
    <row r="638" ht="15" customHeight="1">
      <c r="A638" t="inlineStr">
        <is>
          <t>A 33621-2023</t>
        </is>
      </c>
      <c r="B638" s="1" t="n">
        <v>45119</v>
      </c>
      <c r="C638" s="1" t="n">
        <v>45926</v>
      </c>
      <c r="D638" t="inlineStr">
        <is>
          <t>JÄMTLANDS LÄN</t>
        </is>
      </c>
      <c r="E638" t="inlineStr">
        <is>
          <t>RAGUNDA</t>
        </is>
      </c>
      <c r="G638" t="n">
        <v>0.5</v>
      </c>
      <c r="H638" t="n">
        <v>0</v>
      </c>
      <c r="I638" t="n">
        <v>0</v>
      </c>
      <c r="J638" t="n">
        <v>0</v>
      </c>
      <c r="K638" t="n">
        <v>0</v>
      </c>
      <c r="L638" t="n">
        <v>0</v>
      </c>
      <c r="M638" t="n">
        <v>0</v>
      </c>
      <c r="N638" t="n">
        <v>0</v>
      </c>
      <c r="O638" t="n">
        <v>0</v>
      </c>
      <c r="P638" t="n">
        <v>0</v>
      </c>
      <c r="Q638" t="n">
        <v>0</v>
      </c>
      <c r="R638" s="2" t="inlineStr"/>
    </row>
    <row r="639" ht="15" customHeight="1">
      <c r="A639" t="inlineStr">
        <is>
          <t>A 6694-2024</t>
        </is>
      </c>
      <c r="B639" s="1" t="n">
        <v>45341.95381944445</v>
      </c>
      <c r="C639" s="1" t="n">
        <v>45926</v>
      </c>
      <c r="D639" t="inlineStr">
        <is>
          <t>JÄMTLANDS LÄN</t>
        </is>
      </c>
      <c r="E639" t="inlineStr">
        <is>
          <t>RAGUNDA</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27777-2022</t>
        </is>
      </c>
      <c r="B640" s="1" t="n">
        <v>44743</v>
      </c>
      <c r="C640" s="1" t="n">
        <v>45926</v>
      </c>
      <c r="D640" t="inlineStr">
        <is>
          <t>JÄMTLANDS LÄN</t>
        </is>
      </c>
      <c r="E640" t="inlineStr">
        <is>
          <t>RAGUNDA</t>
        </is>
      </c>
      <c r="G640" t="n">
        <v>1.5</v>
      </c>
      <c r="H640" t="n">
        <v>0</v>
      </c>
      <c r="I640" t="n">
        <v>0</v>
      </c>
      <c r="J640" t="n">
        <v>0</v>
      </c>
      <c r="K640" t="n">
        <v>0</v>
      </c>
      <c r="L640" t="n">
        <v>0</v>
      </c>
      <c r="M640" t="n">
        <v>0</v>
      </c>
      <c r="N640" t="n">
        <v>0</v>
      </c>
      <c r="O640" t="n">
        <v>0</v>
      </c>
      <c r="P640" t="n">
        <v>0</v>
      </c>
      <c r="Q640" t="n">
        <v>0</v>
      </c>
      <c r="R640" s="2" t="inlineStr"/>
    </row>
    <row r="641" ht="15" customHeight="1">
      <c r="A641" t="inlineStr">
        <is>
          <t>A 1537-2024</t>
        </is>
      </c>
      <c r="B641" s="1" t="n">
        <v>45306</v>
      </c>
      <c r="C641" s="1" t="n">
        <v>45926</v>
      </c>
      <c r="D641" t="inlineStr">
        <is>
          <t>JÄMTLANDS LÄN</t>
        </is>
      </c>
      <c r="E641" t="inlineStr">
        <is>
          <t>RAGUNDA</t>
        </is>
      </c>
      <c r="G641" t="n">
        <v>0.2</v>
      </c>
      <c r="H641" t="n">
        <v>0</v>
      </c>
      <c r="I641" t="n">
        <v>0</v>
      </c>
      <c r="J641" t="n">
        <v>0</v>
      </c>
      <c r="K641" t="n">
        <v>0</v>
      </c>
      <c r="L641" t="n">
        <v>0</v>
      </c>
      <c r="M641" t="n">
        <v>0</v>
      </c>
      <c r="N641" t="n">
        <v>0</v>
      </c>
      <c r="O641" t="n">
        <v>0</v>
      </c>
      <c r="P641" t="n">
        <v>0</v>
      </c>
      <c r="Q641" t="n">
        <v>0</v>
      </c>
      <c r="R641" s="2" t="inlineStr"/>
    </row>
    <row r="642" ht="15" customHeight="1">
      <c r="A642" t="inlineStr">
        <is>
          <t>A 19089-2024</t>
        </is>
      </c>
      <c r="B642" s="1" t="n">
        <v>45428.00471064815</v>
      </c>
      <c r="C642" s="1" t="n">
        <v>45926</v>
      </c>
      <c r="D642" t="inlineStr">
        <is>
          <t>JÄMTLANDS LÄN</t>
        </is>
      </c>
      <c r="E642" t="inlineStr">
        <is>
          <t>RAGUNDA</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60935-2024</t>
        </is>
      </c>
      <c r="B643" s="1" t="n">
        <v>45645.36740740741</v>
      </c>
      <c r="C643" s="1" t="n">
        <v>45926</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42875-2024</t>
        </is>
      </c>
      <c r="B644" s="1" t="n">
        <v>45566.68125</v>
      </c>
      <c r="C644" s="1" t="n">
        <v>45926</v>
      </c>
      <c r="D644" t="inlineStr">
        <is>
          <t>JÄMTLANDS LÄN</t>
        </is>
      </c>
      <c r="E644" t="inlineStr">
        <is>
          <t>RAGUNDA</t>
        </is>
      </c>
      <c r="G644" t="n">
        <v>0.5</v>
      </c>
      <c r="H644" t="n">
        <v>0</v>
      </c>
      <c r="I644" t="n">
        <v>0</v>
      </c>
      <c r="J644" t="n">
        <v>0</v>
      </c>
      <c r="K644" t="n">
        <v>0</v>
      </c>
      <c r="L644" t="n">
        <v>0</v>
      </c>
      <c r="M644" t="n">
        <v>0</v>
      </c>
      <c r="N644" t="n">
        <v>0</v>
      </c>
      <c r="O644" t="n">
        <v>0</v>
      </c>
      <c r="P644" t="n">
        <v>0</v>
      </c>
      <c r="Q644" t="n">
        <v>0</v>
      </c>
      <c r="R644" s="2" t="inlineStr"/>
    </row>
    <row r="645" ht="15" customHeight="1">
      <c r="A645" t="inlineStr">
        <is>
          <t>A 27510-2025</t>
        </is>
      </c>
      <c r="B645" s="1" t="n">
        <v>45813.42790509259</v>
      </c>
      <c r="C645" s="1" t="n">
        <v>45926</v>
      </c>
      <c r="D645" t="inlineStr">
        <is>
          <t>JÄMTLANDS LÄN</t>
        </is>
      </c>
      <c r="E645" t="inlineStr">
        <is>
          <t>RAGUNDA</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53935-2022</t>
        </is>
      </c>
      <c r="B646" s="1" t="n">
        <v>44880</v>
      </c>
      <c r="C646" s="1" t="n">
        <v>45926</v>
      </c>
      <c r="D646" t="inlineStr">
        <is>
          <t>JÄMTLANDS LÄN</t>
        </is>
      </c>
      <c r="E646" t="inlineStr">
        <is>
          <t>RAGUNDA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6257-2025</t>
        </is>
      </c>
      <c r="B647" s="1" t="n">
        <v>45698.59409722222</v>
      </c>
      <c r="C647" s="1" t="n">
        <v>45926</v>
      </c>
      <c r="D647" t="inlineStr">
        <is>
          <t>JÄMTLANDS LÄN</t>
        </is>
      </c>
      <c r="E647" t="inlineStr">
        <is>
          <t>RAGUNDA</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19404-2025</t>
        </is>
      </c>
      <c r="B648" s="1" t="n">
        <v>45769.67802083334</v>
      </c>
      <c r="C648" s="1" t="n">
        <v>45926</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14074-2023</t>
        </is>
      </c>
      <c r="B649" s="1" t="n">
        <v>45009.089375</v>
      </c>
      <c r="C649" s="1" t="n">
        <v>45926</v>
      </c>
      <c r="D649" t="inlineStr">
        <is>
          <t>JÄMTLANDS LÄN</t>
        </is>
      </c>
      <c r="E649" t="inlineStr">
        <is>
          <t>RAGUNDA</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37265-2024</t>
        </is>
      </c>
      <c r="B650" s="1" t="n">
        <v>45540.38564814815</v>
      </c>
      <c r="C650" s="1" t="n">
        <v>45926</v>
      </c>
      <c r="D650" t="inlineStr">
        <is>
          <t>JÄMTLANDS LÄN</t>
        </is>
      </c>
      <c r="E650" t="inlineStr">
        <is>
          <t>RAGUNDA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41262-2021</t>
        </is>
      </c>
      <c r="B651" s="1" t="n">
        <v>44424</v>
      </c>
      <c r="C651" s="1" t="n">
        <v>45926</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20221-2025</t>
        </is>
      </c>
      <c r="B652" s="1" t="n">
        <v>45772.6565625</v>
      </c>
      <c r="C652" s="1" t="n">
        <v>45926</v>
      </c>
      <c r="D652" t="inlineStr">
        <is>
          <t>JÄMTLANDS LÄN</t>
        </is>
      </c>
      <c r="E652" t="inlineStr">
        <is>
          <t>RAGUNDA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4015-2022</t>
        </is>
      </c>
      <c r="B653" s="1" t="n">
        <v>44587.92149305555</v>
      </c>
      <c r="C653" s="1" t="n">
        <v>45926</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5175-2023</t>
        </is>
      </c>
      <c r="B654" s="1" t="n">
        <v>44958.94298611111</v>
      </c>
      <c r="C654" s="1" t="n">
        <v>45926</v>
      </c>
      <c r="D654" t="inlineStr">
        <is>
          <t>JÄMTLANDS LÄN</t>
        </is>
      </c>
      <c r="E654" t="inlineStr">
        <is>
          <t>RAGUNDA</t>
        </is>
      </c>
      <c r="F654" t="inlineStr">
        <is>
          <t>SCA</t>
        </is>
      </c>
      <c r="G654" t="n">
        <v>17.9</v>
      </c>
      <c r="H654" t="n">
        <v>0</v>
      </c>
      <c r="I654" t="n">
        <v>0</v>
      </c>
      <c r="J654" t="n">
        <v>0</v>
      </c>
      <c r="K654" t="n">
        <v>0</v>
      </c>
      <c r="L654" t="n">
        <v>0</v>
      </c>
      <c r="M654" t="n">
        <v>0</v>
      </c>
      <c r="N654" t="n">
        <v>0</v>
      </c>
      <c r="O654" t="n">
        <v>0</v>
      </c>
      <c r="P654" t="n">
        <v>0</v>
      </c>
      <c r="Q654" t="n">
        <v>0</v>
      </c>
      <c r="R654" s="2" t="inlineStr"/>
    </row>
    <row r="655" ht="15" customHeight="1">
      <c r="A655" t="inlineStr">
        <is>
          <t>A 14896-2022</t>
        </is>
      </c>
      <c r="B655" s="1" t="n">
        <v>44656</v>
      </c>
      <c r="C655" s="1" t="n">
        <v>45926</v>
      </c>
      <c r="D655" t="inlineStr">
        <is>
          <t>JÄMTLANDS LÄN</t>
        </is>
      </c>
      <c r="E655" t="inlineStr">
        <is>
          <t>RAGUNDA</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18777-2024</t>
        </is>
      </c>
      <c r="B656" s="1" t="n">
        <v>45426</v>
      </c>
      <c r="C656" s="1" t="n">
        <v>45926</v>
      </c>
      <c r="D656" t="inlineStr">
        <is>
          <t>JÄMTLANDS LÄN</t>
        </is>
      </c>
      <c r="E656" t="inlineStr">
        <is>
          <t>RAGUNDA</t>
        </is>
      </c>
      <c r="G656" t="n">
        <v>1.9</v>
      </c>
      <c r="H656" t="n">
        <v>0</v>
      </c>
      <c r="I656" t="n">
        <v>0</v>
      </c>
      <c r="J656" t="n">
        <v>0</v>
      </c>
      <c r="K656" t="n">
        <v>0</v>
      </c>
      <c r="L656" t="n">
        <v>0</v>
      </c>
      <c r="M656" t="n">
        <v>0</v>
      </c>
      <c r="N656" t="n">
        <v>0</v>
      </c>
      <c r="O656" t="n">
        <v>0</v>
      </c>
      <c r="P656" t="n">
        <v>0</v>
      </c>
      <c r="Q656" t="n">
        <v>0</v>
      </c>
      <c r="R656" s="2" t="inlineStr"/>
    </row>
    <row r="657" ht="15" customHeight="1">
      <c r="A657" t="inlineStr">
        <is>
          <t>A 20574-2025</t>
        </is>
      </c>
      <c r="B657" s="1" t="n">
        <v>45775.67747685185</v>
      </c>
      <c r="C657" s="1" t="n">
        <v>45926</v>
      </c>
      <c r="D657" t="inlineStr">
        <is>
          <t>JÄMTLANDS LÄN</t>
        </is>
      </c>
      <c r="E657" t="inlineStr">
        <is>
          <t>RAGUNDA</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58564-2024</t>
        </is>
      </c>
      <c r="B658" s="1" t="n">
        <v>45635.47243055556</v>
      </c>
      <c r="C658" s="1" t="n">
        <v>45926</v>
      </c>
      <c r="D658" t="inlineStr">
        <is>
          <t>JÄMTLANDS LÄN</t>
        </is>
      </c>
      <c r="E658" t="inlineStr">
        <is>
          <t>RAGUNDA</t>
        </is>
      </c>
      <c r="G658" t="n">
        <v>2.6</v>
      </c>
      <c r="H658" t="n">
        <v>0</v>
      </c>
      <c r="I658" t="n">
        <v>0</v>
      </c>
      <c r="J658" t="n">
        <v>0</v>
      </c>
      <c r="K658" t="n">
        <v>0</v>
      </c>
      <c r="L658" t="n">
        <v>0</v>
      </c>
      <c r="M658" t="n">
        <v>0</v>
      </c>
      <c r="N658" t="n">
        <v>0</v>
      </c>
      <c r="O658" t="n">
        <v>0</v>
      </c>
      <c r="P658" t="n">
        <v>0</v>
      </c>
      <c r="Q658" t="n">
        <v>0</v>
      </c>
      <c r="R658" s="2" t="inlineStr"/>
    </row>
    <row r="659" ht="15" customHeight="1">
      <c r="A659" t="inlineStr">
        <is>
          <t>A 8416-2023</t>
        </is>
      </c>
      <c r="B659" s="1" t="n">
        <v>44977.44373842593</v>
      </c>
      <c r="C659" s="1" t="n">
        <v>45926</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45253-2023</t>
        </is>
      </c>
      <c r="B660" s="1" t="n">
        <v>45187</v>
      </c>
      <c r="C660" s="1" t="n">
        <v>45926</v>
      </c>
      <c r="D660" t="inlineStr">
        <is>
          <t>JÄMTLANDS LÄN</t>
        </is>
      </c>
      <c r="E660" t="inlineStr">
        <is>
          <t>RAGUNDA</t>
        </is>
      </c>
      <c r="G660" t="n">
        <v>3.3</v>
      </c>
      <c r="H660" t="n">
        <v>0</v>
      </c>
      <c r="I660" t="n">
        <v>0</v>
      </c>
      <c r="J660" t="n">
        <v>0</v>
      </c>
      <c r="K660" t="n">
        <v>0</v>
      </c>
      <c r="L660" t="n">
        <v>0</v>
      </c>
      <c r="M660" t="n">
        <v>0</v>
      </c>
      <c r="N660" t="n">
        <v>0</v>
      </c>
      <c r="O660" t="n">
        <v>0</v>
      </c>
      <c r="P660" t="n">
        <v>0</v>
      </c>
      <c r="Q660" t="n">
        <v>0</v>
      </c>
      <c r="R660" s="2" t="inlineStr"/>
    </row>
    <row r="661" ht="15" customHeight="1">
      <c r="A661" t="inlineStr">
        <is>
          <t>A 18989-2025</t>
        </is>
      </c>
      <c r="B661" s="1" t="n">
        <v>45764</v>
      </c>
      <c r="C661" s="1" t="n">
        <v>45926</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8243-2024</t>
        </is>
      </c>
      <c r="B662" s="1" t="n">
        <v>45351.98532407408</v>
      </c>
      <c r="C662" s="1" t="n">
        <v>45926</v>
      </c>
      <c r="D662" t="inlineStr">
        <is>
          <t>JÄMTLANDS LÄN</t>
        </is>
      </c>
      <c r="E662" t="inlineStr">
        <is>
          <t>RAGUNDA</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1325-2025</t>
        </is>
      </c>
      <c r="B663" s="1" t="n">
        <v>45667.57342592593</v>
      </c>
      <c r="C663" s="1" t="n">
        <v>45926</v>
      </c>
      <c r="D663" t="inlineStr">
        <is>
          <t>JÄMTLANDS LÄN</t>
        </is>
      </c>
      <c r="E663" t="inlineStr">
        <is>
          <t>RAGUNDA</t>
        </is>
      </c>
      <c r="F663" t="inlineStr">
        <is>
          <t>SCA</t>
        </is>
      </c>
      <c r="G663" t="n">
        <v>20.2</v>
      </c>
      <c r="H663" t="n">
        <v>0</v>
      </c>
      <c r="I663" t="n">
        <v>0</v>
      </c>
      <c r="J663" t="n">
        <v>0</v>
      </c>
      <c r="K663" t="n">
        <v>0</v>
      </c>
      <c r="L663" t="n">
        <v>0</v>
      </c>
      <c r="M663" t="n">
        <v>0</v>
      </c>
      <c r="N663" t="n">
        <v>0</v>
      </c>
      <c r="O663" t="n">
        <v>0</v>
      </c>
      <c r="P663" t="n">
        <v>0</v>
      </c>
      <c r="Q663" t="n">
        <v>0</v>
      </c>
      <c r="R663" s="2" t="inlineStr"/>
    </row>
    <row r="664" ht="15" customHeight="1">
      <c r="A664" t="inlineStr">
        <is>
          <t>A 14369-2024</t>
        </is>
      </c>
      <c r="B664" s="1" t="n">
        <v>45393.94459490741</v>
      </c>
      <c r="C664" s="1" t="n">
        <v>45926</v>
      </c>
      <c r="D664" t="inlineStr">
        <is>
          <t>JÄMTLANDS LÄN</t>
        </is>
      </c>
      <c r="E664" t="inlineStr">
        <is>
          <t>RAGUNDA</t>
        </is>
      </c>
      <c r="F664" t="inlineStr">
        <is>
          <t>Naturvårdsverket</t>
        </is>
      </c>
      <c r="G664" t="n">
        <v>1.8</v>
      </c>
      <c r="H664" t="n">
        <v>0</v>
      </c>
      <c r="I664" t="n">
        <v>0</v>
      </c>
      <c r="J664" t="n">
        <v>0</v>
      </c>
      <c r="K664" t="n">
        <v>0</v>
      </c>
      <c r="L664" t="n">
        <v>0</v>
      </c>
      <c r="M664" t="n">
        <v>0</v>
      </c>
      <c r="N664" t="n">
        <v>0</v>
      </c>
      <c r="O664" t="n">
        <v>0</v>
      </c>
      <c r="P664" t="n">
        <v>0</v>
      </c>
      <c r="Q664" t="n">
        <v>0</v>
      </c>
      <c r="R664" s="2" t="inlineStr"/>
    </row>
    <row r="665" ht="15" customHeight="1">
      <c r="A665" t="inlineStr">
        <is>
          <t>A 28216-2025</t>
        </is>
      </c>
      <c r="B665" s="1" t="n">
        <v>45818.46898148148</v>
      </c>
      <c r="C665" s="1" t="n">
        <v>45926</v>
      </c>
      <c r="D665" t="inlineStr">
        <is>
          <t>JÄMTLANDS LÄN</t>
        </is>
      </c>
      <c r="E665" t="inlineStr">
        <is>
          <t>RAGUNDA</t>
        </is>
      </c>
      <c r="G665" t="n">
        <v>6.6</v>
      </c>
      <c r="H665" t="n">
        <v>0</v>
      </c>
      <c r="I665" t="n">
        <v>0</v>
      </c>
      <c r="J665" t="n">
        <v>0</v>
      </c>
      <c r="K665" t="n">
        <v>0</v>
      </c>
      <c r="L665" t="n">
        <v>0</v>
      </c>
      <c r="M665" t="n">
        <v>0</v>
      </c>
      <c r="N665" t="n">
        <v>0</v>
      </c>
      <c r="O665" t="n">
        <v>0</v>
      </c>
      <c r="P665" t="n">
        <v>0</v>
      </c>
      <c r="Q665" t="n">
        <v>0</v>
      </c>
      <c r="R665" s="2" t="inlineStr"/>
    </row>
    <row r="666" ht="15" customHeight="1">
      <c r="A666" t="inlineStr">
        <is>
          <t>A 18159-2023</t>
        </is>
      </c>
      <c r="B666" s="1" t="n">
        <v>45040.94277777777</v>
      </c>
      <c r="C666" s="1" t="n">
        <v>45926</v>
      </c>
      <c r="D666" t="inlineStr">
        <is>
          <t>JÄMTLANDS LÄN</t>
        </is>
      </c>
      <c r="E666" t="inlineStr">
        <is>
          <t>RAGUNDA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19486-2024</t>
        </is>
      </c>
      <c r="B667" s="1" t="n">
        <v>45429</v>
      </c>
      <c r="C667" s="1" t="n">
        <v>45926</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1326-2025</t>
        </is>
      </c>
      <c r="B668" s="1" t="n">
        <v>45667.57347222222</v>
      </c>
      <c r="C668" s="1" t="n">
        <v>45926</v>
      </c>
      <c r="D668" t="inlineStr">
        <is>
          <t>JÄMTLANDS LÄN</t>
        </is>
      </c>
      <c r="E668" t="inlineStr">
        <is>
          <t>RAGUNDA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30642-2024</t>
        </is>
      </c>
      <c r="B669" s="1" t="n">
        <v>45495.57677083334</v>
      </c>
      <c r="C669" s="1" t="n">
        <v>45926</v>
      </c>
      <c r="D669" t="inlineStr">
        <is>
          <t>JÄMTLANDS LÄN</t>
        </is>
      </c>
      <c r="E669" t="inlineStr">
        <is>
          <t>RAGUNDA</t>
        </is>
      </c>
      <c r="G669" t="n">
        <v>2.7</v>
      </c>
      <c r="H669" t="n">
        <v>0</v>
      </c>
      <c r="I669" t="n">
        <v>0</v>
      </c>
      <c r="J669" t="n">
        <v>0</v>
      </c>
      <c r="K669" t="n">
        <v>0</v>
      </c>
      <c r="L669" t="n">
        <v>0</v>
      </c>
      <c r="M669" t="n">
        <v>0</v>
      </c>
      <c r="N669" t="n">
        <v>0</v>
      </c>
      <c r="O669" t="n">
        <v>0</v>
      </c>
      <c r="P669" t="n">
        <v>0</v>
      </c>
      <c r="Q669" t="n">
        <v>0</v>
      </c>
      <c r="R669" s="2" t="inlineStr"/>
    </row>
    <row r="670" ht="15" customHeight="1">
      <c r="A670" t="inlineStr">
        <is>
          <t>A 993-2025</t>
        </is>
      </c>
      <c r="B670" s="1" t="n">
        <v>45666.44943287037</v>
      </c>
      <c r="C670" s="1" t="n">
        <v>45926</v>
      </c>
      <c r="D670" t="inlineStr">
        <is>
          <t>JÄMTLANDS LÄN</t>
        </is>
      </c>
      <c r="E670" t="inlineStr">
        <is>
          <t>RAGUNDA</t>
        </is>
      </c>
      <c r="G670" t="n">
        <v>11.3</v>
      </c>
      <c r="H670" t="n">
        <v>0</v>
      </c>
      <c r="I670" t="n">
        <v>0</v>
      </c>
      <c r="J670" t="n">
        <v>0</v>
      </c>
      <c r="K670" t="n">
        <v>0</v>
      </c>
      <c r="L670" t="n">
        <v>0</v>
      </c>
      <c r="M670" t="n">
        <v>0</v>
      </c>
      <c r="N670" t="n">
        <v>0</v>
      </c>
      <c r="O670" t="n">
        <v>0</v>
      </c>
      <c r="P670" t="n">
        <v>0</v>
      </c>
      <c r="Q670" t="n">
        <v>0</v>
      </c>
      <c r="R670" s="2" t="inlineStr"/>
    </row>
    <row r="671" ht="15" customHeight="1">
      <c r="A671" t="inlineStr">
        <is>
          <t>A 182-2023</t>
        </is>
      </c>
      <c r="B671" s="1" t="n">
        <v>44922</v>
      </c>
      <c r="C671" s="1" t="n">
        <v>45926</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58193-2022</t>
        </is>
      </c>
      <c r="B672" s="1" t="n">
        <v>44900.95700231481</v>
      </c>
      <c r="C672" s="1" t="n">
        <v>45926</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45926</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28081-2022</t>
        </is>
      </c>
      <c r="B674" s="1" t="n">
        <v>44746</v>
      </c>
      <c r="C674" s="1" t="n">
        <v>45926</v>
      </c>
      <c r="D674" t="inlineStr">
        <is>
          <t>JÄMTLANDS LÄN</t>
        </is>
      </c>
      <c r="E674" t="inlineStr">
        <is>
          <t>RAGUNDA</t>
        </is>
      </c>
      <c r="G674" t="n">
        <v>7.2</v>
      </c>
      <c r="H674" t="n">
        <v>0</v>
      </c>
      <c r="I674" t="n">
        <v>0</v>
      </c>
      <c r="J674" t="n">
        <v>0</v>
      </c>
      <c r="K674" t="n">
        <v>0</v>
      </c>
      <c r="L674" t="n">
        <v>0</v>
      </c>
      <c r="M674" t="n">
        <v>0</v>
      </c>
      <c r="N674" t="n">
        <v>0</v>
      </c>
      <c r="O674" t="n">
        <v>0</v>
      </c>
      <c r="P674" t="n">
        <v>0</v>
      </c>
      <c r="Q674" t="n">
        <v>0</v>
      </c>
      <c r="R674" s="2" t="inlineStr"/>
    </row>
    <row r="675" ht="15" customHeight="1">
      <c r="A675" t="inlineStr">
        <is>
          <t>A 58537-2022</t>
        </is>
      </c>
      <c r="B675" s="1" t="n">
        <v>44894</v>
      </c>
      <c r="C675" s="1" t="n">
        <v>45926</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6802-2021</t>
        </is>
      </c>
      <c r="B676" s="1" t="n">
        <v>44236</v>
      </c>
      <c r="C676" s="1" t="n">
        <v>45926</v>
      </c>
      <c r="D676" t="inlineStr">
        <is>
          <t>JÄMTLANDS LÄN</t>
        </is>
      </c>
      <c r="E676" t="inlineStr">
        <is>
          <t>RAGUNDA</t>
        </is>
      </c>
      <c r="G676" t="n">
        <v>11.2</v>
      </c>
      <c r="H676" t="n">
        <v>0</v>
      </c>
      <c r="I676" t="n">
        <v>0</v>
      </c>
      <c r="J676" t="n">
        <v>0</v>
      </c>
      <c r="K676" t="n">
        <v>0</v>
      </c>
      <c r="L676" t="n">
        <v>0</v>
      </c>
      <c r="M676" t="n">
        <v>0</v>
      </c>
      <c r="N676" t="n">
        <v>0</v>
      </c>
      <c r="O676" t="n">
        <v>0</v>
      </c>
      <c r="P676" t="n">
        <v>0</v>
      </c>
      <c r="Q676" t="n">
        <v>0</v>
      </c>
      <c r="R676" s="2" t="inlineStr"/>
    </row>
    <row r="677" ht="15" customHeight="1">
      <c r="A677" t="inlineStr">
        <is>
          <t>A 6477-2024</t>
        </is>
      </c>
      <c r="B677" s="1" t="n">
        <v>45338.95405092592</v>
      </c>
      <c r="C677" s="1" t="n">
        <v>45926</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35153-2024</t>
        </is>
      </c>
      <c r="B678" s="1" t="n">
        <v>45530</v>
      </c>
      <c r="C678" s="1" t="n">
        <v>45926</v>
      </c>
      <c r="D678" t="inlineStr">
        <is>
          <t>JÄMTLANDS LÄN</t>
        </is>
      </c>
      <c r="E678" t="inlineStr">
        <is>
          <t>RAGUNDA</t>
        </is>
      </c>
      <c r="G678" t="n">
        <v>2.7</v>
      </c>
      <c r="H678" t="n">
        <v>0</v>
      </c>
      <c r="I678" t="n">
        <v>0</v>
      </c>
      <c r="J678" t="n">
        <v>0</v>
      </c>
      <c r="K678" t="n">
        <v>0</v>
      </c>
      <c r="L678" t="n">
        <v>0</v>
      </c>
      <c r="M678" t="n">
        <v>0</v>
      </c>
      <c r="N678" t="n">
        <v>0</v>
      </c>
      <c r="O678" t="n">
        <v>0</v>
      </c>
      <c r="P678" t="n">
        <v>0</v>
      </c>
      <c r="Q678" t="n">
        <v>0</v>
      </c>
      <c r="R678" s="2" t="inlineStr"/>
    </row>
    <row r="679" ht="15" customHeight="1">
      <c r="A679" t="inlineStr">
        <is>
          <t>A 36246-2024</t>
        </is>
      </c>
      <c r="B679" s="1" t="n">
        <v>45534</v>
      </c>
      <c r="C679" s="1" t="n">
        <v>45926</v>
      </c>
      <c r="D679" t="inlineStr">
        <is>
          <t>JÄMTLANDS LÄN</t>
        </is>
      </c>
      <c r="E679" t="inlineStr">
        <is>
          <t>RAGUNDA</t>
        </is>
      </c>
      <c r="G679" t="n">
        <v>1.6</v>
      </c>
      <c r="H679" t="n">
        <v>0</v>
      </c>
      <c r="I679" t="n">
        <v>0</v>
      </c>
      <c r="J679" t="n">
        <v>0</v>
      </c>
      <c r="K679" t="n">
        <v>0</v>
      </c>
      <c r="L679" t="n">
        <v>0</v>
      </c>
      <c r="M679" t="n">
        <v>0</v>
      </c>
      <c r="N679" t="n">
        <v>0</v>
      </c>
      <c r="O679" t="n">
        <v>0</v>
      </c>
      <c r="P679" t="n">
        <v>0</v>
      </c>
      <c r="Q679" t="n">
        <v>0</v>
      </c>
      <c r="R679" s="2" t="inlineStr"/>
    </row>
    <row r="680" ht="15" customHeight="1">
      <c r="A680" t="inlineStr">
        <is>
          <t>A 24196-2024</t>
        </is>
      </c>
      <c r="B680" s="1" t="n">
        <v>45456.96569444444</v>
      </c>
      <c r="C680" s="1" t="n">
        <v>45926</v>
      </c>
      <c r="D680" t="inlineStr">
        <is>
          <t>JÄMTLANDS LÄN</t>
        </is>
      </c>
      <c r="E680" t="inlineStr">
        <is>
          <t>RAGUNDA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11558-2023</t>
        </is>
      </c>
      <c r="B681" s="1" t="n">
        <v>44993.94958333333</v>
      </c>
      <c r="C681" s="1" t="n">
        <v>45926</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44630-2023</t>
        </is>
      </c>
      <c r="B682" s="1" t="n">
        <v>45184</v>
      </c>
      <c r="C682" s="1" t="n">
        <v>45926</v>
      </c>
      <c r="D682" t="inlineStr">
        <is>
          <t>JÄMTLANDS LÄN</t>
        </is>
      </c>
      <c r="E682" t="inlineStr">
        <is>
          <t>RAGUNDA</t>
        </is>
      </c>
      <c r="G682" t="n">
        <v>3.4</v>
      </c>
      <c r="H682" t="n">
        <v>0</v>
      </c>
      <c r="I682" t="n">
        <v>0</v>
      </c>
      <c r="J682" t="n">
        <v>0</v>
      </c>
      <c r="K682" t="n">
        <v>0</v>
      </c>
      <c r="L682" t="n">
        <v>0</v>
      </c>
      <c r="M682" t="n">
        <v>0</v>
      </c>
      <c r="N682" t="n">
        <v>0</v>
      </c>
      <c r="O682" t="n">
        <v>0</v>
      </c>
      <c r="P682" t="n">
        <v>0</v>
      </c>
      <c r="Q682" t="n">
        <v>0</v>
      </c>
      <c r="R682" s="2" t="inlineStr"/>
    </row>
    <row r="683" ht="15" customHeight="1">
      <c r="A683" t="inlineStr">
        <is>
          <t>A 51049-2024</t>
        </is>
      </c>
      <c r="B683" s="1" t="n">
        <v>45603.44644675926</v>
      </c>
      <c r="C683" s="1" t="n">
        <v>45926</v>
      </c>
      <c r="D683" t="inlineStr">
        <is>
          <t>JÄMTLANDS LÄN</t>
        </is>
      </c>
      <c r="E683" t="inlineStr">
        <is>
          <t>RAGUNDA</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44759-2024</t>
        </is>
      </c>
      <c r="B684" s="1" t="n">
        <v>45574.61634259259</v>
      </c>
      <c r="C684" s="1" t="n">
        <v>45926</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37324-2022</t>
        </is>
      </c>
      <c r="B685" s="1" t="n">
        <v>44806</v>
      </c>
      <c r="C685" s="1" t="n">
        <v>45926</v>
      </c>
      <c r="D685" t="inlineStr">
        <is>
          <t>JÄMTLANDS LÄN</t>
        </is>
      </c>
      <c r="E685" t="inlineStr">
        <is>
          <t>RAGUNDA</t>
        </is>
      </c>
      <c r="G685" t="n">
        <v>2.3</v>
      </c>
      <c r="H685" t="n">
        <v>0</v>
      </c>
      <c r="I685" t="n">
        <v>0</v>
      </c>
      <c r="J685" t="n">
        <v>0</v>
      </c>
      <c r="K685" t="n">
        <v>0</v>
      </c>
      <c r="L685" t="n">
        <v>0</v>
      </c>
      <c r="M685" t="n">
        <v>0</v>
      </c>
      <c r="N685" t="n">
        <v>0</v>
      </c>
      <c r="O685" t="n">
        <v>0</v>
      </c>
      <c r="P685" t="n">
        <v>0</v>
      </c>
      <c r="Q685" t="n">
        <v>0</v>
      </c>
      <c r="R685" s="2" t="inlineStr"/>
    </row>
    <row r="686" ht="15" customHeight="1">
      <c r="A686" t="inlineStr">
        <is>
          <t>A 41343-2024</t>
        </is>
      </c>
      <c r="B686" s="1" t="n">
        <v>45559.67745370371</v>
      </c>
      <c r="C686" s="1" t="n">
        <v>45926</v>
      </c>
      <c r="D686" t="inlineStr">
        <is>
          <t>JÄMTLANDS LÄN</t>
        </is>
      </c>
      <c r="E686" t="inlineStr">
        <is>
          <t>RAGUNDA</t>
        </is>
      </c>
      <c r="F686" t="inlineStr">
        <is>
          <t>SCA</t>
        </is>
      </c>
      <c r="G686" t="n">
        <v>25.1</v>
      </c>
      <c r="H686" t="n">
        <v>0</v>
      </c>
      <c r="I686" t="n">
        <v>0</v>
      </c>
      <c r="J686" t="n">
        <v>0</v>
      </c>
      <c r="K686" t="n">
        <v>0</v>
      </c>
      <c r="L686" t="n">
        <v>0</v>
      </c>
      <c r="M686" t="n">
        <v>0</v>
      </c>
      <c r="N686" t="n">
        <v>0</v>
      </c>
      <c r="O686" t="n">
        <v>0</v>
      </c>
      <c r="P686" t="n">
        <v>0</v>
      </c>
      <c r="Q686" t="n">
        <v>0</v>
      </c>
      <c r="R686" s="2" t="inlineStr"/>
    </row>
    <row r="687" ht="15" customHeight="1">
      <c r="A687" t="inlineStr">
        <is>
          <t>A 18193-2022</t>
        </is>
      </c>
      <c r="B687" s="1" t="n">
        <v>44684.94032407407</v>
      </c>
      <c r="C687" s="1" t="n">
        <v>45926</v>
      </c>
      <c r="D687" t="inlineStr">
        <is>
          <t>JÄMTLANDS LÄN</t>
        </is>
      </c>
      <c r="E687" t="inlineStr">
        <is>
          <t>RAGUNDA</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11551-2024</t>
        </is>
      </c>
      <c r="B688" s="1" t="n">
        <v>45372.95762731481</v>
      </c>
      <c r="C688" s="1" t="n">
        <v>45926</v>
      </c>
      <c r="D688" t="inlineStr">
        <is>
          <t>JÄMTLANDS LÄN</t>
        </is>
      </c>
      <c r="E688" t="inlineStr">
        <is>
          <t>RAGUNDA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45953-2023</t>
        </is>
      </c>
      <c r="B689" s="1" t="n">
        <v>45195.94672453704</v>
      </c>
      <c r="C689" s="1" t="n">
        <v>45926</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49647-2024</t>
        </is>
      </c>
      <c r="B690" s="1" t="n">
        <v>45596.61533564814</v>
      </c>
      <c r="C690" s="1" t="n">
        <v>45926</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53264-2024</t>
        </is>
      </c>
      <c r="B691" s="1" t="n">
        <v>45614.34545138889</v>
      </c>
      <c r="C691" s="1" t="n">
        <v>45926</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13389-2025</t>
        </is>
      </c>
      <c r="B692" s="1" t="n">
        <v>45735.69842592593</v>
      </c>
      <c r="C692" s="1" t="n">
        <v>45926</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45926</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45631-2024</t>
        </is>
      </c>
      <c r="B694" s="1" t="n">
        <v>45579.47052083333</v>
      </c>
      <c r="C694" s="1" t="n">
        <v>45926</v>
      </c>
      <c r="D694" t="inlineStr">
        <is>
          <t>JÄMTLANDS LÄN</t>
        </is>
      </c>
      <c r="E694" t="inlineStr">
        <is>
          <t>RAGUNDA</t>
        </is>
      </c>
      <c r="G694" t="n">
        <v>15.1</v>
      </c>
      <c r="H694" t="n">
        <v>0</v>
      </c>
      <c r="I694" t="n">
        <v>0</v>
      </c>
      <c r="J694" t="n">
        <v>0</v>
      </c>
      <c r="K694" t="n">
        <v>0</v>
      </c>
      <c r="L694" t="n">
        <v>0</v>
      </c>
      <c r="M694" t="n">
        <v>0</v>
      </c>
      <c r="N694" t="n">
        <v>0</v>
      </c>
      <c r="O694" t="n">
        <v>0</v>
      </c>
      <c r="P694" t="n">
        <v>0</v>
      </c>
      <c r="Q694" t="n">
        <v>0</v>
      </c>
      <c r="R694" s="2" t="inlineStr"/>
    </row>
    <row r="695" ht="15" customHeight="1">
      <c r="A695" t="inlineStr">
        <is>
          <t>A 16982-2024</t>
        </is>
      </c>
      <c r="B695" s="1" t="n">
        <v>45412.02506944445</v>
      </c>
      <c r="C695" s="1" t="n">
        <v>45926</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55701-2021</t>
        </is>
      </c>
      <c r="B696" s="1" t="n">
        <v>44475</v>
      </c>
      <c r="C696" s="1" t="n">
        <v>45926</v>
      </c>
      <c r="D696" t="inlineStr">
        <is>
          <t>JÄMTLANDS LÄN</t>
        </is>
      </c>
      <c r="E696" t="inlineStr">
        <is>
          <t>RAGUNDA</t>
        </is>
      </c>
      <c r="G696" t="n">
        <v>5.6</v>
      </c>
      <c r="H696" t="n">
        <v>0</v>
      </c>
      <c r="I696" t="n">
        <v>0</v>
      </c>
      <c r="J696" t="n">
        <v>0</v>
      </c>
      <c r="K696" t="n">
        <v>0</v>
      </c>
      <c r="L696" t="n">
        <v>0</v>
      </c>
      <c r="M696" t="n">
        <v>0</v>
      </c>
      <c r="N696" t="n">
        <v>0</v>
      </c>
      <c r="O696" t="n">
        <v>0</v>
      </c>
      <c r="P696" t="n">
        <v>0</v>
      </c>
      <c r="Q696" t="n">
        <v>0</v>
      </c>
      <c r="R696" s="2" t="inlineStr"/>
    </row>
    <row r="697" ht="15" customHeight="1">
      <c r="A697" t="inlineStr">
        <is>
          <t>A 49650-2024</t>
        </is>
      </c>
      <c r="B697" s="1" t="n">
        <v>45596.61569444444</v>
      </c>
      <c r="C697" s="1" t="n">
        <v>45926</v>
      </c>
      <c r="D697" t="inlineStr">
        <is>
          <t>JÄMTLANDS LÄN</t>
        </is>
      </c>
      <c r="E697" t="inlineStr">
        <is>
          <t>RAGUNDA</t>
        </is>
      </c>
      <c r="F697" t="inlineStr">
        <is>
          <t>Naturvårdsverket</t>
        </is>
      </c>
      <c r="G697" t="n">
        <v>3</v>
      </c>
      <c r="H697" t="n">
        <v>0</v>
      </c>
      <c r="I697" t="n">
        <v>0</v>
      </c>
      <c r="J697" t="n">
        <v>0</v>
      </c>
      <c r="K697" t="n">
        <v>0</v>
      </c>
      <c r="L697" t="n">
        <v>0</v>
      </c>
      <c r="M697" t="n">
        <v>0</v>
      </c>
      <c r="N697" t="n">
        <v>0</v>
      </c>
      <c r="O697" t="n">
        <v>0</v>
      </c>
      <c r="P697" t="n">
        <v>0</v>
      </c>
      <c r="Q697" t="n">
        <v>0</v>
      </c>
      <c r="R697" s="2" t="inlineStr"/>
    </row>
    <row r="698" ht="15" customHeight="1">
      <c r="A698" t="inlineStr">
        <is>
          <t>A 49651-2024</t>
        </is>
      </c>
      <c r="B698" s="1" t="n">
        <v>45596.61582175926</v>
      </c>
      <c r="C698" s="1" t="n">
        <v>45926</v>
      </c>
      <c r="D698" t="inlineStr">
        <is>
          <t>JÄMTLANDS LÄN</t>
        </is>
      </c>
      <c r="E698" t="inlineStr">
        <is>
          <t>RAGUNDA</t>
        </is>
      </c>
      <c r="F698" t="inlineStr">
        <is>
          <t>SCA</t>
        </is>
      </c>
      <c r="G698" t="n">
        <v>5.3</v>
      </c>
      <c r="H698" t="n">
        <v>0</v>
      </c>
      <c r="I698" t="n">
        <v>0</v>
      </c>
      <c r="J698" t="n">
        <v>0</v>
      </c>
      <c r="K698" t="n">
        <v>0</v>
      </c>
      <c r="L698" t="n">
        <v>0</v>
      </c>
      <c r="M698" t="n">
        <v>0</v>
      </c>
      <c r="N698" t="n">
        <v>0</v>
      </c>
      <c r="O698" t="n">
        <v>0</v>
      </c>
      <c r="P698" t="n">
        <v>0</v>
      </c>
      <c r="Q698" t="n">
        <v>0</v>
      </c>
      <c r="R698" s="2" t="inlineStr"/>
    </row>
    <row r="699" ht="15" customHeight="1">
      <c r="A699" t="inlineStr">
        <is>
          <t>A 64264-2023</t>
        </is>
      </c>
      <c r="B699" s="1" t="n">
        <v>45279.94564814815</v>
      </c>
      <c r="C699" s="1" t="n">
        <v>45926</v>
      </c>
      <c r="D699" t="inlineStr">
        <is>
          <t>JÄMTLANDS LÄN</t>
        </is>
      </c>
      <c r="E699" t="inlineStr">
        <is>
          <t>RAGUNDA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30484-2024</t>
        </is>
      </c>
      <c r="B700" s="1" t="n">
        <v>45491</v>
      </c>
      <c r="C700" s="1" t="n">
        <v>45926</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42893-2022</t>
        </is>
      </c>
      <c r="B701" s="1" t="n">
        <v>44832</v>
      </c>
      <c r="C701" s="1" t="n">
        <v>45926</v>
      </c>
      <c r="D701" t="inlineStr">
        <is>
          <t>JÄMTLANDS LÄN</t>
        </is>
      </c>
      <c r="E701" t="inlineStr">
        <is>
          <t>RAGUNDA</t>
        </is>
      </c>
      <c r="F701" t="inlineStr">
        <is>
          <t>SCA</t>
        </is>
      </c>
      <c r="G701" t="n">
        <v>28.4</v>
      </c>
      <c r="H701" t="n">
        <v>0</v>
      </c>
      <c r="I701" t="n">
        <v>0</v>
      </c>
      <c r="J701" t="n">
        <v>0</v>
      </c>
      <c r="K701" t="n">
        <v>0</v>
      </c>
      <c r="L701" t="n">
        <v>0</v>
      </c>
      <c r="M701" t="n">
        <v>0</v>
      </c>
      <c r="N701" t="n">
        <v>0</v>
      </c>
      <c r="O701" t="n">
        <v>0</v>
      </c>
      <c r="P701" t="n">
        <v>0</v>
      </c>
      <c r="Q701" t="n">
        <v>0</v>
      </c>
      <c r="R701" s="2" t="inlineStr"/>
    </row>
    <row r="702" ht="15" customHeight="1">
      <c r="A702" t="inlineStr">
        <is>
          <t>A 29940-2023</t>
        </is>
      </c>
      <c r="B702" s="1" t="n">
        <v>45107</v>
      </c>
      <c r="C702" s="1" t="n">
        <v>45926</v>
      </c>
      <c r="D702" t="inlineStr">
        <is>
          <t>JÄMTLANDS LÄN</t>
        </is>
      </c>
      <c r="E702" t="inlineStr">
        <is>
          <t>RAGUNDA</t>
        </is>
      </c>
      <c r="G702" t="n">
        <v>13.5</v>
      </c>
      <c r="H702" t="n">
        <v>0</v>
      </c>
      <c r="I702" t="n">
        <v>0</v>
      </c>
      <c r="J702" t="n">
        <v>0</v>
      </c>
      <c r="K702" t="n">
        <v>0</v>
      </c>
      <c r="L702" t="n">
        <v>0</v>
      </c>
      <c r="M702" t="n">
        <v>0</v>
      </c>
      <c r="N702" t="n">
        <v>0</v>
      </c>
      <c r="O702" t="n">
        <v>0</v>
      </c>
      <c r="P702" t="n">
        <v>0</v>
      </c>
      <c r="Q702" t="n">
        <v>0</v>
      </c>
      <c r="R702" s="2" t="inlineStr"/>
    </row>
    <row r="703" ht="15" customHeight="1">
      <c r="A703" t="inlineStr">
        <is>
          <t>A 28973-2025</t>
        </is>
      </c>
      <c r="B703" s="1" t="n">
        <v>45821.34513888889</v>
      </c>
      <c r="C703" s="1" t="n">
        <v>45926</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14513-2025</t>
        </is>
      </c>
      <c r="B704" s="1" t="n">
        <v>45741.63675925926</v>
      </c>
      <c r="C704" s="1" t="n">
        <v>45926</v>
      </c>
      <c r="D704" t="inlineStr">
        <is>
          <t>JÄMTLANDS LÄN</t>
        </is>
      </c>
      <c r="E704" t="inlineStr">
        <is>
          <t>RAGUNDA</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23303-2024</t>
        </is>
      </c>
      <c r="B705" s="1" t="n">
        <v>45453.4444212963</v>
      </c>
      <c r="C705" s="1" t="n">
        <v>45926</v>
      </c>
      <c r="D705" t="inlineStr">
        <is>
          <t>JÄMTLANDS LÄN</t>
        </is>
      </c>
      <c r="E705" t="inlineStr">
        <is>
          <t>RAGUNDA</t>
        </is>
      </c>
      <c r="G705" t="n">
        <v>0.7</v>
      </c>
      <c r="H705" t="n">
        <v>0</v>
      </c>
      <c r="I705" t="n">
        <v>0</v>
      </c>
      <c r="J705" t="n">
        <v>0</v>
      </c>
      <c r="K705" t="n">
        <v>0</v>
      </c>
      <c r="L705" t="n">
        <v>0</v>
      </c>
      <c r="M705" t="n">
        <v>0</v>
      </c>
      <c r="N705" t="n">
        <v>0</v>
      </c>
      <c r="O705" t="n">
        <v>0</v>
      </c>
      <c r="P705" t="n">
        <v>0</v>
      </c>
      <c r="Q705" t="n">
        <v>0</v>
      </c>
      <c r="R705" s="2" t="inlineStr"/>
    </row>
    <row r="706" ht="15" customHeight="1">
      <c r="A706" t="inlineStr">
        <is>
          <t>A 179-2025</t>
        </is>
      </c>
      <c r="B706" s="1" t="n">
        <v>45659.69822916666</v>
      </c>
      <c r="C706" s="1" t="n">
        <v>45926</v>
      </c>
      <c r="D706" t="inlineStr">
        <is>
          <t>JÄMTLANDS LÄN</t>
        </is>
      </c>
      <c r="E706" t="inlineStr">
        <is>
          <t>RAGUNDA</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22412-2024</t>
        </is>
      </c>
      <c r="B707" s="1" t="n">
        <v>45446.68947916666</v>
      </c>
      <c r="C707" s="1" t="n">
        <v>45926</v>
      </c>
      <c r="D707" t="inlineStr">
        <is>
          <t>JÄMTLANDS LÄN</t>
        </is>
      </c>
      <c r="E707" t="inlineStr">
        <is>
          <t>RAGUNDA</t>
        </is>
      </c>
      <c r="G707" t="n">
        <v>0.8</v>
      </c>
      <c r="H707" t="n">
        <v>0</v>
      </c>
      <c r="I707" t="n">
        <v>0</v>
      </c>
      <c r="J707" t="n">
        <v>0</v>
      </c>
      <c r="K707" t="n">
        <v>0</v>
      </c>
      <c r="L707" t="n">
        <v>0</v>
      </c>
      <c r="M707" t="n">
        <v>0</v>
      </c>
      <c r="N707" t="n">
        <v>0</v>
      </c>
      <c r="O707" t="n">
        <v>0</v>
      </c>
      <c r="P707" t="n">
        <v>0</v>
      </c>
      <c r="Q707" t="n">
        <v>0</v>
      </c>
      <c r="R707" s="2" t="inlineStr"/>
    </row>
    <row r="708" ht="15" customHeight="1">
      <c r="A708" t="inlineStr">
        <is>
          <t>A 13334-2024</t>
        </is>
      </c>
      <c r="B708" s="1" t="n">
        <v>45386</v>
      </c>
      <c r="C708" s="1" t="n">
        <v>45926</v>
      </c>
      <c r="D708" t="inlineStr">
        <is>
          <t>JÄMTLANDS LÄN</t>
        </is>
      </c>
      <c r="E708" t="inlineStr">
        <is>
          <t>RAGUNDA</t>
        </is>
      </c>
      <c r="G708" t="n">
        <v>8.6</v>
      </c>
      <c r="H708" t="n">
        <v>0</v>
      </c>
      <c r="I708" t="n">
        <v>0</v>
      </c>
      <c r="J708" t="n">
        <v>0</v>
      </c>
      <c r="K708" t="n">
        <v>0</v>
      </c>
      <c r="L708" t="n">
        <v>0</v>
      </c>
      <c r="M708" t="n">
        <v>0</v>
      </c>
      <c r="N708" t="n">
        <v>0</v>
      </c>
      <c r="O708" t="n">
        <v>0</v>
      </c>
      <c r="P708" t="n">
        <v>0</v>
      </c>
      <c r="Q708" t="n">
        <v>0</v>
      </c>
      <c r="R708" s="2" t="inlineStr"/>
    </row>
    <row r="709" ht="15" customHeight="1">
      <c r="A709" t="inlineStr">
        <is>
          <t>A 60443-2023</t>
        </is>
      </c>
      <c r="B709" s="1" t="n">
        <v>45258</v>
      </c>
      <c r="C709" s="1" t="n">
        <v>45926</v>
      </c>
      <c r="D709" t="inlineStr">
        <is>
          <t>JÄMTLANDS LÄN</t>
        </is>
      </c>
      <c r="E709" t="inlineStr">
        <is>
          <t>RAGUNDA</t>
        </is>
      </c>
      <c r="G709" t="n">
        <v>2.9</v>
      </c>
      <c r="H709" t="n">
        <v>0</v>
      </c>
      <c r="I709" t="n">
        <v>0</v>
      </c>
      <c r="J709" t="n">
        <v>0</v>
      </c>
      <c r="K709" t="n">
        <v>0</v>
      </c>
      <c r="L709" t="n">
        <v>0</v>
      </c>
      <c r="M709" t="n">
        <v>0</v>
      </c>
      <c r="N709" t="n">
        <v>0</v>
      </c>
      <c r="O709" t="n">
        <v>0</v>
      </c>
      <c r="P709" t="n">
        <v>0</v>
      </c>
      <c r="Q709" t="n">
        <v>0</v>
      </c>
      <c r="R709" s="2" t="inlineStr"/>
    </row>
    <row r="710" ht="15" customHeight="1">
      <c r="A710" t="inlineStr">
        <is>
          <t>A 55904-2022</t>
        </is>
      </c>
      <c r="B710" s="1" t="n">
        <v>44888</v>
      </c>
      <c r="C710" s="1" t="n">
        <v>45926</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7281-2025</t>
        </is>
      </c>
      <c r="B711" s="1" t="n">
        <v>45702.63572916666</v>
      </c>
      <c r="C711" s="1" t="n">
        <v>45926</v>
      </c>
      <c r="D711" t="inlineStr">
        <is>
          <t>JÄMTLANDS LÄN</t>
        </is>
      </c>
      <c r="E711" t="inlineStr">
        <is>
          <t>RAGUNDA</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21726-2023</t>
        </is>
      </c>
      <c r="B712" s="1" t="n">
        <v>45065.42894675926</v>
      </c>
      <c r="C712" s="1" t="n">
        <v>45926</v>
      </c>
      <c r="D712" t="inlineStr">
        <is>
          <t>JÄMTLANDS LÄN</t>
        </is>
      </c>
      <c r="E712" t="inlineStr">
        <is>
          <t>RAGUNDA</t>
        </is>
      </c>
      <c r="G712" t="n">
        <v>0.4</v>
      </c>
      <c r="H712" t="n">
        <v>0</v>
      </c>
      <c r="I712" t="n">
        <v>0</v>
      </c>
      <c r="J712" t="n">
        <v>0</v>
      </c>
      <c r="K712" t="n">
        <v>0</v>
      </c>
      <c r="L712" t="n">
        <v>0</v>
      </c>
      <c r="M712" t="n">
        <v>0</v>
      </c>
      <c r="N712" t="n">
        <v>0</v>
      </c>
      <c r="O712" t="n">
        <v>0</v>
      </c>
      <c r="P712" t="n">
        <v>0</v>
      </c>
      <c r="Q712" t="n">
        <v>0</v>
      </c>
      <c r="R712" s="2" t="inlineStr"/>
    </row>
    <row r="713" ht="15" customHeight="1">
      <c r="A713" t="inlineStr">
        <is>
          <t>A 48192-2024</t>
        </is>
      </c>
      <c r="B713" s="1" t="n">
        <v>45590</v>
      </c>
      <c r="C713" s="1" t="n">
        <v>45926</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45952-2023</t>
        </is>
      </c>
      <c r="B714" s="1" t="n">
        <v>45195</v>
      </c>
      <c r="C714" s="1" t="n">
        <v>45926</v>
      </c>
      <c r="D714" t="inlineStr">
        <is>
          <t>JÄMTLANDS LÄN</t>
        </is>
      </c>
      <c r="E714" t="inlineStr">
        <is>
          <t>RAGUNDA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45954-2023</t>
        </is>
      </c>
      <c r="B715" s="1" t="n">
        <v>45195.94679398148</v>
      </c>
      <c r="C715" s="1" t="n">
        <v>45926</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45955-2023</t>
        </is>
      </c>
      <c r="B716" s="1" t="n">
        <v>45195.94685185186</v>
      </c>
      <c r="C716" s="1" t="n">
        <v>45926</v>
      </c>
      <c r="D716" t="inlineStr">
        <is>
          <t>JÄMTLANDS LÄN</t>
        </is>
      </c>
      <c r="E716" t="inlineStr">
        <is>
          <t>RAGUNDA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2599-2023</t>
        </is>
      </c>
      <c r="B717" s="1" t="n">
        <v>44943.94802083333</v>
      </c>
      <c r="C717" s="1" t="n">
        <v>45926</v>
      </c>
      <c r="D717" t="inlineStr">
        <is>
          <t>JÄMTLANDS LÄN</t>
        </is>
      </c>
      <c r="E717" t="inlineStr">
        <is>
          <t>RAGUNDA</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60456-2023</t>
        </is>
      </c>
      <c r="B718" s="1" t="n">
        <v>45258</v>
      </c>
      <c r="C718" s="1" t="n">
        <v>45926</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16334-2025</t>
        </is>
      </c>
      <c r="B719" s="1" t="n">
        <v>45751.36490740741</v>
      </c>
      <c r="C719" s="1" t="n">
        <v>45926</v>
      </c>
      <c r="D719" t="inlineStr">
        <is>
          <t>JÄMTLANDS LÄN</t>
        </is>
      </c>
      <c r="E719" t="inlineStr">
        <is>
          <t>RAGUNDA</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48249-2024</t>
        </is>
      </c>
      <c r="B720" s="1" t="n">
        <v>45590.40675925926</v>
      </c>
      <c r="C720" s="1" t="n">
        <v>45926</v>
      </c>
      <c r="D720" t="inlineStr">
        <is>
          <t>JÄMTLANDS LÄN</t>
        </is>
      </c>
      <c r="E720" t="inlineStr">
        <is>
          <t>RAGUNDA</t>
        </is>
      </c>
      <c r="F720" t="inlineStr">
        <is>
          <t>SCA</t>
        </is>
      </c>
      <c r="G720" t="n">
        <v>14.4</v>
      </c>
      <c r="H720" t="n">
        <v>0</v>
      </c>
      <c r="I720" t="n">
        <v>0</v>
      </c>
      <c r="J720" t="n">
        <v>0</v>
      </c>
      <c r="K720" t="n">
        <v>0</v>
      </c>
      <c r="L720" t="n">
        <v>0</v>
      </c>
      <c r="M720" t="n">
        <v>0</v>
      </c>
      <c r="N720" t="n">
        <v>0</v>
      </c>
      <c r="O720" t="n">
        <v>0</v>
      </c>
      <c r="P720" t="n">
        <v>0</v>
      </c>
      <c r="Q720" t="n">
        <v>0</v>
      </c>
      <c r="R720" s="2" t="inlineStr"/>
    </row>
    <row r="721" ht="15" customHeight="1">
      <c r="A721" t="inlineStr">
        <is>
          <t>A 58438-2022</t>
        </is>
      </c>
      <c r="B721" s="1" t="n">
        <v>44901</v>
      </c>
      <c r="C721" s="1" t="n">
        <v>45926</v>
      </c>
      <c r="D721" t="inlineStr">
        <is>
          <t>JÄMTLANDS LÄN</t>
        </is>
      </c>
      <c r="E721" t="inlineStr">
        <is>
          <t>RAGUNDA</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58442-2022</t>
        </is>
      </c>
      <c r="B722" s="1" t="n">
        <v>44901</v>
      </c>
      <c r="C722" s="1" t="n">
        <v>45926</v>
      </c>
      <c r="D722" t="inlineStr">
        <is>
          <t>JÄMTLANDS LÄN</t>
        </is>
      </c>
      <c r="E722" t="inlineStr">
        <is>
          <t>RAGUNDA</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64265-2023</t>
        </is>
      </c>
      <c r="B723" s="1" t="n">
        <v>45279.94572916667</v>
      </c>
      <c r="C723" s="1" t="n">
        <v>45926</v>
      </c>
      <c r="D723" t="inlineStr">
        <is>
          <t>JÄMTLANDS LÄN</t>
        </is>
      </c>
      <c r="E723" t="inlineStr">
        <is>
          <t>RAGUNDA</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5806-2025</t>
        </is>
      </c>
      <c r="B724" s="1" t="n">
        <v>45694.69826388889</v>
      </c>
      <c r="C724" s="1" t="n">
        <v>45926</v>
      </c>
      <c r="D724" t="inlineStr">
        <is>
          <t>JÄMTLANDS LÄN</t>
        </is>
      </c>
      <c r="E724" t="inlineStr">
        <is>
          <t>RAGUNDA</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41179-2022</t>
        </is>
      </c>
      <c r="B725" s="1" t="n">
        <v>44825</v>
      </c>
      <c r="C725" s="1" t="n">
        <v>45926</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66706-2021</t>
        </is>
      </c>
      <c r="B726" s="1" t="n">
        <v>44519.94440972222</v>
      </c>
      <c r="C726" s="1" t="n">
        <v>45926</v>
      </c>
      <c r="D726" t="inlineStr">
        <is>
          <t>JÄMTLANDS LÄN</t>
        </is>
      </c>
      <c r="E726" t="inlineStr">
        <is>
          <t>RAGUNDA</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61598-2024</t>
        </is>
      </c>
      <c r="B727" s="1" t="n">
        <v>45646.63605324074</v>
      </c>
      <c r="C727" s="1" t="n">
        <v>45926</v>
      </c>
      <c r="D727" t="inlineStr">
        <is>
          <t>JÄMTLANDS LÄN</t>
        </is>
      </c>
      <c r="E727" t="inlineStr">
        <is>
          <t>RAGUNDA</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17667-2025</t>
        </is>
      </c>
      <c r="B728" s="1" t="n">
        <v>45758.36487268518</v>
      </c>
      <c r="C728" s="1" t="n">
        <v>45926</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50157-2023</t>
        </is>
      </c>
      <c r="B729" s="1" t="n">
        <v>45208</v>
      </c>
      <c r="C729" s="1" t="n">
        <v>45926</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12405-2025</t>
        </is>
      </c>
      <c r="B730" s="1" t="n">
        <v>45730.42738425926</v>
      </c>
      <c r="C730" s="1" t="n">
        <v>45926</v>
      </c>
      <c r="D730" t="inlineStr">
        <is>
          <t>JÄMTLANDS LÄN</t>
        </is>
      </c>
      <c r="E730" t="inlineStr">
        <is>
          <t>RAGUNDA</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55222-2024</t>
        </is>
      </c>
      <c r="B731" s="1" t="n">
        <v>45621.57395833333</v>
      </c>
      <c r="C731" s="1" t="n">
        <v>45926</v>
      </c>
      <c r="D731" t="inlineStr">
        <is>
          <t>JÄMTLANDS LÄN</t>
        </is>
      </c>
      <c r="E731" t="inlineStr">
        <is>
          <t>RAGUNDA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46211-2024</t>
        </is>
      </c>
      <c r="B732" s="1" t="n">
        <v>45581.55260416667</v>
      </c>
      <c r="C732" s="1" t="n">
        <v>45926</v>
      </c>
      <c r="D732" t="inlineStr">
        <is>
          <t>JÄMTLANDS LÄN</t>
        </is>
      </c>
      <c r="E732" t="inlineStr">
        <is>
          <t>RAGUNDA</t>
        </is>
      </c>
      <c r="G732" t="n">
        <v>7.3</v>
      </c>
      <c r="H732" t="n">
        <v>0</v>
      </c>
      <c r="I732" t="n">
        <v>0</v>
      </c>
      <c r="J732" t="n">
        <v>0</v>
      </c>
      <c r="K732" t="n">
        <v>0</v>
      </c>
      <c r="L732" t="n">
        <v>0</v>
      </c>
      <c r="M732" t="n">
        <v>0</v>
      </c>
      <c r="N732" t="n">
        <v>0</v>
      </c>
      <c r="O732" t="n">
        <v>0</v>
      </c>
      <c r="P732" t="n">
        <v>0</v>
      </c>
      <c r="Q732" t="n">
        <v>0</v>
      </c>
      <c r="R732" s="2" t="inlineStr"/>
    </row>
    <row r="733" ht="15" customHeight="1">
      <c r="A733" t="inlineStr">
        <is>
          <t>A 36986-2023</t>
        </is>
      </c>
      <c r="B733" s="1" t="n">
        <v>45154.95525462963</v>
      </c>
      <c r="C733" s="1" t="n">
        <v>45926</v>
      </c>
      <c r="D733" t="inlineStr">
        <is>
          <t>JÄMTLANDS LÄN</t>
        </is>
      </c>
      <c r="E733" t="inlineStr">
        <is>
          <t>RAGUNDA</t>
        </is>
      </c>
      <c r="F733" t="inlineStr">
        <is>
          <t>SCA</t>
        </is>
      </c>
      <c r="G733" t="n">
        <v>0.2</v>
      </c>
      <c r="H733" t="n">
        <v>0</v>
      </c>
      <c r="I733" t="n">
        <v>0</v>
      </c>
      <c r="J733" t="n">
        <v>0</v>
      </c>
      <c r="K733" t="n">
        <v>0</v>
      </c>
      <c r="L733" t="n">
        <v>0</v>
      </c>
      <c r="M733" t="n">
        <v>0</v>
      </c>
      <c r="N733" t="n">
        <v>0</v>
      </c>
      <c r="O733" t="n">
        <v>0</v>
      </c>
      <c r="P733" t="n">
        <v>0</v>
      </c>
      <c r="Q733" t="n">
        <v>0</v>
      </c>
      <c r="R733" s="2" t="inlineStr"/>
    </row>
    <row r="734" ht="15" customHeight="1">
      <c r="A734" t="inlineStr">
        <is>
          <t>A 31435-2022</t>
        </is>
      </c>
      <c r="B734" s="1" t="n">
        <v>44774</v>
      </c>
      <c r="C734" s="1" t="n">
        <v>45926</v>
      </c>
      <c r="D734" t="inlineStr">
        <is>
          <t>JÄMTLANDS LÄN</t>
        </is>
      </c>
      <c r="E734" t="inlineStr">
        <is>
          <t>RAGUNDA</t>
        </is>
      </c>
      <c r="G734" t="n">
        <v>1.6</v>
      </c>
      <c r="H734" t="n">
        <v>0</v>
      </c>
      <c r="I734" t="n">
        <v>0</v>
      </c>
      <c r="J734" t="n">
        <v>0</v>
      </c>
      <c r="K734" t="n">
        <v>0</v>
      </c>
      <c r="L734" t="n">
        <v>0</v>
      </c>
      <c r="M734" t="n">
        <v>0</v>
      </c>
      <c r="N734" t="n">
        <v>0</v>
      </c>
      <c r="O734" t="n">
        <v>0</v>
      </c>
      <c r="P734" t="n">
        <v>0</v>
      </c>
      <c r="Q734" t="n">
        <v>0</v>
      </c>
      <c r="R734" s="2" t="inlineStr"/>
    </row>
    <row r="735" ht="15" customHeight="1">
      <c r="A735" t="inlineStr">
        <is>
          <t>A 39608-2024</t>
        </is>
      </c>
      <c r="B735" s="1" t="n">
        <v>45552.39113425926</v>
      </c>
      <c r="C735" s="1" t="n">
        <v>45926</v>
      </c>
      <c r="D735" t="inlineStr">
        <is>
          <t>JÄMTLANDS LÄN</t>
        </is>
      </c>
      <c r="E735" t="inlineStr">
        <is>
          <t>RAGUNDA</t>
        </is>
      </c>
      <c r="G735" t="n">
        <v>3.2</v>
      </c>
      <c r="H735" t="n">
        <v>0</v>
      </c>
      <c r="I735" t="n">
        <v>0</v>
      </c>
      <c r="J735" t="n">
        <v>0</v>
      </c>
      <c r="K735" t="n">
        <v>0</v>
      </c>
      <c r="L735" t="n">
        <v>0</v>
      </c>
      <c r="M735" t="n">
        <v>0</v>
      </c>
      <c r="N735" t="n">
        <v>0</v>
      </c>
      <c r="O735" t="n">
        <v>0</v>
      </c>
      <c r="P735" t="n">
        <v>0</v>
      </c>
      <c r="Q735" t="n">
        <v>0</v>
      </c>
      <c r="R735" s="2" t="inlineStr"/>
    </row>
    <row r="736" ht="15" customHeight="1">
      <c r="A736" t="inlineStr">
        <is>
          <t>A 39626-2024</t>
        </is>
      </c>
      <c r="B736" s="1" t="n">
        <v>45552.44096064815</v>
      </c>
      <c r="C736" s="1" t="n">
        <v>45926</v>
      </c>
      <c r="D736" t="inlineStr">
        <is>
          <t>JÄMTLANDS LÄN</t>
        </is>
      </c>
      <c r="E736" t="inlineStr">
        <is>
          <t>RAGUNDA</t>
        </is>
      </c>
      <c r="G736" t="n">
        <v>23.5</v>
      </c>
      <c r="H736" t="n">
        <v>0</v>
      </c>
      <c r="I736" t="n">
        <v>0</v>
      </c>
      <c r="J736" t="n">
        <v>0</v>
      </c>
      <c r="K736" t="n">
        <v>0</v>
      </c>
      <c r="L736" t="n">
        <v>0</v>
      </c>
      <c r="M736" t="n">
        <v>0</v>
      </c>
      <c r="N736" t="n">
        <v>0</v>
      </c>
      <c r="O736" t="n">
        <v>0</v>
      </c>
      <c r="P736" t="n">
        <v>0</v>
      </c>
      <c r="Q736" t="n">
        <v>0</v>
      </c>
      <c r="R736" s="2" t="inlineStr"/>
    </row>
    <row r="737" ht="15" customHeight="1">
      <c r="A737" t="inlineStr">
        <is>
          <t>A 29714-2025</t>
        </is>
      </c>
      <c r="B737" s="1" t="n">
        <v>45825.56762731481</v>
      </c>
      <c r="C737" s="1" t="n">
        <v>45926</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56984-2022</t>
        </is>
      </c>
      <c r="B738" s="1" t="n">
        <v>44894.79018518519</v>
      </c>
      <c r="C738" s="1" t="n">
        <v>45926</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2224-2024</t>
        </is>
      </c>
      <c r="B739" s="1" t="n">
        <v>45309.92524305556</v>
      </c>
      <c r="C739" s="1" t="n">
        <v>45926</v>
      </c>
      <c r="D739" t="inlineStr">
        <is>
          <t>JÄMTLANDS LÄN</t>
        </is>
      </c>
      <c r="E739" t="inlineStr">
        <is>
          <t>RAGUNDA</t>
        </is>
      </c>
      <c r="G739" t="n">
        <v>0.9</v>
      </c>
      <c r="H739" t="n">
        <v>0</v>
      </c>
      <c r="I739" t="n">
        <v>0</v>
      </c>
      <c r="J739" t="n">
        <v>0</v>
      </c>
      <c r="K739" t="n">
        <v>0</v>
      </c>
      <c r="L739" t="n">
        <v>0</v>
      </c>
      <c r="M739" t="n">
        <v>0</v>
      </c>
      <c r="N739" t="n">
        <v>0</v>
      </c>
      <c r="O739" t="n">
        <v>0</v>
      </c>
      <c r="P739" t="n">
        <v>0</v>
      </c>
      <c r="Q739" t="n">
        <v>0</v>
      </c>
      <c r="R739" s="2" t="inlineStr"/>
    </row>
    <row r="740" ht="15" customHeight="1">
      <c r="A740" t="inlineStr">
        <is>
          <t>A 1523-2024</t>
        </is>
      </c>
      <c r="B740" s="1" t="n">
        <v>45306</v>
      </c>
      <c r="C740" s="1" t="n">
        <v>45926</v>
      </c>
      <c r="D740" t="inlineStr">
        <is>
          <t>JÄMTLANDS LÄN</t>
        </is>
      </c>
      <c r="E740" t="inlineStr">
        <is>
          <t>RAGUNDA</t>
        </is>
      </c>
      <c r="G740" t="n">
        <v>4.1</v>
      </c>
      <c r="H740" t="n">
        <v>0</v>
      </c>
      <c r="I740" t="n">
        <v>0</v>
      </c>
      <c r="J740" t="n">
        <v>0</v>
      </c>
      <c r="K740" t="n">
        <v>0</v>
      </c>
      <c r="L740" t="n">
        <v>0</v>
      </c>
      <c r="M740" t="n">
        <v>0</v>
      </c>
      <c r="N740" t="n">
        <v>0</v>
      </c>
      <c r="O740" t="n">
        <v>0</v>
      </c>
      <c r="P740" t="n">
        <v>0</v>
      </c>
      <c r="Q740" t="n">
        <v>0</v>
      </c>
      <c r="R740" s="2" t="inlineStr"/>
    </row>
    <row r="741" ht="15" customHeight="1">
      <c r="A741" t="inlineStr">
        <is>
          <t>A 13264-2025</t>
        </is>
      </c>
      <c r="B741" s="1" t="n">
        <v>45735</v>
      </c>
      <c r="C741" s="1" t="n">
        <v>45926</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58630-2024</t>
        </is>
      </c>
      <c r="B742" s="1" t="n">
        <v>45635.57331018519</v>
      </c>
      <c r="C742" s="1" t="n">
        <v>45926</v>
      </c>
      <c r="D742" t="inlineStr">
        <is>
          <t>JÄMTLANDS LÄN</t>
        </is>
      </c>
      <c r="E742" t="inlineStr">
        <is>
          <t>RAGUNDA</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46549-2023</t>
        </is>
      </c>
      <c r="B743" s="1" t="n">
        <v>45197.94171296297</v>
      </c>
      <c r="C743" s="1" t="n">
        <v>45926</v>
      </c>
      <c r="D743" t="inlineStr">
        <is>
          <t>JÄMTLANDS LÄN</t>
        </is>
      </c>
      <c r="E743" t="inlineStr">
        <is>
          <t>RAGUNDA</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5307-2025</t>
        </is>
      </c>
      <c r="B744" s="1" t="n">
        <v>45692.48993055556</v>
      </c>
      <c r="C744" s="1" t="n">
        <v>45926</v>
      </c>
      <c r="D744" t="inlineStr">
        <is>
          <t>JÄMTLANDS LÄN</t>
        </is>
      </c>
      <c r="E744" t="inlineStr">
        <is>
          <t>RAGUNDA</t>
        </is>
      </c>
      <c r="F744" t="inlineStr">
        <is>
          <t>SCA</t>
        </is>
      </c>
      <c r="G744" t="n">
        <v>20.9</v>
      </c>
      <c r="H744" t="n">
        <v>0</v>
      </c>
      <c r="I744" t="n">
        <v>0</v>
      </c>
      <c r="J744" t="n">
        <v>0</v>
      </c>
      <c r="K744" t="n">
        <v>0</v>
      </c>
      <c r="L744" t="n">
        <v>0</v>
      </c>
      <c r="M744" t="n">
        <v>0</v>
      </c>
      <c r="N744" t="n">
        <v>0</v>
      </c>
      <c r="O744" t="n">
        <v>0</v>
      </c>
      <c r="P744" t="n">
        <v>0</v>
      </c>
      <c r="Q744" t="n">
        <v>0</v>
      </c>
      <c r="R744" s="2" t="inlineStr"/>
    </row>
    <row r="745" ht="15" customHeight="1">
      <c r="A745" t="inlineStr">
        <is>
          <t>A 38548-2024</t>
        </is>
      </c>
      <c r="B745" s="1" t="n">
        <v>45546</v>
      </c>
      <c r="C745" s="1" t="n">
        <v>45926</v>
      </c>
      <c r="D745" t="inlineStr">
        <is>
          <t>JÄMTLANDS LÄN</t>
        </is>
      </c>
      <c r="E745" t="inlineStr">
        <is>
          <t>RAGUNDA</t>
        </is>
      </c>
      <c r="G745" t="n">
        <v>1.4</v>
      </c>
      <c r="H745" t="n">
        <v>0</v>
      </c>
      <c r="I745" t="n">
        <v>0</v>
      </c>
      <c r="J745" t="n">
        <v>0</v>
      </c>
      <c r="K745" t="n">
        <v>0</v>
      </c>
      <c r="L745" t="n">
        <v>0</v>
      </c>
      <c r="M745" t="n">
        <v>0</v>
      </c>
      <c r="N745" t="n">
        <v>0</v>
      </c>
      <c r="O745" t="n">
        <v>0</v>
      </c>
      <c r="P745" t="n">
        <v>0</v>
      </c>
      <c r="Q745" t="n">
        <v>0</v>
      </c>
      <c r="R745" s="2" t="inlineStr"/>
    </row>
    <row r="746" ht="15" customHeight="1">
      <c r="A746" t="inlineStr">
        <is>
          <t>A 32258-2024</t>
        </is>
      </c>
      <c r="B746" s="1" t="n">
        <v>45511</v>
      </c>
      <c r="C746" s="1" t="n">
        <v>45926</v>
      </c>
      <c r="D746" t="inlineStr">
        <is>
          <t>JÄMTLANDS LÄN</t>
        </is>
      </c>
      <c r="E746" t="inlineStr">
        <is>
          <t>RAGUNDA</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38270-2021</t>
        </is>
      </c>
      <c r="B747" s="1" t="n">
        <v>44405.92065972222</v>
      </c>
      <c r="C747" s="1" t="n">
        <v>45926</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29731-2025</t>
        </is>
      </c>
      <c r="B748" s="1" t="n">
        <v>45825.58252314815</v>
      </c>
      <c r="C748" s="1" t="n">
        <v>45926</v>
      </c>
      <c r="D748" t="inlineStr">
        <is>
          <t>JÄMTLANDS LÄN</t>
        </is>
      </c>
      <c r="E748" t="inlineStr">
        <is>
          <t>RAGUNDA</t>
        </is>
      </c>
      <c r="G748" t="n">
        <v>2.3</v>
      </c>
      <c r="H748" t="n">
        <v>0</v>
      </c>
      <c r="I748" t="n">
        <v>0</v>
      </c>
      <c r="J748" t="n">
        <v>0</v>
      </c>
      <c r="K748" t="n">
        <v>0</v>
      </c>
      <c r="L748" t="n">
        <v>0</v>
      </c>
      <c r="M748" t="n">
        <v>0</v>
      </c>
      <c r="N748" t="n">
        <v>0</v>
      </c>
      <c r="O748" t="n">
        <v>0</v>
      </c>
      <c r="P748" t="n">
        <v>0</v>
      </c>
      <c r="Q748" t="n">
        <v>0</v>
      </c>
      <c r="R748" s="2" t="inlineStr"/>
    </row>
    <row r="749" ht="15" customHeight="1">
      <c r="A749" t="inlineStr">
        <is>
          <t>A 2411-2023</t>
        </is>
      </c>
      <c r="B749" s="1" t="n">
        <v>44942</v>
      </c>
      <c r="C749" s="1" t="n">
        <v>45926</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29257-2024</t>
        </is>
      </c>
      <c r="B750" s="1" t="n">
        <v>45482.94815972223</v>
      </c>
      <c r="C750" s="1" t="n">
        <v>45926</v>
      </c>
      <c r="D750" t="inlineStr">
        <is>
          <t>JÄMTLANDS LÄN</t>
        </is>
      </c>
      <c r="E750" t="inlineStr">
        <is>
          <t>RAGUNDA</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27373-2023</t>
        </is>
      </c>
      <c r="B751" s="1" t="n">
        <v>45096.93866898148</v>
      </c>
      <c r="C751" s="1" t="n">
        <v>45926</v>
      </c>
      <c r="D751" t="inlineStr">
        <is>
          <t>JÄMTLANDS LÄN</t>
        </is>
      </c>
      <c r="E751" t="inlineStr">
        <is>
          <t>RAGUNDA</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62115-2024</t>
        </is>
      </c>
      <c r="B752" s="1" t="n">
        <v>45656</v>
      </c>
      <c r="C752" s="1" t="n">
        <v>45926</v>
      </c>
      <c r="D752" t="inlineStr">
        <is>
          <t>JÄMTLANDS LÄN</t>
        </is>
      </c>
      <c r="E752" t="inlineStr">
        <is>
          <t>RAGUNDA</t>
        </is>
      </c>
      <c r="G752" t="n">
        <v>3.3</v>
      </c>
      <c r="H752" t="n">
        <v>0</v>
      </c>
      <c r="I752" t="n">
        <v>0</v>
      </c>
      <c r="J752" t="n">
        <v>0</v>
      </c>
      <c r="K752" t="n">
        <v>0</v>
      </c>
      <c r="L752" t="n">
        <v>0</v>
      </c>
      <c r="M752" t="n">
        <v>0</v>
      </c>
      <c r="N752" t="n">
        <v>0</v>
      </c>
      <c r="O752" t="n">
        <v>0</v>
      </c>
      <c r="P752" t="n">
        <v>0</v>
      </c>
      <c r="Q752" t="n">
        <v>0</v>
      </c>
      <c r="R752" s="2" t="inlineStr"/>
    </row>
    <row r="753" ht="15" customHeight="1">
      <c r="A753" t="inlineStr">
        <is>
          <t>A 13935-2024</t>
        </is>
      </c>
      <c r="B753" s="1" t="n">
        <v>45391.95329861111</v>
      </c>
      <c r="C753" s="1" t="n">
        <v>45926</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12653-2024</t>
        </is>
      </c>
      <c r="B754" s="1" t="n">
        <v>45384</v>
      </c>
      <c r="C754" s="1" t="n">
        <v>45926</v>
      </c>
      <c r="D754" t="inlineStr">
        <is>
          <t>JÄMTLANDS LÄN</t>
        </is>
      </c>
      <c r="E754" t="inlineStr">
        <is>
          <t>RAGUNDA</t>
        </is>
      </c>
      <c r="G754" t="n">
        <v>1.1</v>
      </c>
      <c r="H754" t="n">
        <v>0</v>
      </c>
      <c r="I754" t="n">
        <v>0</v>
      </c>
      <c r="J754" t="n">
        <v>0</v>
      </c>
      <c r="K754" t="n">
        <v>0</v>
      </c>
      <c r="L754" t="n">
        <v>0</v>
      </c>
      <c r="M754" t="n">
        <v>0</v>
      </c>
      <c r="N754" t="n">
        <v>0</v>
      </c>
      <c r="O754" t="n">
        <v>0</v>
      </c>
      <c r="P754" t="n">
        <v>0</v>
      </c>
      <c r="Q754" t="n">
        <v>0</v>
      </c>
      <c r="R754" s="2" t="inlineStr"/>
    </row>
    <row r="755" ht="15" customHeight="1">
      <c r="A755" t="inlineStr">
        <is>
          <t>A 50211-2023</t>
        </is>
      </c>
      <c r="B755" s="1" t="n">
        <v>45215.94657407407</v>
      </c>
      <c r="C755" s="1" t="n">
        <v>45926</v>
      </c>
      <c r="D755" t="inlineStr">
        <is>
          <t>JÄMTLANDS LÄN</t>
        </is>
      </c>
      <c r="E755" t="inlineStr">
        <is>
          <t>RAGUNDA</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5308-2025</t>
        </is>
      </c>
      <c r="B756" s="1" t="n">
        <v>45692.49008101852</v>
      </c>
      <c r="C756" s="1" t="n">
        <v>45926</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58194-2022</t>
        </is>
      </c>
      <c r="B757" s="1" t="n">
        <v>44900</v>
      </c>
      <c r="C757" s="1" t="n">
        <v>45926</v>
      </c>
      <c r="D757" t="inlineStr">
        <is>
          <t>JÄMTLANDS LÄN</t>
        </is>
      </c>
      <c r="E757" t="inlineStr">
        <is>
          <t>RAGUNDA</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9232-2025</t>
        </is>
      </c>
      <c r="B758" s="1" t="n">
        <v>45714.55064814815</v>
      </c>
      <c r="C758" s="1" t="n">
        <v>45926</v>
      </c>
      <c r="D758" t="inlineStr">
        <is>
          <t>JÄMTLANDS LÄN</t>
        </is>
      </c>
      <c r="E758" t="inlineStr">
        <is>
          <t>RAGUNDA</t>
        </is>
      </c>
      <c r="G758" t="n">
        <v>1.9</v>
      </c>
      <c r="H758" t="n">
        <v>0</v>
      </c>
      <c r="I758" t="n">
        <v>0</v>
      </c>
      <c r="J758" t="n">
        <v>0</v>
      </c>
      <c r="K758" t="n">
        <v>0</v>
      </c>
      <c r="L758" t="n">
        <v>0</v>
      </c>
      <c r="M758" t="n">
        <v>0</v>
      </c>
      <c r="N758" t="n">
        <v>0</v>
      </c>
      <c r="O758" t="n">
        <v>0</v>
      </c>
      <c r="P758" t="n">
        <v>0</v>
      </c>
      <c r="Q758" t="n">
        <v>0</v>
      </c>
      <c r="R758" s="2" t="inlineStr"/>
    </row>
    <row r="759" ht="15" customHeight="1">
      <c r="A759" t="inlineStr">
        <is>
          <t>A 29775-2023</t>
        </is>
      </c>
      <c r="B759" s="1" t="n">
        <v>45098</v>
      </c>
      <c r="C759" s="1" t="n">
        <v>45926</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24171-2021</t>
        </is>
      </c>
      <c r="B760" s="1" t="n">
        <v>44336</v>
      </c>
      <c r="C760" s="1" t="n">
        <v>45926</v>
      </c>
      <c r="D760" t="inlineStr">
        <is>
          <t>JÄMTLANDS LÄN</t>
        </is>
      </c>
      <c r="E760" t="inlineStr">
        <is>
          <t>RAGUNDA</t>
        </is>
      </c>
      <c r="G760" t="n">
        <v>3.6</v>
      </c>
      <c r="H760" t="n">
        <v>0</v>
      </c>
      <c r="I760" t="n">
        <v>0</v>
      </c>
      <c r="J760" t="n">
        <v>0</v>
      </c>
      <c r="K760" t="n">
        <v>0</v>
      </c>
      <c r="L760" t="n">
        <v>0</v>
      </c>
      <c r="M760" t="n">
        <v>0</v>
      </c>
      <c r="N760" t="n">
        <v>0</v>
      </c>
      <c r="O760" t="n">
        <v>0</v>
      </c>
      <c r="P760" t="n">
        <v>0</v>
      </c>
      <c r="Q760" t="n">
        <v>0</v>
      </c>
      <c r="R760" s="2" t="inlineStr"/>
    </row>
    <row r="761" ht="15" customHeight="1">
      <c r="A761" t="inlineStr">
        <is>
          <t>A 44494-2024</t>
        </is>
      </c>
      <c r="B761" s="1" t="n">
        <v>45574.39081018518</v>
      </c>
      <c r="C761" s="1" t="n">
        <v>45926</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58843-2024</t>
        </is>
      </c>
      <c r="B762" s="1" t="n">
        <v>45636.38599537037</v>
      </c>
      <c r="C762" s="1" t="n">
        <v>45926</v>
      </c>
      <c r="D762" t="inlineStr">
        <is>
          <t>JÄMTLANDS LÄN</t>
        </is>
      </c>
      <c r="E762" t="inlineStr">
        <is>
          <t>RAGUNDA</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13898-2023</t>
        </is>
      </c>
      <c r="B763" s="1" t="n">
        <v>45008.01408564814</v>
      </c>
      <c r="C763" s="1" t="n">
        <v>45926</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53287-2022</t>
        </is>
      </c>
      <c r="B764" s="1" t="n">
        <v>44876</v>
      </c>
      <c r="C764" s="1" t="n">
        <v>45926</v>
      </c>
      <c r="D764" t="inlineStr">
        <is>
          <t>JÄMTLANDS LÄN</t>
        </is>
      </c>
      <c r="E764" t="inlineStr">
        <is>
          <t>RAGUNDA</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16320-2025</t>
        </is>
      </c>
      <c r="B765" s="1" t="n">
        <v>45751.34859953704</v>
      </c>
      <c r="C765" s="1" t="n">
        <v>45926</v>
      </c>
      <c r="D765" t="inlineStr">
        <is>
          <t>JÄMTLANDS LÄN</t>
        </is>
      </c>
      <c r="E765" t="inlineStr">
        <is>
          <t>RAGUNDA</t>
        </is>
      </c>
      <c r="F765" t="inlineStr">
        <is>
          <t>SCA</t>
        </is>
      </c>
      <c r="G765" t="n">
        <v>16.2</v>
      </c>
      <c r="H765" t="n">
        <v>0</v>
      </c>
      <c r="I765" t="n">
        <v>0</v>
      </c>
      <c r="J765" t="n">
        <v>0</v>
      </c>
      <c r="K765" t="n">
        <v>0</v>
      </c>
      <c r="L765" t="n">
        <v>0</v>
      </c>
      <c r="M765" t="n">
        <v>0</v>
      </c>
      <c r="N765" t="n">
        <v>0</v>
      </c>
      <c r="O765" t="n">
        <v>0</v>
      </c>
      <c r="P765" t="n">
        <v>0</v>
      </c>
      <c r="Q765" t="n">
        <v>0</v>
      </c>
      <c r="R765" s="2" t="inlineStr"/>
    </row>
    <row r="766" ht="15" customHeight="1">
      <c r="A766" t="inlineStr">
        <is>
          <t>A 16321-2025</t>
        </is>
      </c>
      <c r="B766" s="1" t="n">
        <v>45751.34873842593</v>
      </c>
      <c r="C766" s="1" t="n">
        <v>45926</v>
      </c>
      <c r="D766" t="inlineStr">
        <is>
          <t>JÄMTLANDS LÄN</t>
        </is>
      </c>
      <c r="E766" t="inlineStr">
        <is>
          <t>RAGUNDA</t>
        </is>
      </c>
      <c r="F766" t="inlineStr">
        <is>
          <t>SCA</t>
        </is>
      </c>
      <c r="G766" t="n">
        <v>63.3</v>
      </c>
      <c r="H766" t="n">
        <v>0</v>
      </c>
      <c r="I766" t="n">
        <v>0</v>
      </c>
      <c r="J766" t="n">
        <v>0</v>
      </c>
      <c r="K766" t="n">
        <v>0</v>
      </c>
      <c r="L766" t="n">
        <v>0</v>
      </c>
      <c r="M766" t="n">
        <v>0</v>
      </c>
      <c r="N766" t="n">
        <v>0</v>
      </c>
      <c r="O766" t="n">
        <v>0</v>
      </c>
      <c r="P766" t="n">
        <v>0</v>
      </c>
      <c r="Q766" t="n">
        <v>0</v>
      </c>
      <c r="R766" s="2" t="inlineStr"/>
    </row>
    <row r="767" ht="15" customHeight="1">
      <c r="A767" t="inlineStr">
        <is>
          <t>A 26026-2024</t>
        </is>
      </c>
      <c r="B767" s="1" t="n">
        <v>45467.96207175926</v>
      </c>
      <c r="C767" s="1" t="n">
        <v>45926</v>
      </c>
      <c r="D767" t="inlineStr">
        <is>
          <t>JÄMTLANDS LÄN</t>
        </is>
      </c>
      <c r="E767" t="inlineStr">
        <is>
          <t>RAGUNDA</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14696-2022</t>
        </is>
      </c>
      <c r="B768" s="1" t="n">
        <v>44655</v>
      </c>
      <c r="C768" s="1" t="n">
        <v>45926</v>
      </c>
      <c r="D768" t="inlineStr">
        <is>
          <t>JÄMTLANDS LÄN</t>
        </is>
      </c>
      <c r="E768" t="inlineStr">
        <is>
          <t>RAGUNDA</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55514-2024</t>
        </is>
      </c>
      <c r="B769" s="1" t="n">
        <v>45622.46910879629</v>
      </c>
      <c r="C769" s="1" t="n">
        <v>45926</v>
      </c>
      <c r="D769" t="inlineStr">
        <is>
          <t>JÄMTLANDS LÄN</t>
        </is>
      </c>
      <c r="E769" t="inlineStr">
        <is>
          <t>RAGUNDA</t>
        </is>
      </c>
      <c r="G769" t="n">
        <v>0.9</v>
      </c>
      <c r="H769" t="n">
        <v>0</v>
      </c>
      <c r="I769" t="n">
        <v>0</v>
      </c>
      <c r="J769" t="n">
        <v>0</v>
      </c>
      <c r="K769" t="n">
        <v>0</v>
      </c>
      <c r="L769" t="n">
        <v>0</v>
      </c>
      <c r="M769" t="n">
        <v>0</v>
      </c>
      <c r="N769" t="n">
        <v>0</v>
      </c>
      <c r="O769" t="n">
        <v>0</v>
      </c>
      <c r="P769" t="n">
        <v>0</v>
      </c>
      <c r="Q769" t="n">
        <v>0</v>
      </c>
      <c r="R769" s="2" t="inlineStr"/>
    </row>
    <row r="770" ht="15" customHeight="1">
      <c r="A770" t="inlineStr">
        <is>
          <t>A 18375-2022</t>
        </is>
      </c>
      <c r="B770" s="1" t="n">
        <v>44685</v>
      </c>
      <c r="C770" s="1" t="n">
        <v>45926</v>
      </c>
      <c r="D770" t="inlineStr">
        <is>
          <t>JÄMTLANDS LÄN</t>
        </is>
      </c>
      <c r="E770" t="inlineStr">
        <is>
          <t>RAGUNDA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17248-2023</t>
        </is>
      </c>
      <c r="B771" s="1" t="n">
        <v>45033</v>
      </c>
      <c r="C771" s="1" t="n">
        <v>45926</v>
      </c>
      <c r="D771" t="inlineStr">
        <is>
          <t>JÄMTLANDS LÄN</t>
        </is>
      </c>
      <c r="E771" t="inlineStr">
        <is>
          <t>RAGUNDA</t>
        </is>
      </c>
      <c r="G771" t="n">
        <v>3</v>
      </c>
      <c r="H771" t="n">
        <v>0</v>
      </c>
      <c r="I771" t="n">
        <v>0</v>
      </c>
      <c r="J771" t="n">
        <v>0</v>
      </c>
      <c r="K771" t="n">
        <v>0</v>
      </c>
      <c r="L771" t="n">
        <v>0</v>
      </c>
      <c r="M771" t="n">
        <v>0</v>
      </c>
      <c r="N771" t="n">
        <v>0</v>
      </c>
      <c r="O771" t="n">
        <v>0</v>
      </c>
      <c r="P771" t="n">
        <v>0</v>
      </c>
      <c r="Q771" t="n">
        <v>0</v>
      </c>
      <c r="R771" s="2" t="inlineStr"/>
    </row>
    <row r="772" ht="15" customHeight="1">
      <c r="A772" t="inlineStr">
        <is>
          <t>A 62011-2022</t>
        </is>
      </c>
      <c r="B772" s="1" t="n">
        <v>44914</v>
      </c>
      <c r="C772" s="1" t="n">
        <v>45926</v>
      </c>
      <c r="D772" t="inlineStr">
        <is>
          <t>JÄMTLANDS LÄN</t>
        </is>
      </c>
      <c r="E772" t="inlineStr">
        <is>
          <t>RAGUNDA</t>
        </is>
      </c>
      <c r="G772" t="n">
        <v>0.3</v>
      </c>
      <c r="H772" t="n">
        <v>0</v>
      </c>
      <c r="I772" t="n">
        <v>0</v>
      </c>
      <c r="J772" t="n">
        <v>0</v>
      </c>
      <c r="K772" t="n">
        <v>0</v>
      </c>
      <c r="L772" t="n">
        <v>0</v>
      </c>
      <c r="M772" t="n">
        <v>0</v>
      </c>
      <c r="N772" t="n">
        <v>0</v>
      </c>
      <c r="O772" t="n">
        <v>0</v>
      </c>
      <c r="P772" t="n">
        <v>0</v>
      </c>
      <c r="Q772" t="n">
        <v>0</v>
      </c>
      <c r="R772" s="2" t="inlineStr"/>
    </row>
    <row r="773" ht="15" customHeight="1">
      <c r="A773" t="inlineStr">
        <is>
          <t>A 11557-2023</t>
        </is>
      </c>
      <c r="B773" s="1" t="n">
        <v>44993.94950231481</v>
      </c>
      <c r="C773" s="1" t="n">
        <v>45926</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11562-2023</t>
        </is>
      </c>
      <c r="B774" s="1" t="n">
        <v>44993</v>
      </c>
      <c r="C774" s="1" t="n">
        <v>45926</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5429-2024</t>
        </is>
      </c>
      <c r="B775" s="1" t="n">
        <v>45331.92746527777</v>
      </c>
      <c r="C775" s="1" t="n">
        <v>45926</v>
      </c>
      <c r="D775" t="inlineStr">
        <is>
          <t>JÄMTLANDS LÄN</t>
        </is>
      </c>
      <c r="E775" t="inlineStr">
        <is>
          <t>RAGUNDA</t>
        </is>
      </c>
      <c r="G775" t="n">
        <v>1.1</v>
      </c>
      <c r="H775" t="n">
        <v>0</v>
      </c>
      <c r="I775" t="n">
        <v>0</v>
      </c>
      <c r="J775" t="n">
        <v>0</v>
      </c>
      <c r="K775" t="n">
        <v>0</v>
      </c>
      <c r="L775" t="n">
        <v>0</v>
      </c>
      <c r="M775" t="n">
        <v>0</v>
      </c>
      <c r="N775" t="n">
        <v>0</v>
      </c>
      <c r="O775" t="n">
        <v>0</v>
      </c>
      <c r="P775" t="n">
        <v>0</v>
      </c>
      <c r="Q775" t="n">
        <v>0</v>
      </c>
      <c r="R775" s="2" t="inlineStr"/>
    </row>
    <row r="776" ht="15" customHeight="1">
      <c r="A776" t="inlineStr">
        <is>
          <t>A 22131-2021</t>
        </is>
      </c>
      <c r="B776" s="1" t="n">
        <v>44323</v>
      </c>
      <c r="C776" s="1" t="n">
        <v>45926</v>
      </c>
      <c r="D776" t="inlineStr">
        <is>
          <t>JÄMTLANDS LÄN</t>
        </is>
      </c>
      <c r="E776" t="inlineStr">
        <is>
          <t>RAGUNDA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5971-2025</t>
        </is>
      </c>
      <c r="B777" s="1" t="n">
        <v>45695.51070601852</v>
      </c>
      <c r="C777" s="1" t="n">
        <v>45926</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30563-2023</t>
        </is>
      </c>
      <c r="B778" s="1" t="n">
        <v>45111.92793981481</v>
      </c>
      <c r="C778" s="1" t="n">
        <v>45926</v>
      </c>
      <c r="D778" t="inlineStr">
        <is>
          <t>JÄMTLANDS LÄN</t>
        </is>
      </c>
      <c r="E778" t="inlineStr">
        <is>
          <t>RAGUNDA</t>
        </is>
      </c>
      <c r="F778" t="inlineStr">
        <is>
          <t>Övriga Aktiebolag</t>
        </is>
      </c>
      <c r="G778" t="n">
        <v>2.3</v>
      </c>
      <c r="H778" t="n">
        <v>0</v>
      </c>
      <c r="I778" t="n">
        <v>0</v>
      </c>
      <c r="J778" t="n">
        <v>0</v>
      </c>
      <c r="K778" t="n">
        <v>0</v>
      </c>
      <c r="L778" t="n">
        <v>0</v>
      </c>
      <c r="M778" t="n">
        <v>0</v>
      </c>
      <c r="N778" t="n">
        <v>0</v>
      </c>
      <c r="O778" t="n">
        <v>0</v>
      </c>
      <c r="P778" t="n">
        <v>0</v>
      </c>
      <c r="Q778" t="n">
        <v>0</v>
      </c>
      <c r="R778" s="2" t="inlineStr"/>
    </row>
    <row r="779" ht="15" customHeight="1">
      <c r="A779" t="inlineStr">
        <is>
          <t>A 36212-2023</t>
        </is>
      </c>
      <c r="B779" s="1" t="n">
        <v>45149.95241898148</v>
      </c>
      <c r="C779" s="1" t="n">
        <v>45926</v>
      </c>
      <c r="D779" t="inlineStr">
        <is>
          <t>JÄMTLANDS LÄN</t>
        </is>
      </c>
      <c r="E779" t="inlineStr">
        <is>
          <t>RAGUNDA</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3720-2025</t>
        </is>
      </c>
      <c r="B780" s="1" t="n">
        <v>45681.5315625</v>
      </c>
      <c r="C780" s="1" t="n">
        <v>45926</v>
      </c>
      <c r="D780" t="inlineStr">
        <is>
          <t>JÄMTLANDS LÄN</t>
        </is>
      </c>
      <c r="E780" t="inlineStr">
        <is>
          <t>RAGUNDA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3770-2025</t>
        </is>
      </c>
      <c r="B781" s="1" t="n">
        <v>45681.6050925926</v>
      </c>
      <c r="C781" s="1" t="n">
        <v>45926</v>
      </c>
      <c r="D781" t="inlineStr">
        <is>
          <t>JÄMTLANDS LÄN</t>
        </is>
      </c>
      <c r="E781" t="inlineStr">
        <is>
          <t>RAGUNDA</t>
        </is>
      </c>
      <c r="G781" t="n">
        <v>2.7</v>
      </c>
      <c r="H781" t="n">
        <v>0</v>
      </c>
      <c r="I781" t="n">
        <v>0</v>
      </c>
      <c r="J781" t="n">
        <v>0</v>
      </c>
      <c r="K781" t="n">
        <v>0</v>
      </c>
      <c r="L781" t="n">
        <v>0</v>
      </c>
      <c r="M781" t="n">
        <v>0</v>
      </c>
      <c r="N781" t="n">
        <v>0</v>
      </c>
      <c r="O781" t="n">
        <v>0</v>
      </c>
      <c r="P781" t="n">
        <v>0</v>
      </c>
      <c r="Q781" t="n">
        <v>0</v>
      </c>
      <c r="R781" s="2" t="inlineStr"/>
    </row>
    <row r="782" ht="15" customHeight="1">
      <c r="A782" t="inlineStr">
        <is>
          <t>A 30053-2024</t>
        </is>
      </c>
      <c r="B782" s="1" t="n">
        <v>45488.94747685185</v>
      </c>
      <c r="C782" s="1" t="n">
        <v>45926</v>
      </c>
      <c r="D782" t="inlineStr">
        <is>
          <t>JÄMTLANDS LÄN</t>
        </is>
      </c>
      <c r="E782" t="inlineStr">
        <is>
          <t>RAGUNDA</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51579-2024</t>
        </is>
      </c>
      <c r="B783" s="1" t="n">
        <v>45604.63575231482</v>
      </c>
      <c r="C783" s="1" t="n">
        <v>45926</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8775-2025</t>
        </is>
      </c>
      <c r="B784" s="1" t="n">
        <v>45712.61502314815</v>
      </c>
      <c r="C784" s="1" t="n">
        <v>45926</v>
      </c>
      <c r="D784" t="inlineStr">
        <is>
          <t>JÄMTLANDS LÄN</t>
        </is>
      </c>
      <c r="E784" t="inlineStr">
        <is>
          <t>RAGUNDA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12768-2022</t>
        </is>
      </c>
      <c r="B785" s="1" t="n">
        <v>44641</v>
      </c>
      <c r="C785" s="1" t="n">
        <v>45926</v>
      </c>
      <c r="D785" t="inlineStr">
        <is>
          <t>JÄMTLANDS LÄN</t>
        </is>
      </c>
      <c r="E785" t="inlineStr">
        <is>
          <t>RAGUNDA</t>
        </is>
      </c>
      <c r="F785" t="inlineStr">
        <is>
          <t>SCA</t>
        </is>
      </c>
      <c r="G785" t="n">
        <v>8</v>
      </c>
      <c r="H785" t="n">
        <v>0</v>
      </c>
      <c r="I785" t="n">
        <v>0</v>
      </c>
      <c r="J785" t="n">
        <v>0</v>
      </c>
      <c r="K785" t="n">
        <v>0</v>
      </c>
      <c r="L785" t="n">
        <v>0</v>
      </c>
      <c r="M785" t="n">
        <v>0</v>
      </c>
      <c r="N785" t="n">
        <v>0</v>
      </c>
      <c r="O785" t="n">
        <v>0</v>
      </c>
      <c r="P785" t="n">
        <v>0</v>
      </c>
      <c r="Q785" t="n">
        <v>0</v>
      </c>
      <c r="R785" s="2" t="inlineStr"/>
    </row>
    <row r="786" ht="15" customHeight="1">
      <c r="A786" t="inlineStr">
        <is>
          <t>A 12773-2022</t>
        </is>
      </c>
      <c r="B786" s="1" t="n">
        <v>44641</v>
      </c>
      <c r="C786" s="1" t="n">
        <v>45926</v>
      </c>
      <c r="D786" t="inlineStr">
        <is>
          <t>JÄMTLANDS LÄN</t>
        </is>
      </c>
      <c r="E786" t="inlineStr">
        <is>
          <t>RAGUNDA</t>
        </is>
      </c>
      <c r="F786" t="inlineStr">
        <is>
          <t>SCA</t>
        </is>
      </c>
      <c r="G786" t="n">
        <v>14.7</v>
      </c>
      <c r="H786" t="n">
        <v>0</v>
      </c>
      <c r="I786" t="n">
        <v>0</v>
      </c>
      <c r="J786" t="n">
        <v>0</v>
      </c>
      <c r="K786" t="n">
        <v>0</v>
      </c>
      <c r="L786" t="n">
        <v>0</v>
      </c>
      <c r="M786" t="n">
        <v>0</v>
      </c>
      <c r="N786" t="n">
        <v>0</v>
      </c>
      <c r="O786" t="n">
        <v>0</v>
      </c>
      <c r="P786" t="n">
        <v>0</v>
      </c>
      <c r="Q786" t="n">
        <v>0</v>
      </c>
      <c r="R786" s="2" t="inlineStr"/>
    </row>
    <row r="787" ht="15" customHeight="1">
      <c r="A787" t="inlineStr">
        <is>
          <t>A 29723-2025</t>
        </is>
      </c>
      <c r="B787" s="1" t="n">
        <v>45825.57675925926</v>
      </c>
      <c r="C787" s="1" t="n">
        <v>45926</v>
      </c>
      <c r="D787" t="inlineStr">
        <is>
          <t>JÄMTLANDS LÄN</t>
        </is>
      </c>
      <c r="E787" t="inlineStr">
        <is>
          <t>RAGUNDA</t>
        </is>
      </c>
      <c r="G787" t="n">
        <v>3.1</v>
      </c>
      <c r="H787" t="n">
        <v>0</v>
      </c>
      <c r="I787" t="n">
        <v>0</v>
      </c>
      <c r="J787" t="n">
        <v>0</v>
      </c>
      <c r="K787" t="n">
        <v>0</v>
      </c>
      <c r="L787" t="n">
        <v>0</v>
      </c>
      <c r="M787" t="n">
        <v>0</v>
      </c>
      <c r="N787" t="n">
        <v>0</v>
      </c>
      <c r="O787" t="n">
        <v>0</v>
      </c>
      <c r="P787" t="n">
        <v>0</v>
      </c>
      <c r="Q787" t="n">
        <v>0</v>
      </c>
      <c r="R787" s="2" t="inlineStr"/>
    </row>
    <row r="788" ht="15" customHeight="1">
      <c r="A788" t="inlineStr">
        <is>
          <t>A 2339-2025</t>
        </is>
      </c>
      <c r="B788" s="1" t="n">
        <v>45673.66358796296</v>
      </c>
      <c r="C788" s="1" t="n">
        <v>45926</v>
      </c>
      <c r="D788" t="inlineStr">
        <is>
          <t>JÄMTLANDS LÄN</t>
        </is>
      </c>
      <c r="E788" t="inlineStr">
        <is>
          <t>RAGUNDA</t>
        </is>
      </c>
      <c r="G788" t="n">
        <v>5</v>
      </c>
      <c r="H788" t="n">
        <v>0</v>
      </c>
      <c r="I788" t="n">
        <v>0</v>
      </c>
      <c r="J788" t="n">
        <v>0</v>
      </c>
      <c r="K788" t="n">
        <v>0</v>
      </c>
      <c r="L788" t="n">
        <v>0</v>
      </c>
      <c r="M788" t="n">
        <v>0</v>
      </c>
      <c r="N788" t="n">
        <v>0</v>
      </c>
      <c r="O788" t="n">
        <v>0</v>
      </c>
      <c r="P788" t="n">
        <v>0</v>
      </c>
      <c r="Q788" t="n">
        <v>0</v>
      </c>
      <c r="R788" s="2" t="inlineStr"/>
    </row>
    <row r="789" ht="15" customHeight="1">
      <c r="A789" t="inlineStr">
        <is>
          <t>A 5067-2024</t>
        </is>
      </c>
      <c r="B789" s="1" t="n">
        <v>45329.95806712963</v>
      </c>
      <c r="C789" s="1" t="n">
        <v>45926</v>
      </c>
      <c r="D789" t="inlineStr">
        <is>
          <t>JÄMTLANDS LÄN</t>
        </is>
      </c>
      <c r="E789" t="inlineStr">
        <is>
          <t>RAGUNDA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27499-2024</t>
        </is>
      </c>
      <c r="B790" s="1" t="n">
        <v>45474.50608796296</v>
      </c>
      <c r="C790" s="1" t="n">
        <v>45926</v>
      </c>
      <c r="D790" t="inlineStr">
        <is>
          <t>JÄMTLANDS LÄN</t>
        </is>
      </c>
      <c r="E790" t="inlineStr">
        <is>
          <t>RAGUNDA</t>
        </is>
      </c>
      <c r="G790" t="n">
        <v>1.3</v>
      </c>
      <c r="H790" t="n">
        <v>0</v>
      </c>
      <c r="I790" t="n">
        <v>0</v>
      </c>
      <c r="J790" t="n">
        <v>0</v>
      </c>
      <c r="K790" t="n">
        <v>0</v>
      </c>
      <c r="L790" t="n">
        <v>0</v>
      </c>
      <c r="M790" t="n">
        <v>0</v>
      </c>
      <c r="N790" t="n">
        <v>0</v>
      </c>
      <c r="O790" t="n">
        <v>0</v>
      </c>
      <c r="P790" t="n">
        <v>0</v>
      </c>
      <c r="Q790" t="n">
        <v>0</v>
      </c>
      <c r="R790" s="2" t="inlineStr"/>
    </row>
    <row r="791" ht="15" customHeight="1">
      <c r="A791" t="inlineStr">
        <is>
          <t>A 14905-2022</t>
        </is>
      </c>
      <c r="B791" s="1" t="n">
        <v>44656.94708333333</v>
      </c>
      <c r="C791" s="1" t="n">
        <v>45926</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57078-2023</t>
        </is>
      </c>
      <c r="B792" s="1" t="n">
        <v>45244.96774305555</v>
      </c>
      <c r="C792" s="1" t="n">
        <v>45926</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59368-2022</t>
        </is>
      </c>
      <c r="B793" s="1" t="n">
        <v>44904.94824074074</v>
      </c>
      <c r="C793" s="1" t="n">
        <v>45926</v>
      </c>
      <c r="D793" t="inlineStr">
        <is>
          <t>JÄMTLANDS LÄN</t>
        </is>
      </c>
      <c r="E793" t="inlineStr">
        <is>
          <t>RAGUNDA</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6801-2023</t>
        </is>
      </c>
      <c r="B794" s="1" t="n">
        <v>44966.95328703704</v>
      </c>
      <c r="C794" s="1" t="n">
        <v>45926</v>
      </c>
      <c r="D794" t="inlineStr">
        <is>
          <t>JÄMTLANDS LÄN</t>
        </is>
      </c>
      <c r="E794" t="inlineStr">
        <is>
          <t>RAGUNDA</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41656-2023</t>
        </is>
      </c>
      <c r="B795" s="1" t="n">
        <v>45175</v>
      </c>
      <c r="C795" s="1" t="n">
        <v>45926</v>
      </c>
      <c r="D795" t="inlineStr">
        <is>
          <t>JÄMTLANDS LÄN</t>
        </is>
      </c>
      <c r="E795" t="inlineStr">
        <is>
          <t>RAGUNDA</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51646-2023</t>
        </is>
      </c>
      <c r="B796" s="1" t="n">
        <v>45215</v>
      </c>
      <c r="C796" s="1" t="n">
        <v>45926</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37268-2024</t>
        </is>
      </c>
      <c r="B797" s="1" t="n">
        <v>45540.38586805556</v>
      </c>
      <c r="C797" s="1" t="n">
        <v>45926</v>
      </c>
      <c r="D797" t="inlineStr">
        <is>
          <t>JÄMTLANDS LÄN</t>
        </is>
      </c>
      <c r="E797" t="inlineStr">
        <is>
          <t>RAGUNDA</t>
        </is>
      </c>
      <c r="F797" t="inlineStr">
        <is>
          <t>SCA</t>
        </is>
      </c>
      <c r="G797" t="n">
        <v>6.3</v>
      </c>
      <c r="H797" t="n">
        <v>0</v>
      </c>
      <c r="I797" t="n">
        <v>0</v>
      </c>
      <c r="J797" t="n">
        <v>0</v>
      </c>
      <c r="K797" t="n">
        <v>0</v>
      </c>
      <c r="L797" t="n">
        <v>0</v>
      </c>
      <c r="M797" t="n">
        <v>0</v>
      </c>
      <c r="N797" t="n">
        <v>0</v>
      </c>
      <c r="O797" t="n">
        <v>0</v>
      </c>
      <c r="P797" t="n">
        <v>0</v>
      </c>
      <c r="Q797" t="n">
        <v>0</v>
      </c>
      <c r="R797" s="2" t="inlineStr"/>
    </row>
    <row r="798" ht="15" customHeight="1">
      <c r="A798" t="inlineStr">
        <is>
          <t>A 14512-2025</t>
        </is>
      </c>
      <c r="B798" s="1" t="n">
        <v>45741.63659722222</v>
      </c>
      <c r="C798" s="1" t="n">
        <v>45926</v>
      </c>
      <c r="D798" t="inlineStr">
        <is>
          <t>JÄMTLANDS LÄN</t>
        </is>
      </c>
      <c r="E798" t="inlineStr">
        <is>
          <t>RAGUNDA</t>
        </is>
      </c>
      <c r="F798" t="inlineStr">
        <is>
          <t>SCA</t>
        </is>
      </c>
      <c r="G798" t="n">
        <v>8.9</v>
      </c>
      <c r="H798" t="n">
        <v>0</v>
      </c>
      <c r="I798" t="n">
        <v>0</v>
      </c>
      <c r="J798" t="n">
        <v>0</v>
      </c>
      <c r="K798" t="n">
        <v>0</v>
      </c>
      <c r="L798" t="n">
        <v>0</v>
      </c>
      <c r="M798" t="n">
        <v>0</v>
      </c>
      <c r="N798" t="n">
        <v>0</v>
      </c>
      <c r="O798" t="n">
        <v>0</v>
      </c>
      <c r="P798" t="n">
        <v>0</v>
      </c>
      <c r="Q798" t="n">
        <v>0</v>
      </c>
      <c r="R798" s="2" t="inlineStr"/>
    </row>
    <row r="799" ht="15" customHeight="1">
      <c r="A799" t="inlineStr">
        <is>
          <t>A 29766-2023</t>
        </is>
      </c>
      <c r="B799" s="1" t="n">
        <v>45098</v>
      </c>
      <c r="C799" s="1" t="n">
        <v>45926</v>
      </c>
      <c r="D799" t="inlineStr">
        <is>
          <t>JÄMTLANDS LÄN</t>
        </is>
      </c>
      <c r="E799" t="inlineStr">
        <is>
          <t>RAGUNDA</t>
        </is>
      </c>
      <c r="G799" t="n">
        <v>2.7</v>
      </c>
      <c r="H799" t="n">
        <v>0</v>
      </c>
      <c r="I799" t="n">
        <v>0</v>
      </c>
      <c r="J799" t="n">
        <v>0</v>
      </c>
      <c r="K799" t="n">
        <v>0</v>
      </c>
      <c r="L799" t="n">
        <v>0</v>
      </c>
      <c r="M799" t="n">
        <v>0</v>
      </c>
      <c r="N799" t="n">
        <v>0</v>
      </c>
      <c r="O799" t="n">
        <v>0</v>
      </c>
      <c r="P799" t="n">
        <v>0</v>
      </c>
      <c r="Q799" t="n">
        <v>0</v>
      </c>
      <c r="R799" s="2" t="inlineStr"/>
    </row>
    <row r="800" ht="15" customHeight="1">
      <c r="A800" t="inlineStr">
        <is>
          <t>A 61107-2024</t>
        </is>
      </c>
      <c r="B800" s="1" t="n">
        <v>45645.55665509259</v>
      </c>
      <c r="C800" s="1" t="n">
        <v>45926</v>
      </c>
      <c r="D800" t="inlineStr">
        <is>
          <t>JÄMTLANDS LÄN</t>
        </is>
      </c>
      <c r="E800" t="inlineStr">
        <is>
          <t>RAGUNDA</t>
        </is>
      </c>
      <c r="G800" t="n">
        <v>3.2</v>
      </c>
      <c r="H800" t="n">
        <v>0</v>
      </c>
      <c r="I800" t="n">
        <v>0</v>
      </c>
      <c r="J800" t="n">
        <v>0</v>
      </c>
      <c r="K800" t="n">
        <v>0</v>
      </c>
      <c r="L800" t="n">
        <v>0</v>
      </c>
      <c r="M800" t="n">
        <v>0</v>
      </c>
      <c r="N800" t="n">
        <v>0</v>
      </c>
      <c r="O800" t="n">
        <v>0</v>
      </c>
      <c r="P800" t="n">
        <v>0</v>
      </c>
      <c r="Q800" t="n">
        <v>0</v>
      </c>
      <c r="R800" s="2" t="inlineStr"/>
    </row>
    <row r="801" ht="15" customHeight="1">
      <c r="A801" t="inlineStr">
        <is>
          <t>A 23287-2024</t>
        </is>
      </c>
      <c r="B801" s="1" t="n">
        <v>45453.42041666667</v>
      </c>
      <c r="C801" s="1" t="n">
        <v>45926</v>
      </c>
      <c r="D801" t="inlineStr">
        <is>
          <t>JÄMTLANDS LÄN</t>
        </is>
      </c>
      <c r="E801" t="inlineStr">
        <is>
          <t>RAGUNDA</t>
        </is>
      </c>
      <c r="G801" t="n">
        <v>3.1</v>
      </c>
      <c r="H801" t="n">
        <v>0</v>
      </c>
      <c r="I801" t="n">
        <v>0</v>
      </c>
      <c r="J801" t="n">
        <v>0</v>
      </c>
      <c r="K801" t="n">
        <v>0</v>
      </c>
      <c r="L801" t="n">
        <v>0</v>
      </c>
      <c r="M801" t="n">
        <v>0</v>
      </c>
      <c r="N801" t="n">
        <v>0</v>
      </c>
      <c r="O801" t="n">
        <v>0</v>
      </c>
      <c r="P801" t="n">
        <v>0</v>
      </c>
      <c r="Q801" t="n">
        <v>0</v>
      </c>
      <c r="R801" s="2" t="inlineStr"/>
    </row>
    <row r="802" ht="15" customHeight="1">
      <c r="A802" t="inlineStr">
        <is>
          <t>A 36922-2022</t>
        </is>
      </c>
      <c r="B802" s="1" t="n">
        <v>44805.94592592592</v>
      </c>
      <c r="C802" s="1" t="n">
        <v>45926</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26347-2023</t>
        </is>
      </c>
      <c r="B803" s="1" t="n">
        <v>45091</v>
      </c>
      <c r="C803" s="1" t="n">
        <v>45926</v>
      </c>
      <c r="D803" t="inlineStr">
        <is>
          <t>JÄMTLANDS LÄN</t>
        </is>
      </c>
      <c r="E803" t="inlineStr">
        <is>
          <t>RAGUNDA</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34483-2023</t>
        </is>
      </c>
      <c r="B804" s="1" t="n">
        <v>45139.94681712963</v>
      </c>
      <c r="C804" s="1" t="n">
        <v>45926</v>
      </c>
      <c r="D804" t="inlineStr">
        <is>
          <t>JÄMTLANDS LÄN</t>
        </is>
      </c>
      <c r="E804" t="inlineStr">
        <is>
          <t>RAGUNDA</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50649-2022</t>
        </is>
      </c>
      <c r="B805" s="1" t="n">
        <v>44866</v>
      </c>
      <c r="C805" s="1" t="n">
        <v>45926</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59759-2024</t>
        </is>
      </c>
      <c r="B806" s="1" t="n">
        <v>45639.55240740741</v>
      </c>
      <c r="C806" s="1" t="n">
        <v>45926</v>
      </c>
      <c r="D806" t="inlineStr">
        <is>
          <t>JÄMTLANDS LÄN</t>
        </is>
      </c>
      <c r="E806" t="inlineStr">
        <is>
          <t>RAGUNDA</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35537-2021</t>
        </is>
      </c>
      <c r="B807" s="1" t="n">
        <v>44384</v>
      </c>
      <c r="C807" s="1" t="n">
        <v>45926</v>
      </c>
      <c r="D807" t="inlineStr">
        <is>
          <t>JÄMTLANDS LÄN</t>
        </is>
      </c>
      <c r="E807" t="inlineStr">
        <is>
          <t>RAGUNDA</t>
        </is>
      </c>
      <c r="G807" t="n">
        <v>3.1</v>
      </c>
      <c r="H807" t="n">
        <v>0</v>
      </c>
      <c r="I807" t="n">
        <v>0</v>
      </c>
      <c r="J807" t="n">
        <v>0</v>
      </c>
      <c r="K807" t="n">
        <v>0</v>
      </c>
      <c r="L807" t="n">
        <v>0</v>
      </c>
      <c r="M807" t="n">
        <v>0</v>
      </c>
      <c r="N807" t="n">
        <v>0</v>
      </c>
      <c r="O807" t="n">
        <v>0</v>
      </c>
      <c r="P807" t="n">
        <v>0</v>
      </c>
      <c r="Q807" t="n">
        <v>0</v>
      </c>
      <c r="R807" s="2" t="inlineStr"/>
    </row>
    <row r="808" ht="15" customHeight="1">
      <c r="A808" t="inlineStr">
        <is>
          <t>A 2819-2023</t>
        </is>
      </c>
      <c r="B808" s="1" t="n">
        <v>44944</v>
      </c>
      <c r="C808" s="1" t="n">
        <v>45926</v>
      </c>
      <c r="D808" t="inlineStr">
        <is>
          <t>JÄMTLANDS LÄN</t>
        </is>
      </c>
      <c r="E808" t="inlineStr">
        <is>
          <t>RAGUNDA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44536-2022</t>
        </is>
      </c>
      <c r="B809" s="1" t="n">
        <v>44839</v>
      </c>
      <c r="C809" s="1" t="n">
        <v>45926</v>
      </c>
      <c r="D809" t="inlineStr">
        <is>
          <t>JÄMTLANDS LÄN</t>
        </is>
      </c>
      <c r="E809" t="inlineStr">
        <is>
          <t>RAGUNDA</t>
        </is>
      </c>
      <c r="G809" t="n">
        <v>4</v>
      </c>
      <c r="H809" t="n">
        <v>0</v>
      </c>
      <c r="I809" t="n">
        <v>0</v>
      </c>
      <c r="J809" t="n">
        <v>0</v>
      </c>
      <c r="K809" t="n">
        <v>0</v>
      </c>
      <c r="L809" t="n">
        <v>0</v>
      </c>
      <c r="M809" t="n">
        <v>0</v>
      </c>
      <c r="N809" t="n">
        <v>0</v>
      </c>
      <c r="O809" t="n">
        <v>0</v>
      </c>
      <c r="P809" t="n">
        <v>0</v>
      </c>
      <c r="Q809" t="n">
        <v>0</v>
      </c>
      <c r="R809" s="2" t="inlineStr"/>
    </row>
    <row r="810" ht="15" customHeight="1">
      <c r="A810" t="inlineStr">
        <is>
          <t>A 22948-2024</t>
        </is>
      </c>
      <c r="B810" s="1" t="n">
        <v>45448.94600694445</v>
      </c>
      <c r="C810" s="1" t="n">
        <v>45926</v>
      </c>
      <c r="D810" t="inlineStr">
        <is>
          <t>JÄMTLANDS LÄN</t>
        </is>
      </c>
      <c r="E810" t="inlineStr">
        <is>
          <t>RAGUNDA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30088-2025</t>
        </is>
      </c>
      <c r="B811" s="1" t="n">
        <v>45826.65759259259</v>
      </c>
      <c r="C811" s="1" t="n">
        <v>45926</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30459-2021</t>
        </is>
      </c>
      <c r="B812" s="1" t="n">
        <v>44362</v>
      </c>
      <c r="C812" s="1" t="n">
        <v>45926</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30348-2025</t>
        </is>
      </c>
      <c r="B813" s="1" t="n">
        <v>45827.53178240741</v>
      </c>
      <c r="C813" s="1" t="n">
        <v>45926</v>
      </c>
      <c r="D813" t="inlineStr">
        <is>
          <t>JÄMTLANDS LÄN</t>
        </is>
      </c>
      <c r="E813" t="inlineStr">
        <is>
          <t>RAGUNDA</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30434-2025</t>
        </is>
      </c>
      <c r="B814" s="1" t="n">
        <v>45827.63582175926</v>
      </c>
      <c r="C814" s="1" t="n">
        <v>45926</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23304-2023</t>
        </is>
      </c>
      <c r="B815" s="1" t="n">
        <v>45075.945</v>
      </c>
      <c r="C815" s="1" t="n">
        <v>45926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37543-2023</t>
        </is>
      </c>
      <c r="B816" s="1" t="n">
        <v>45158.94231481481</v>
      </c>
      <c r="C816" s="1" t="n">
        <v>45926</v>
      </c>
      <c r="D816" t="inlineStr">
        <is>
          <t>JÄMTLANDS LÄN</t>
        </is>
      </c>
      <c r="E816" t="inlineStr">
        <is>
          <t>RAGUNDA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31463-2024</t>
        </is>
      </c>
      <c r="B817" s="1" t="n">
        <v>45505</v>
      </c>
      <c r="C817" s="1" t="n">
        <v>45926</v>
      </c>
      <c r="D817" t="inlineStr">
        <is>
          <t>JÄMTLANDS LÄN</t>
        </is>
      </c>
      <c r="E817" t="inlineStr">
        <is>
          <t>RAGUNDA</t>
        </is>
      </c>
      <c r="F817" t="inlineStr">
        <is>
          <t>SCA</t>
        </is>
      </c>
      <c r="G817" t="n">
        <v>20.3</v>
      </c>
      <c r="H817" t="n">
        <v>0</v>
      </c>
      <c r="I817" t="n">
        <v>0</v>
      </c>
      <c r="J817" t="n">
        <v>0</v>
      </c>
      <c r="K817" t="n">
        <v>0</v>
      </c>
      <c r="L817" t="n">
        <v>0</v>
      </c>
      <c r="M817" t="n">
        <v>0</v>
      </c>
      <c r="N817" t="n">
        <v>0</v>
      </c>
      <c r="O817" t="n">
        <v>0</v>
      </c>
      <c r="P817" t="n">
        <v>0</v>
      </c>
      <c r="Q817" t="n">
        <v>0</v>
      </c>
      <c r="R817" s="2" t="inlineStr"/>
    </row>
    <row r="818" ht="15" customHeight="1">
      <c r="A818" t="inlineStr">
        <is>
          <t>A 36226-2023</t>
        </is>
      </c>
      <c r="B818" s="1" t="n">
        <v>45149.95372685185</v>
      </c>
      <c r="C818" s="1" t="n">
        <v>45926</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18615-2024</t>
        </is>
      </c>
      <c r="B819" s="1" t="n">
        <v>45425.96275462963</v>
      </c>
      <c r="C819" s="1" t="n">
        <v>45926</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40269-2022</t>
        </is>
      </c>
      <c r="B820" s="1" t="n">
        <v>44820</v>
      </c>
      <c r="C820" s="1" t="n">
        <v>45926</v>
      </c>
      <c r="D820" t="inlineStr">
        <is>
          <t>JÄMTLANDS LÄN</t>
        </is>
      </c>
      <c r="E820" t="inlineStr">
        <is>
          <t>RAGUNDA</t>
        </is>
      </c>
      <c r="F820" t="inlineStr">
        <is>
          <t>SCA</t>
        </is>
      </c>
      <c r="G820" t="n">
        <v>77.8</v>
      </c>
      <c r="H820" t="n">
        <v>0</v>
      </c>
      <c r="I820" t="n">
        <v>0</v>
      </c>
      <c r="J820" t="n">
        <v>0</v>
      </c>
      <c r="K820" t="n">
        <v>0</v>
      </c>
      <c r="L820" t="n">
        <v>0</v>
      </c>
      <c r="M820" t="n">
        <v>0</v>
      </c>
      <c r="N820" t="n">
        <v>0</v>
      </c>
      <c r="O820" t="n">
        <v>0</v>
      </c>
      <c r="P820" t="n">
        <v>0</v>
      </c>
      <c r="Q820" t="n">
        <v>0</v>
      </c>
      <c r="R820" s="2" t="inlineStr"/>
    </row>
    <row r="821" ht="15" customHeight="1">
      <c r="A821" t="inlineStr">
        <is>
          <t>A 37242-2024</t>
        </is>
      </c>
      <c r="B821" s="1" t="n">
        <v>45540.34428240741</v>
      </c>
      <c r="C821" s="1" t="n">
        <v>45926</v>
      </c>
      <c r="D821" t="inlineStr">
        <is>
          <t>JÄMTLANDS LÄN</t>
        </is>
      </c>
      <c r="E821" t="inlineStr">
        <is>
          <t>RAGUNDA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7668-2025</t>
        </is>
      </c>
      <c r="B822" s="1" t="n">
        <v>45706.34450231482</v>
      </c>
      <c r="C822" s="1" t="n">
        <v>45926</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36046-2023</t>
        </is>
      </c>
      <c r="B823" s="1" t="n">
        <v>45148</v>
      </c>
      <c r="C823" s="1" t="n">
        <v>45926</v>
      </c>
      <c r="D823" t="inlineStr">
        <is>
          <t>JÄMTLANDS LÄN</t>
        </is>
      </c>
      <c r="E823" t="inlineStr">
        <is>
          <t>RAGUNDA</t>
        </is>
      </c>
      <c r="G823" t="n">
        <v>1.9</v>
      </c>
      <c r="H823" t="n">
        <v>0</v>
      </c>
      <c r="I823" t="n">
        <v>0</v>
      </c>
      <c r="J823" t="n">
        <v>0</v>
      </c>
      <c r="K823" t="n">
        <v>0</v>
      </c>
      <c r="L823" t="n">
        <v>0</v>
      </c>
      <c r="M823" t="n">
        <v>0</v>
      </c>
      <c r="N823" t="n">
        <v>0</v>
      </c>
      <c r="O823" t="n">
        <v>0</v>
      </c>
      <c r="P823" t="n">
        <v>0</v>
      </c>
      <c r="Q823" t="n">
        <v>0</v>
      </c>
      <c r="R823" s="2" t="inlineStr"/>
    </row>
    <row r="824" ht="15" customHeight="1">
      <c r="A824" t="inlineStr">
        <is>
          <t>A 45438-2022</t>
        </is>
      </c>
      <c r="B824" s="1" t="n">
        <v>44844.95368055555</v>
      </c>
      <c r="C824" s="1" t="n">
        <v>45926</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56191-2022</t>
        </is>
      </c>
      <c r="B825" s="1" t="n">
        <v>44889.95015046297</v>
      </c>
      <c r="C825" s="1" t="n">
        <v>45926</v>
      </c>
      <c r="D825" t="inlineStr">
        <is>
          <t>JÄMTLANDS LÄN</t>
        </is>
      </c>
      <c r="E825" t="inlineStr">
        <is>
          <t>RAGUNDA</t>
        </is>
      </c>
      <c r="F825" t="inlineStr">
        <is>
          <t>Sveaskog</t>
        </is>
      </c>
      <c r="G825" t="n">
        <v>3</v>
      </c>
      <c r="H825" t="n">
        <v>0</v>
      </c>
      <c r="I825" t="n">
        <v>0</v>
      </c>
      <c r="J825" t="n">
        <v>0</v>
      </c>
      <c r="K825" t="n">
        <v>0</v>
      </c>
      <c r="L825" t="n">
        <v>0</v>
      </c>
      <c r="M825" t="n">
        <v>0</v>
      </c>
      <c r="N825" t="n">
        <v>0</v>
      </c>
      <c r="O825" t="n">
        <v>0</v>
      </c>
      <c r="P825" t="n">
        <v>0</v>
      </c>
      <c r="Q825" t="n">
        <v>0</v>
      </c>
      <c r="R825" s="2" t="inlineStr"/>
    </row>
    <row r="826" ht="15" customHeight="1">
      <c r="A826" t="inlineStr">
        <is>
          <t>A 30823-2023</t>
        </is>
      </c>
      <c r="B826" s="1" t="n">
        <v>45112</v>
      </c>
      <c r="C826" s="1" t="n">
        <v>45926</v>
      </c>
      <c r="D826" t="inlineStr">
        <is>
          <t>JÄMTLANDS LÄN</t>
        </is>
      </c>
      <c r="E826" t="inlineStr">
        <is>
          <t>RAGUNDA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43339-2024</t>
        </is>
      </c>
      <c r="B827" s="1" t="n">
        <v>45568.51075231482</v>
      </c>
      <c r="C827" s="1" t="n">
        <v>45926</v>
      </c>
      <c r="D827" t="inlineStr">
        <is>
          <t>JÄMTLANDS LÄN</t>
        </is>
      </c>
      <c r="E827" t="inlineStr">
        <is>
          <t>RAGUNDA</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43102-2023</t>
        </is>
      </c>
      <c r="B828" s="1" t="n">
        <v>45182</v>
      </c>
      <c r="C828" s="1" t="n">
        <v>45926</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8654-2024</t>
        </is>
      </c>
      <c r="B829" s="1" t="n">
        <v>45356.03784722222</v>
      </c>
      <c r="C829" s="1" t="n">
        <v>45926</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25304-2023</t>
        </is>
      </c>
      <c r="B830" s="1" t="n">
        <v>45086</v>
      </c>
      <c r="C830" s="1" t="n">
        <v>45926</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6902-2024</t>
        </is>
      </c>
      <c r="B831" s="1" t="n">
        <v>45342</v>
      </c>
      <c r="C831" s="1" t="n">
        <v>45926</v>
      </c>
      <c r="D831" t="inlineStr">
        <is>
          <t>JÄMTLANDS LÄN</t>
        </is>
      </c>
      <c r="E831" t="inlineStr">
        <is>
          <t>RAGUNDA</t>
        </is>
      </c>
      <c r="F831" t="inlineStr">
        <is>
          <t>SCA</t>
        </is>
      </c>
      <c r="G831" t="n">
        <v>18.7</v>
      </c>
      <c r="H831" t="n">
        <v>0</v>
      </c>
      <c r="I831" t="n">
        <v>0</v>
      </c>
      <c r="J831" t="n">
        <v>0</v>
      </c>
      <c r="K831" t="n">
        <v>0</v>
      </c>
      <c r="L831" t="n">
        <v>0</v>
      </c>
      <c r="M831" t="n">
        <v>0</v>
      </c>
      <c r="N831" t="n">
        <v>0</v>
      </c>
      <c r="O831" t="n">
        <v>0</v>
      </c>
      <c r="P831" t="n">
        <v>0</v>
      </c>
      <c r="Q831" t="n">
        <v>0</v>
      </c>
      <c r="R831" s="2" t="inlineStr"/>
    </row>
    <row r="832" ht="15" customHeight="1">
      <c r="A832" t="inlineStr">
        <is>
          <t>A 6905-2024</t>
        </is>
      </c>
      <c r="B832" s="1" t="n">
        <v>45342.9462037037</v>
      </c>
      <c r="C832" s="1" t="n">
        <v>45926</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22731-2023</t>
        </is>
      </c>
      <c r="B833" s="1" t="n">
        <v>45071</v>
      </c>
      <c r="C833" s="1" t="n">
        <v>45926</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30887-2025</t>
        </is>
      </c>
      <c r="B834" s="1" t="n">
        <v>45832.3459375</v>
      </c>
      <c r="C834" s="1" t="n">
        <v>45926</v>
      </c>
      <c r="D834" t="inlineStr">
        <is>
          <t>JÄMTLANDS LÄN</t>
        </is>
      </c>
      <c r="E834" t="inlineStr">
        <is>
          <t>RAGUNDA</t>
        </is>
      </c>
      <c r="F834" t="inlineStr">
        <is>
          <t>SCA</t>
        </is>
      </c>
      <c r="G834" t="n">
        <v>10.1</v>
      </c>
      <c r="H834" t="n">
        <v>0</v>
      </c>
      <c r="I834" t="n">
        <v>0</v>
      </c>
      <c r="J834" t="n">
        <v>0</v>
      </c>
      <c r="K834" t="n">
        <v>0</v>
      </c>
      <c r="L834" t="n">
        <v>0</v>
      </c>
      <c r="M834" t="n">
        <v>0</v>
      </c>
      <c r="N834" t="n">
        <v>0</v>
      </c>
      <c r="O834" t="n">
        <v>0</v>
      </c>
      <c r="P834" t="n">
        <v>0</v>
      </c>
      <c r="Q834" t="n">
        <v>0</v>
      </c>
      <c r="R834" s="2" t="inlineStr"/>
    </row>
    <row r="835" ht="15" customHeight="1">
      <c r="A835" t="inlineStr">
        <is>
          <t>A 30883-2025</t>
        </is>
      </c>
      <c r="B835" s="1" t="n">
        <v>45832.34552083333</v>
      </c>
      <c r="C835" s="1" t="n">
        <v>45926</v>
      </c>
      <c r="D835" t="inlineStr">
        <is>
          <t>JÄMTLANDS LÄN</t>
        </is>
      </c>
      <c r="E835" t="inlineStr">
        <is>
          <t>RAGUNDA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11245-2025</t>
        </is>
      </c>
      <c r="B836" s="1" t="n">
        <v>45726.38575231482</v>
      </c>
      <c r="C836" s="1" t="n">
        <v>45926</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61923-2024</t>
        </is>
      </c>
      <c r="B837" s="1" t="n">
        <v>45653.44836805556</v>
      </c>
      <c r="C837" s="1" t="n">
        <v>45926</v>
      </c>
      <c r="D837" t="inlineStr">
        <is>
          <t>JÄMTLANDS LÄN</t>
        </is>
      </c>
      <c r="E837" t="inlineStr">
        <is>
          <t>RAGUNDA</t>
        </is>
      </c>
      <c r="F837" t="inlineStr">
        <is>
          <t>SCA</t>
        </is>
      </c>
      <c r="G837" t="n">
        <v>11.1</v>
      </c>
      <c r="H837" t="n">
        <v>0</v>
      </c>
      <c r="I837" t="n">
        <v>0</v>
      </c>
      <c r="J837" t="n">
        <v>0</v>
      </c>
      <c r="K837" t="n">
        <v>0</v>
      </c>
      <c r="L837" t="n">
        <v>0</v>
      </c>
      <c r="M837" t="n">
        <v>0</v>
      </c>
      <c r="N837" t="n">
        <v>0</v>
      </c>
      <c r="O837" t="n">
        <v>0</v>
      </c>
      <c r="P837" t="n">
        <v>0</v>
      </c>
      <c r="Q837" t="n">
        <v>0</v>
      </c>
      <c r="R837" s="2" t="inlineStr"/>
    </row>
    <row r="838" ht="15" customHeight="1">
      <c r="A838" t="inlineStr">
        <is>
          <t>A 9823-2025</t>
        </is>
      </c>
      <c r="B838" s="1" t="n">
        <v>45716</v>
      </c>
      <c r="C838" s="1" t="n">
        <v>45926</v>
      </c>
      <c r="D838" t="inlineStr">
        <is>
          <t>JÄMTLANDS LÄN</t>
        </is>
      </c>
      <c r="E838" t="inlineStr">
        <is>
          <t>RAGUNDA</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23567-2024</t>
        </is>
      </c>
      <c r="B839" s="1" t="n">
        <v>45453.95538194444</v>
      </c>
      <c r="C839" s="1" t="n">
        <v>45926</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19246-2023</t>
        </is>
      </c>
      <c r="B840" s="1" t="n">
        <v>45048.94340277778</v>
      </c>
      <c r="C840" s="1" t="n">
        <v>45926</v>
      </c>
      <c r="D840" t="inlineStr">
        <is>
          <t>JÄMTLANDS LÄN</t>
        </is>
      </c>
      <c r="E840" t="inlineStr">
        <is>
          <t>RAGUNDA</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61109-2024</t>
        </is>
      </c>
      <c r="B841" s="1" t="n">
        <v>45645.55672453704</v>
      </c>
      <c r="C841" s="1" t="n">
        <v>45926</v>
      </c>
      <c r="D841" t="inlineStr">
        <is>
          <t>JÄMTLANDS LÄN</t>
        </is>
      </c>
      <c r="E841" t="inlineStr">
        <is>
          <t>RAGUNDA</t>
        </is>
      </c>
      <c r="G841" t="n">
        <v>4</v>
      </c>
      <c r="H841" t="n">
        <v>0</v>
      </c>
      <c r="I841" t="n">
        <v>0</v>
      </c>
      <c r="J841" t="n">
        <v>0</v>
      </c>
      <c r="K841" t="n">
        <v>0</v>
      </c>
      <c r="L841" t="n">
        <v>0</v>
      </c>
      <c r="M841" t="n">
        <v>0</v>
      </c>
      <c r="N841" t="n">
        <v>0</v>
      </c>
      <c r="O841" t="n">
        <v>0</v>
      </c>
      <c r="P841" t="n">
        <v>0</v>
      </c>
      <c r="Q841" t="n">
        <v>0</v>
      </c>
      <c r="R841" s="2" t="inlineStr"/>
    </row>
    <row r="842" ht="15" customHeight="1">
      <c r="A842" t="inlineStr">
        <is>
          <t>A 13917-2023</t>
        </is>
      </c>
      <c r="B842" s="1" t="n">
        <v>45007</v>
      </c>
      <c r="C842" s="1" t="n">
        <v>45926</v>
      </c>
      <c r="D842" t="inlineStr">
        <is>
          <t>JÄMTLANDS LÄN</t>
        </is>
      </c>
      <c r="E842" t="inlineStr">
        <is>
          <t>RAGUNDA</t>
        </is>
      </c>
      <c r="G842" t="n">
        <v>1</v>
      </c>
      <c r="H842" t="n">
        <v>0</v>
      </c>
      <c r="I842" t="n">
        <v>0</v>
      </c>
      <c r="J842" t="n">
        <v>0</v>
      </c>
      <c r="K842" t="n">
        <v>0</v>
      </c>
      <c r="L842" t="n">
        <v>0</v>
      </c>
      <c r="M842" t="n">
        <v>0</v>
      </c>
      <c r="N842" t="n">
        <v>0</v>
      </c>
      <c r="O842" t="n">
        <v>0</v>
      </c>
      <c r="P842" t="n">
        <v>0</v>
      </c>
      <c r="Q842" t="n">
        <v>0</v>
      </c>
      <c r="R842" s="2" t="inlineStr"/>
    </row>
    <row r="843" ht="15" customHeight="1">
      <c r="A843" t="inlineStr">
        <is>
          <t>A 58955-2024</t>
        </is>
      </c>
      <c r="B843" s="1" t="n">
        <v>45636.57329861111</v>
      </c>
      <c r="C843" s="1" t="n">
        <v>45926</v>
      </c>
      <c r="D843" t="inlineStr">
        <is>
          <t>JÄMTLANDS LÄN</t>
        </is>
      </c>
      <c r="E843" t="inlineStr">
        <is>
          <t>RAGUNDA</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53019-2023</t>
        </is>
      </c>
      <c r="B844" s="1" t="n">
        <v>45222</v>
      </c>
      <c r="C844" s="1" t="n">
        <v>45926</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30880-2025</t>
        </is>
      </c>
      <c r="B845" s="1" t="n">
        <v>45832.34524305556</v>
      </c>
      <c r="C845" s="1" t="n">
        <v>45926</v>
      </c>
      <c r="D845" t="inlineStr">
        <is>
          <t>JÄMTLANDS LÄN</t>
        </is>
      </c>
      <c r="E845" t="inlineStr">
        <is>
          <t>RAGUNDA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14212-2023</t>
        </is>
      </c>
      <c r="B846" s="1" t="n">
        <v>45009</v>
      </c>
      <c r="C846" s="1" t="n">
        <v>45926</v>
      </c>
      <c r="D846" t="inlineStr">
        <is>
          <t>JÄMTLANDS LÄN</t>
        </is>
      </c>
      <c r="E846" t="inlineStr">
        <is>
          <t>RAGUNDA</t>
        </is>
      </c>
      <c r="G846" t="n">
        <v>0.8</v>
      </c>
      <c r="H846" t="n">
        <v>0</v>
      </c>
      <c r="I846" t="n">
        <v>0</v>
      </c>
      <c r="J846" t="n">
        <v>0</v>
      </c>
      <c r="K846" t="n">
        <v>0</v>
      </c>
      <c r="L846" t="n">
        <v>0</v>
      </c>
      <c r="M846" t="n">
        <v>0</v>
      </c>
      <c r="N846" t="n">
        <v>0</v>
      </c>
      <c r="O846" t="n">
        <v>0</v>
      </c>
      <c r="P846" t="n">
        <v>0</v>
      </c>
      <c r="Q846" t="n">
        <v>0</v>
      </c>
      <c r="R846" s="2" t="inlineStr"/>
    </row>
    <row r="847" ht="15" customHeight="1">
      <c r="A847" t="inlineStr">
        <is>
          <t>A 32096-2025</t>
        </is>
      </c>
      <c r="B847" s="1" t="n">
        <v>45835.46334490741</v>
      </c>
      <c r="C847" s="1" t="n">
        <v>45926</v>
      </c>
      <c r="D847" t="inlineStr">
        <is>
          <t>JÄMTLANDS LÄN</t>
        </is>
      </c>
      <c r="E847" t="inlineStr">
        <is>
          <t>RAGUNDA</t>
        </is>
      </c>
      <c r="G847" t="n">
        <v>0.9</v>
      </c>
      <c r="H847" t="n">
        <v>0</v>
      </c>
      <c r="I847" t="n">
        <v>0</v>
      </c>
      <c r="J847" t="n">
        <v>0</v>
      </c>
      <c r="K847" t="n">
        <v>0</v>
      </c>
      <c r="L847" t="n">
        <v>0</v>
      </c>
      <c r="M847" t="n">
        <v>0</v>
      </c>
      <c r="N847" t="n">
        <v>0</v>
      </c>
      <c r="O847" t="n">
        <v>0</v>
      </c>
      <c r="P847" t="n">
        <v>0</v>
      </c>
      <c r="Q847" t="n">
        <v>0</v>
      </c>
      <c r="R847" s="2" t="inlineStr"/>
    </row>
    <row r="848" ht="15" customHeight="1">
      <c r="A848" t="inlineStr">
        <is>
          <t>A 32151-2025</t>
        </is>
      </c>
      <c r="B848" s="1" t="n">
        <v>45835.53166666667</v>
      </c>
      <c r="C848" s="1" t="n">
        <v>45926</v>
      </c>
      <c r="D848" t="inlineStr">
        <is>
          <t>JÄMTLANDS LÄN</t>
        </is>
      </c>
      <c r="E848" t="inlineStr">
        <is>
          <t>RAGUNDA</t>
        </is>
      </c>
      <c r="F848" t="inlineStr">
        <is>
          <t>SCA</t>
        </is>
      </c>
      <c r="G848" t="n">
        <v>12.3</v>
      </c>
      <c r="H848" t="n">
        <v>0</v>
      </c>
      <c r="I848" t="n">
        <v>0</v>
      </c>
      <c r="J848" t="n">
        <v>0</v>
      </c>
      <c r="K848" t="n">
        <v>0</v>
      </c>
      <c r="L848" t="n">
        <v>0</v>
      </c>
      <c r="M848" t="n">
        <v>0</v>
      </c>
      <c r="N848" t="n">
        <v>0</v>
      </c>
      <c r="O848" t="n">
        <v>0</v>
      </c>
      <c r="P848" t="n">
        <v>0</v>
      </c>
      <c r="Q848" t="n">
        <v>0</v>
      </c>
      <c r="R848" s="2" t="inlineStr"/>
    </row>
    <row r="849" ht="15" customHeight="1">
      <c r="A849" t="inlineStr">
        <is>
          <t>A 32306-2025</t>
        </is>
      </c>
      <c r="B849" s="1" t="n">
        <v>45835.72046296296</v>
      </c>
      <c r="C849" s="1" t="n">
        <v>45926</v>
      </c>
      <c r="D849" t="inlineStr">
        <is>
          <t>JÄMTLANDS LÄN</t>
        </is>
      </c>
      <c r="E849" t="inlineStr">
        <is>
          <t>RAGUNDA</t>
        </is>
      </c>
      <c r="G849" t="n">
        <v>10.2</v>
      </c>
      <c r="H849" t="n">
        <v>0</v>
      </c>
      <c r="I849" t="n">
        <v>0</v>
      </c>
      <c r="J849" t="n">
        <v>0</v>
      </c>
      <c r="K849" t="n">
        <v>0</v>
      </c>
      <c r="L849" t="n">
        <v>0</v>
      </c>
      <c r="M849" t="n">
        <v>0</v>
      </c>
      <c r="N849" t="n">
        <v>0</v>
      </c>
      <c r="O849" t="n">
        <v>0</v>
      </c>
      <c r="P849" t="n">
        <v>0</v>
      </c>
      <c r="Q849" t="n">
        <v>0</v>
      </c>
      <c r="R849" s="2" t="inlineStr"/>
    </row>
    <row r="850" ht="15" customHeight="1">
      <c r="A850" t="inlineStr">
        <is>
          <t>A 33877-2023</t>
        </is>
      </c>
      <c r="B850" s="1" t="n">
        <v>45133</v>
      </c>
      <c r="C850" s="1" t="n">
        <v>45926</v>
      </c>
      <c r="D850" t="inlineStr">
        <is>
          <t>JÄMTLANDS LÄN</t>
        </is>
      </c>
      <c r="E850" t="inlineStr">
        <is>
          <t>RAGUNDA</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32021-2025</t>
        </is>
      </c>
      <c r="B851" s="1" t="n">
        <v>45835.40668981482</v>
      </c>
      <c r="C851" s="1" t="n">
        <v>45926</v>
      </c>
      <c r="D851" t="inlineStr">
        <is>
          <t>JÄMTLANDS LÄN</t>
        </is>
      </c>
      <c r="E851" t="inlineStr">
        <is>
          <t>RAGUNDA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59996-2023</t>
        </is>
      </c>
      <c r="B852" s="1" t="n">
        <v>45257.92826388889</v>
      </c>
      <c r="C852" s="1" t="n">
        <v>45926</v>
      </c>
      <c r="D852" t="inlineStr">
        <is>
          <t>JÄMTLANDS LÄN</t>
        </is>
      </c>
      <c r="E852" t="inlineStr">
        <is>
          <t>RAGUNDA</t>
        </is>
      </c>
      <c r="G852" t="n">
        <v>2.7</v>
      </c>
      <c r="H852" t="n">
        <v>0</v>
      </c>
      <c r="I852" t="n">
        <v>0</v>
      </c>
      <c r="J852" t="n">
        <v>0</v>
      </c>
      <c r="K852" t="n">
        <v>0</v>
      </c>
      <c r="L852" t="n">
        <v>0</v>
      </c>
      <c r="M852" t="n">
        <v>0</v>
      </c>
      <c r="N852" t="n">
        <v>0</v>
      </c>
      <c r="O852" t="n">
        <v>0</v>
      </c>
      <c r="P852" t="n">
        <v>0</v>
      </c>
      <c r="Q852" t="n">
        <v>0</v>
      </c>
      <c r="R852" s="2" t="inlineStr"/>
    </row>
    <row r="853" ht="15" customHeight="1">
      <c r="A853" t="inlineStr">
        <is>
          <t>A 31882-2025</t>
        </is>
      </c>
      <c r="B853" s="1" t="n">
        <v>45834.65662037037</v>
      </c>
      <c r="C853" s="1" t="n">
        <v>45926</v>
      </c>
      <c r="D853" t="inlineStr">
        <is>
          <t>JÄMTLANDS LÄN</t>
        </is>
      </c>
      <c r="E853" t="inlineStr">
        <is>
          <t>RAGUNDA</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62541-2022</t>
        </is>
      </c>
      <c r="B854" s="1" t="n">
        <v>44917</v>
      </c>
      <c r="C854" s="1" t="n">
        <v>45926</v>
      </c>
      <c r="D854" t="inlineStr">
        <is>
          <t>JÄMTLANDS LÄN</t>
        </is>
      </c>
      <c r="E854" t="inlineStr">
        <is>
          <t>RAGUNDA</t>
        </is>
      </c>
      <c r="G854" t="n">
        <v>2.6</v>
      </c>
      <c r="H854" t="n">
        <v>0</v>
      </c>
      <c r="I854" t="n">
        <v>0</v>
      </c>
      <c r="J854" t="n">
        <v>0</v>
      </c>
      <c r="K854" t="n">
        <v>0</v>
      </c>
      <c r="L854" t="n">
        <v>0</v>
      </c>
      <c r="M854" t="n">
        <v>0</v>
      </c>
      <c r="N854" t="n">
        <v>0</v>
      </c>
      <c r="O854" t="n">
        <v>0</v>
      </c>
      <c r="P854" t="n">
        <v>0</v>
      </c>
      <c r="Q854" t="n">
        <v>0</v>
      </c>
      <c r="R854" s="2" t="inlineStr"/>
    </row>
    <row r="855" ht="15" customHeight="1">
      <c r="A855" t="inlineStr">
        <is>
          <t>A 9567-2025</t>
        </is>
      </c>
      <c r="B855" s="1" t="n">
        <v>45715.61523148148</v>
      </c>
      <c r="C855" s="1" t="n">
        <v>45926</v>
      </c>
      <c r="D855" t="inlineStr">
        <is>
          <t>JÄMTLANDS LÄN</t>
        </is>
      </c>
      <c r="E855" t="inlineStr">
        <is>
          <t>RAGUNDA</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44980-2023</t>
        </is>
      </c>
      <c r="B856" s="1" t="n">
        <v>45190</v>
      </c>
      <c r="C856" s="1" t="n">
        <v>45926</v>
      </c>
      <c r="D856" t="inlineStr">
        <is>
          <t>JÄMTLANDS LÄN</t>
        </is>
      </c>
      <c r="E856" t="inlineStr">
        <is>
          <t>RAGUNDA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21661-2023</t>
        </is>
      </c>
      <c r="B857" s="1" t="n">
        <v>45063</v>
      </c>
      <c r="C857" s="1" t="n">
        <v>45926</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14076-2023</t>
        </is>
      </c>
      <c r="B858" s="1" t="n">
        <v>45009.0897337963</v>
      </c>
      <c r="C858" s="1" t="n">
        <v>45926</v>
      </c>
      <c r="D858" t="inlineStr">
        <is>
          <t>JÄMTLANDS LÄN</t>
        </is>
      </c>
      <c r="E858" t="inlineStr">
        <is>
          <t>RAGUNDA</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32796-2025</t>
        </is>
      </c>
      <c r="B859" s="1" t="n">
        <v>45839.49082175926</v>
      </c>
      <c r="C859" s="1" t="n">
        <v>45926</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32655-2025</t>
        </is>
      </c>
      <c r="B860" s="1" t="n">
        <v>45838.67800925926</v>
      </c>
      <c r="C860" s="1" t="n">
        <v>45926</v>
      </c>
      <c r="D860" t="inlineStr">
        <is>
          <t>JÄMTLANDS LÄN</t>
        </is>
      </c>
      <c r="E860" t="inlineStr">
        <is>
          <t>RAGUNDA</t>
        </is>
      </c>
      <c r="G860" t="n">
        <v>2.8</v>
      </c>
      <c r="H860" t="n">
        <v>0</v>
      </c>
      <c r="I860" t="n">
        <v>0</v>
      </c>
      <c r="J860" t="n">
        <v>0</v>
      </c>
      <c r="K860" t="n">
        <v>0</v>
      </c>
      <c r="L860" t="n">
        <v>0</v>
      </c>
      <c r="M860" t="n">
        <v>0</v>
      </c>
      <c r="N860" t="n">
        <v>0</v>
      </c>
      <c r="O860" t="n">
        <v>0</v>
      </c>
      <c r="P860" t="n">
        <v>0</v>
      </c>
      <c r="Q860" t="n">
        <v>0</v>
      </c>
      <c r="R860" s="2" t="inlineStr"/>
    </row>
    <row r="861" ht="15" customHeight="1">
      <c r="A861" t="inlineStr">
        <is>
          <t>A 32751-2025</t>
        </is>
      </c>
      <c r="B861" s="1" t="n">
        <v>45839.42864583333</v>
      </c>
      <c r="C861" s="1" t="n">
        <v>45926</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32777-2025</t>
        </is>
      </c>
      <c r="B862" s="1" t="n">
        <v>45839.46915509259</v>
      </c>
      <c r="C862" s="1" t="n">
        <v>45926</v>
      </c>
      <c r="D862" t="inlineStr">
        <is>
          <t>JÄMTLANDS LÄN</t>
        </is>
      </c>
      <c r="E862" t="inlineStr">
        <is>
          <t>RAGUNDA</t>
        </is>
      </c>
      <c r="F862" t="inlineStr">
        <is>
          <t>SCA</t>
        </is>
      </c>
      <c r="G862" t="n">
        <v>21.7</v>
      </c>
      <c r="H862" t="n">
        <v>0</v>
      </c>
      <c r="I862" t="n">
        <v>0</v>
      </c>
      <c r="J862" t="n">
        <v>0</v>
      </c>
      <c r="K862" t="n">
        <v>0</v>
      </c>
      <c r="L862" t="n">
        <v>0</v>
      </c>
      <c r="M862" t="n">
        <v>0</v>
      </c>
      <c r="N862" t="n">
        <v>0</v>
      </c>
      <c r="O862" t="n">
        <v>0</v>
      </c>
      <c r="P862" t="n">
        <v>0</v>
      </c>
      <c r="Q862" t="n">
        <v>0</v>
      </c>
      <c r="R862" s="2" t="inlineStr"/>
    </row>
    <row r="863" ht="15" customHeight="1">
      <c r="A863" t="inlineStr">
        <is>
          <t>A 32430-2025</t>
        </is>
      </c>
      <c r="B863" s="1" t="n">
        <v>45838.36532407408</v>
      </c>
      <c r="C863" s="1" t="n">
        <v>45926</v>
      </c>
      <c r="D863" t="inlineStr">
        <is>
          <t>JÄMTLANDS LÄN</t>
        </is>
      </c>
      <c r="E863" t="inlineStr">
        <is>
          <t>RAGUNDA</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32747-2025</t>
        </is>
      </c>
      <c r="B864" s="1" t="n">
        <v>45839.42810185185</v>
      </c>
      <c r="C864" s="1" t="n">
        <v>45926</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32757-2025</t>
        </is>
      </c>
      <c r="B865" s="1" t="n">
        <v>45838</v>
      </c>
      <c r="C865" s="1" t="n">
        <v>45926</v>
      </c>
      <c r="D865" t="inlineStr">
        <is>
          <t>JÄMTLANDS LÄN</t>
        </is>
      </c>
      <c r="E865" t="inlineStr">
        <is>
          <t>RAGUNDA</t>
        </is>
      </c>
      <c r="G865" t="n">
        <v>4.5</v>
      </c>
      <c r="H865" t="n">
        <v>0</v>
      </c>
      <c r="I865" t="n">
        <v>0</v>
      </c>
      <c r="J865" t="n">
        <v>0</v>
      </c>
      <c r="K865" t="n">
        <v>0</v>
      </c>
      <c r="L865" t="n">
        <v>0</v>
      </c>
      <c r="M865" t="n">
        <v>0</v>
      </c>
      <c r="N865" t="n">
        <v>0</v>
      </c>
      <c r="O865" t="n">
        <v>0</v>
      </c>
      <c r="P865" t="n">
        <v>0</v>
      </c>
      <c r="Q865" t="n">
        <v>0</v>
      </c>
      <c r="R865" s="2" t="inlineStr"/>
    </row>
    <row r="866" ht="15" customHeight="1">
      <c r="A866" t="inlineStr">
        <is>
          <t>A 32846-2025</t>
        </is>
      </c>
      <c r="B866" s="1" t="n">
        <v>45839.57331018519</v>
      </c>
      <c r="C866" s="1" t="n">
        <v>45926</v>
      </c>
      <c r="D866" t="inlineStr">
        <is>
          <t>JÄMTLANDS LÄN</t>
        </is>
      </c>
      <c r="E866" t="inlineStr">
        <is>
          <t>RAGUNDA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12805-2025</t>
        </is>
      </c>
      <c r="B867" s="1" t="n">
        <v>45733.61497685185</v>
      </c>
      <c r="C867" s="1" t="n">
        <v>45926</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12808-2025</t>
        </is>
      </c>
      <c r="B868" s="1" t="n">
        <v>45733.61554398148</v>
      </c>
      <c r="C868" s="1" t="n">
        <v>45926</v>
      </c>
      <c r="D868" t="inlineStr">
        <is>
          <t>JÄMTLANDS LÄN</t>
        </is>
      </c>
      <c r="E868" t="inlineStr">
        <is>
          <t>RAGUNDA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32748-2025</t>
        </is>
      </c>
      <c r="B869" s="1" t="n">
        <v>45839.42822916667</v>
      </c>
      <c r="C869" s="1" t="n">
        <v>45926</v>
      </c>
      <c r="D869" t="inlineStr">
        <is>
          <t>JÄMTLANDS LÄN</t>
        </is>
      </c>
      <c r="E869" t="inlineStr">
        <is>
          <t>RAGUNDA</t>
        </is>
      </c>
      <c r="F869" t="inlineStr">
        <is>
          <t>SCA</t>
        </is>
      </c>
      <c r="G869" t="n">
        <v>4.4</v>
      </c>
      <c r="H869" t="n">
        <v>0</v>
      </c>
      <c r="I869" t="n">
        <v>0</v>
      </c>
      <c r="J869" t="n">
        <v>0</v>
      </c>
      <c r="K869" t="n">
        <v>0</v>
      </c>
      <c r="L869" t="n">
        <v>0</v>
      </c>
      <c r="M869" t="n">
        <v>0</v>
      </c>
      <c r="N869" t="n">
        <v>0</v>
      </c>
      <c r="O869" t="n">
        <v>0</v>
      </c>
      <c r="P869" t="n">
        <v>0</v>
      </c>
      <c r="Q869" t="n">
        <v>0</v>
      </c>
      <c r="R869" s="2" t="inlineStr"/>
    </row>
    <row r="870" ht="15" customHeight="1">
      <c r="A870" t="inlineStr">
        <is>
          <t>A 32762-2025</t>
        </is>
      </c>
      <c r="B870" s="1" t="n">
        <v>45838</v>
      </c>
      <c r="C870" s="1" t="n">
        <v>45926</v>
      </c>
      <c r="D870" t="inlineStr">
        <is>
          <t>JÄMTLANDS LÄN</t>
        </is>
      </c>
      <c r="E870" t="inlineStr">
        <is>
          <t>RAGUNDA</t>
        </is>
      </c>
      <c r="G870" t="n">
        <v>0.6</v>
      </c>
      <c r="H870" t="n">
        <v>0</v>
      </c>
      <c r="I870" t="n">
        <v>0</v>
      </c>
      <c r="J870" t="n">
        <v>0</v>
      </c>
      <c r="K870" t="n">
        <v>0</v>
      </c>
      <c r="L870" t="n">
        <v>0</v>
      </c>
      <c r="M870" t="n">
        <v>0</v>
      </c>
      <c r="N870" t="n">
        <v>0</v>
      </c>
      <c r="O870" t="n">
        <v>0</v>
      </c>
      <c r="P870" t="n">
        <v>0</v>
      </c>
      <c r="Q870" t="n">
        <v>0</v>
      </c>
      <c r="R870" s="2" t="inlineStr"/>
    </row>
    <row r="871" ht="15" customHeight="1">
      <c r="A871" t="inlineStr">
        <is>
          <t>A 32660-2025</t>
        </is>
      </c>
      <c r="B871" s="1" t="n">
        <v>45838.67887731481</v>
      </c>
      <c r="C871" s="1" t="n">
        <v>45926</v>
      </c>
      <c r="D871" t="inlineStr">
        <is>
          <t>JÄMTLANDS LÄN</t>
        </is>
      </c>
      <c r="E871" t="inlineStr">
        <is>
          <t>RAGUNDA</t>
        </is>
      </c>
      <c r="F871" t="inlineStr">
        <is>
          <t>SCA</t>
        </is>
      </c>
      <c r="G871" t="n">
        <v>10.3</v>
      </c>
      <c r="H871" t="n">
        <v>0</v>
      </c>
      <c r="I871" t="n">
        <v>0</v>
      </c>
      <c r="J871" t="n">
        <v>0</v>
      </c>
      <c r="K871" t="n">
        <v>0</v>
      </c>
      <c r="L871" t="n">
        <v>0</v>
      </c>
      <c r="M871" t="n">
        <v>0</v>
      </c>
      <c r="N871" t="n">
        <v>0</v>
      </c>
      <c r="O871" t="n">
        <v>0</v>
      </c>
      <c r="P871" t="n">
        <v>0</v>
      </c>
      <c r="Q871" t="n">
        <v>0</v>
      </c>
      <c r="R871" s="2" t="inlineStr"/>
    </row>
    <row r="872" ht="15" customHeight="1">
      <c r="A872" t="inlineStr">
        <is>
          <t>A 4615-2023</t>
        </is>
      </c>
      <c r="B872" s="1" t="n">
        <v>44956.93924768519</v>
      </c>
      <c r="C872" s="1" t="n">
        <v>45926</v>
      </c>
      <c r="D872" t="inlineStr">
        <is>
          <t>JÄMTLANDS LÄN</t>
        </is>
      </c>
      <c r="E872" t="inlineStr">
        <is>
          <t>RAGUNDA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32527-2025</t>
        </is>
      </c>
      <c r="B873" s="1" t="n">
        <v>45838.48996527777</v>
      </c>
      <c r="C873" s="1" t="n">
        <v>45926</v>
      </c>
      <c r="D873" t="inlineStr">
        <is>
          <t>JÄMTLANDS LÄN</t>
        </is>
      </c>
      <c r="E873" t="inlineStr">
        <is>
          <t>RAGUNDA</t>
        </is>
      </c>
      <c r="G873" t="n">
        <v>5</v>
      </c>
      <c r="H873" t="n">
        <v>0</v>
      </c>
      <c r="I873" t="n">
        <v>0</v>
      </c>
      <c r="J873" t="n">
        <v>0</v>
      </c>
      <c r="K873" t="n">
        <v>0</v>
      </c>
      <c r="L873" t="n">
        <v>0</v>
      </c>
      <c r="M873" t="n">
        <v>0</v>
      </c>
      <c r="N873" t="n">
        <v>0</v>
      </c>
      <c r="O873" t="n">
        <v>0</v>
      </c>
      <c r="P873" t="n">
        <v>0</v>
      </c>
      <c r="Q873" t="n">
        <v>0</v>
      </c>
      <c r="R873" s="2" t="inlineStr"/>
    </row>
    <row r="874" ht="15" customHeight="1">
      <c r="A874" t="inlineStr">
        <is>
          <t>A 5938-2025</t>
        </is>
      </c>
      <c r="B874" s="1" t="n">
        <v>45695.45868055556</v>
      </c>
      <c r="C874" s="1" t="n">
        <v>45926</v>
      </c>
      <c r="D874" t="inlineStr">
        <is>
          <t>JÄMTLANDS LÄN</t>
        </is>
      </c>
      <c r="E874" t="inlineStr">
        <is>
          <t>RAGUNDA</t>
        </is>
      </c>
      <c r="G874" t="n">
        <v>1</v>
      </c>
      <c r="H874" t="n">
        <v>0</v>
      </c>
      <c r="I874" t="n">
        <v>0</v>
      </c>
      <c r="J874" t="n">
        <v>0</v>
      </c>
      <c r="K874" t="n">
        <v>0</v>
      </c>
      <c r="L874" t="n">
        <v>0</v>
      </c>
      <c r="M874" t="n">
        <v>0</v>
      </c>
      <c r="N874" t="n">
        <v>0</v>
      </c>
      <c r="O874" t="n">
        <v>0</v>
      </c>
      <c r="P874" t="n">
        <v>0</v>
      </c>
      <c r="Q874" t="n">
        <v>0</v>
      </c>
      <c r="R874" s="2" t="inlineStr"/>
    </row>
    <row r="875" ht="15" customHeight="1">
      <c r="A875" t="inlineStr">
        <is>
          <t>A 4125-2024</t>
        </is>
      </c>
      <c r="B875" s="1" t="n">
        <v>45323</v>
      </c>
      <c r="C875" s="1" t="n">
        <v>45926</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53549-2024</t>
        </is>
      </c>
      <c r="B876" s="1" t="n">
        <v>45614.63869212963</v>
      </c>
      <c r="C876" s="1" t="n">
        <v>45926</v>
      </c>
      <c r="D876" t="inlineStr">
        <is>
          <t>JÄMTLANDS LÄN</t>
        </is>
      </c>
      <c r="E876" t="inlineStr">
        <is>
          <t>RAGUNDA</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33140-2025</t>
        </is>
      </c>
      <c r="B877" s="1" t="n">
        <v>45840.52225694444</v>
      </c>
      <c r="C877" s="1" t="n">
        <v>45926</v>
      </c>
      <c r="D877" t="inlineStr">
        <is>
          <t>JÄMTLANDS LÄN</t>
        </is>
      </c>
      <c r="E877" t="inlineStr">
        <is>
          <t>RAGUNDA</t>
        </is>
      </c>
      <c r="G877" t="n">
        <v>2</v>
      </c>
      <c r="H877" t="n">
        <v>0</v>
      </c>
      <c r="I877" t="n">
        <v>0</v>
      </c>
      <c r="J877" t="n">
        <v>0</v>
      </c>
      <c r="K877" t="n">
        <v>0</v>
      </c>
      <c r="L877" t="n">
        <v>0</v>
      </c>
      <c r="M877" t="n">
        <v>0</v>
      </c>
      <c r="N877" t="n">
        <v>0</v>
      </c>
      <c r="O877" t="n">
        <v>0</v>
      </c>
      <c r="P877" t="n">
        <v>0</v>
      </c>
      <c r="Q877" t="n">
        <v>0</v>
      </c>
      <c r="R877" s="2" t="inlineStr"/>
    </row>
    <row r="878" ht="15" customHeight="1">
      <c r="A878" t="inlineStr">
        <is>
          <t>A 33556-2025</t>
        </is>
      </c>
      <c r="B878" s="1" t="n">
        <v>45841.57427083333</v>
      </c>
      <c r="C878" s="1" t="n">
        <v>45926</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69153-2021</t>
        </is>
      </c>
      <c r="B879" s="1" t="n">
        <v>44530.94694444445</v>
      </c>
      <c r="C879" s="1" t="n">
        <v>45926</v>
      </c>
      <c r="D879" t="inlineStr">
        <is>
          <t>JÄMTLANDS LÄN</t>
        </is>
      </c>
      <c r="E879" t="inlineStr">
        <is>
          <t>RAGUNDA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12585-2024</t>
        </is>
      </c>
      <c r="B880" s="1" t="n">
        <v>45379.93637731481</v>
      </c>
      <c r="C880" s="1" t="n">
        <v>45926</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55489-2024</t>
        </is>
      </c>
      <c r="B881" s="1" t="n">
        <v>45622.44774305556</v>
      </c>
      <c r="C881" s="1" t="n">
        <v>45926</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18631-2024</t>
        </is>
      </c>
      <c r="B882" s="1" t="n">
        <v>45425.96494212963</v>
      </c>
      <c r="C882" s="1" t="n">
        <v>45926</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33650-2025</t>
        </is>
      </c>
      <c r="B883" s="1" t="n">
        <v>45841.6571412037</v>
      </c>
      <c r="C883" s="1" t="n">
        <v>45926</v>
      </c>
      <c r="D883" t="inlineStr">
        <is>
          <t>JÄMTLANDS LÄN</t>
        </is>
      </c>
      <c r="E883" t="inlineStr">
        <is>
          <t>RAGUNDA</t>
        </is>
      </c>
      <c r="G883" t="n">
        <v>1.4</v>
      </c>
      <c r="H883" t="n">
        <v>0</v>
      </c>
      <c r="I883" t="n">
        <v>0</v>
      </c>
      <c r="J883" t="n">
        <v>0</v>
      </c>
      <c r="K883" t="n">
        <v>0</v>
      </c>
      <c r="L883" t="n">
        <v>0</v>
      </c>
      <c r="M883" t="n">
        <v>0</v>
      </c>
      <c r="N883" t="n">
        <v>0</v>
      </c>
      <c r="O883" t="n">
        <v>0</v>
      </c>
      <c r="P883" t="n">
        <v>0</v>
      </c>
      <c r="Q883" t="n">
        <v>0</v>
      </c>
      <c r="R883" s="2" t="inlineStr"/>
    </row>
    <row r="884" ht="15" customHeight="1">
      <c r="A884" t="inlineStr">
        <is>
          <t>A 26646-2023</t>
        </is>
      </c>
      <c r="B884" s="1" t="n">
        <v>45092</v>
      </c>
      <c r="C884" s="1" t="n">
        <v>45926</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43405-2023</t>
        </is>
      </c>
      <c r="B885" s="1" t="n">
        <v>45183.95563657407</v>
      </c>
      <c r="C885" s="1" t="n">
        <v>45926</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7284-2025</t>
        </is>
      </c>
      <c r="B886" s="1" t="n">
        <v>45702.63604166666</v>
      </c>
      <c r="C886" s="1" t="n">
        <v>45926</v>
      </c>
      <c r="D886" t="inlineStr">
        <is>
          <t>JÄMTLANDS LÄN</t>
        </is>
      </c>
      <c r="E886" t="inlineStr">
        <is>
          <t>RAGUNDA</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59496-2024</t>
        </is>
      </c>
      <c r="B887" s="1" t="n">
        <v>45638</v>
      </c>
      <c r="C887" s="1" t="n">
        <v>45926</v>
      </c>
      <c r="D887" t="inlineStr">
        <is>
          <t>JÄMTLANDS LÄN</t>
        </is>
      </c>
      <c r="E887" t="inlineStr">
        <is>
          <t>RAGUNDA</t>
        </is>
      </c>
      <c r="G887" t="n">
        <v>13.1</v>
      </c>
      <c r="H887" t="n">
        <v>0</v>
      </c>
      <c r="I887" t="n">
        <v>0</v>
      </c>
      <c r="J887" t="n">
        <v>0</v>
      </c>
      <c r="K887" t="n">
        <v>0</v>
      </c>
      <c r="L887" t="n">
        <v>0</v>
      </c>
      <c r="M887" t="n">
        <v>0</v>
      </c>
      <c r="N887" t="n">
        <v>0</v>
      </c>
      <c r="O887" t="n">
        <v>0</v>
      </c>
      <c r="P887" t="n">
        <v>0</v>
      </c>
      <c r="Q887" t="n">
        <v>0</v>
      </c>
      <c r="R887" s="2" t="inlineStr"/>
    </row>
    <row r="888" ht="15" customHeight="1">
      <c r="A888" t="inlineStr">
        <is>
          <t>A 31506-2024</t>
        </is>
      </c>
      <c r="B888" s="1" t="n">
        <v>45505</v>
      </c>
      <c r="C888" s="1" t="n">
        <v>45926</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33763-2025</t>
        </is>
      </c>
      <c r="B889" s="1" t="n">
        <v>45842.38579861111</v>
      </c>
      <c r="C889" s="1" t="n">
        <v>45926</v>
      </c>
      <c r="D889" t="inlineStr">
        <is>
          <t>JÄMTLANDS LÄN</t>
        </is>
      </c>
      <c r="E889" t="inlineStr">
        <is>
          <t>RAGUNDA</t>
        </is>
      </c>
      <c r="F889" t="inlineStr">
        <is>
          <t>SCA</t>
        </is>
      </c>
      <c r="G889" t="n">
        <v>13.4</v>
      </c>
      <c r="H889" t="n">
        <v>0</v>
      </c>
      <c r="I889" t="n">
        <v>0</v>
      </c>
      <c r="J889" t="n">
        <v>0</v>
      </c>
      <c r="K889" t="n">
        <v>0</v>
      </c>
      <c r="L889" t="n">
        <v>0</v>
      </c>
      <c r="M889" t="n">
        <v>0</v>
      </c>
      <c r="N889" t="n">
        <v>0</v>
      </c>
      <c r="O889" t="n">
        <v>0</v>
      </c>
      <c r="P889" t="n">
        <v>0</v>
      </c>
      <c r="Q889" t="n">
        <v>0</v>
      </c>
      <c r="R889" s="2" t="inlineStr"/>
    </row>
    <row r="890" ht="15" customHeight="1">
      <c r="A890" t="inlineStr">
        <is>
          <t>A 62106-2023</t>
        </is>
      </c>
      <c r="B890" s="1" t="n">
        <v>45266.95082175926</v>
      </c>
      <c r="C890" s="1" t="n">
        <v>45926</v>
      </c>
      <c r="D890" t="inlineStr">
        <is>
          <t>JÄMTLANDS LÄN</t>
        </is>
      </c>
      <c r="E890" t="inlineStr">
        <is>
          <t>RAGUNDA</t>
        </is>
      </c>
      <c r="F890" t="inlineStr">
        <is>
          <t>SCA</t>
        </is>
      </c>
      <c r="G890" t="n">
        <v>6.6</v>
      </c>
      <c r="H890" t="n">
        <v>0</v>
      </c>
      <c r="I890" t="n">
        <v>0</v>
      </c>
      <c r="J890" t="n">
        <v>0</v>
      </c>
      <c r="K890" t="n">
        <v>0</v>
      </c>
      <c r="L890" t="n">
        <v>0</v>
      </c>
      <c r="M890" t="n">
        <v>0</v>
      </c>
      <c r="N890" t="n">
        <v>0</v>
      </c>
      <c r="O890" t="n">
        <v>0</v>
      </c>
      <c r="P890" t="n">
        <v>0</v>
      </c>
      <c r="Q890" t="n">
        <v>0</v>
      </c>
      <c r="R890" s="2" t="inlineStr"/>
    </row>
    <row r="891" ht="15" customHeight="1">
      <c r="A891" t="inlineStr">
        <is>
          <t>A 18781-2024</t>
        </is>
      </c>
      <c r="B891" s="1" t="n">
        <v>45426</v>
      </c>
      <c r="C891" s="1" t="n">
        <v>45926</v>
      </c>
      <c r="D891" t="inlineStr">
        <is>
          <t>JÄMTLANDS LÄN</t>
        </is>
      </c>
      <c r="E891" t="inlineStr">
        <is>
          <t>RAGUNDA</t>
        </is>
      </c>
      <c r="G891" t="n">
        <v>0.9</v>
      </c>
      <c r="H891" t="n">
        <v>0</v>
      </c>
      <c r="I891" t="n">
        <v>0</v>
      </c>
      <c r="J891" t="n">
        <v>0</v>
      </c>
      <c r="K891" t="n">
        <v>0</v>
      </c>
      <c r="L891" t="n">
        <v>0</v>
      </c>
      <c r="M891" t="n">
        <v>0</v>
      </c>
      <c r="N891" t="n">
        <v>0</v>
      </c>
      <c r="O891" t="n">
        <v>0</v>
      </c>
      <c r="P891" t="n">
        <v>0</v>
      </c>
      <c r="Q891" t="n">
        <v>0</v>
      </c>
      <c r="R891" s="2" t="inlineStr"/>
    </row>
    <row r="892" ht="15" customHeight="1">
      <c r="A892" t="inlineStr">
        <is>
          <t>A 19382-2025</t>
        </is>
      </c>
      <c r="B892" s="1" t="n">
        <v>45769.65659722222</v>
      </c>
      <c r="C892" s="1" t="n">
        <v>45926</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45926</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37479-2023</t>
        </is>
      </c>
      <c r="B894" s="1" t="n">
        <v>45156</v>
      </c>
      <c r="C894" s="1" t="n">
        <v>45926</v>
      </c>
      <c r="D894" t="inlineStr">
        <is>
          <t>JÄMTLANDS LÄN</t>
        </is>
      </c>
      <c r="E894" t="inlineStr">
        <is>
          <t>RAGUNDA</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5958-2021</t>
        </is>
      </c>
      <c r="B895" s="1" t="n">
        <v>44231</v>
      </c>
      <c r="C895" s="1" t="n">
        <v>45926</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1809-2025</t>
        </is>
      </c>
      <c r="B896" s="1" t="n">
        <v>45671.48989583334</v>
      </c>
      <c r="C896" s="1" t="n">
        <v>45926</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4866-2025</t>
        </is>
      </c>
      <c r="B897" s="1" t="n">
        <v>45688.67542824074</v>
      </c>
      <c r="C897" s="1" t="n">
        <v>45926</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30826-2023</t>
        </is>
      </c>
      <c r="B898" s="1" t="n">
        <v>45112</v>
      </c>
      <c r="C898" s="1" t="n">
        <v>45926</v>
      </c>
      <c r="D898" t="inlineStr">
        <is>
          <t>JÄMTLANDS LÄN</t>
        </is>
      </c>
      <c r="E898" t="inlineStr">
        <is>
          <t>RAGUNDA</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53263-2024</t>
        </is>
      </c>
      <c r="B899" s="1" t="n">
        <v>45614.34541666666</v>
      </c>
      <c r="C899" s="1" t="n">
        <v>45926</v>
      </c>
      <c r="D899" t="inlineStr">
        <is>
          <t>JÄMTLANDS LÄN</t>
        </is>
      </c>
      <c r="E899" t="inlineStr">
        <is>
          <t>RAGUNDA</t>
        </is>
      </c>
      <c r="G899" t="n">
        <v>1.9</v>
      </c>
      <c r="H899" t="n">
        <v>0</v>
      </c>
      <c r="I899" t="n">
        <v>0</v>
      </c>
      <c r="J899" t="n">
        <v>0</v>
      </c>
      <c r="K899" t="n">
        <v>0</v>
      </c>
      <c r="L899" t="n">
        <v>0</v>
      </c>
      <c r="M899" t="n">
        <v>0</v>
      </c>
      <c r="N899" t="n">
        <v>0</v>
      </c>
      <c r="O899" t="n">
        <v>0</v>
      </c>
      <c r="P899" t="n">
        <v>0</v>
      </c>
      <c r="Q899" t="n">
        <v>0</v>
      </c>
      <c r="R899" s="2" t="inlineStr"/>
    </row>
    <row r="900" ht="15" customHeight="1">
      <c r="A900" t="inlineStr">
        <is>
          <t>A 26645-2024</t>
        </is>
      </c>
      <c r="B900" s="1" t="n">
        <v>45469.94667824074</v>
      </c>
      <c r="C900" s="1" t="n">
        <v>45926</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893-2025</t>
        </is>
      </c>
      <c r="B901" s="1" t="n">
        <v>45665.65684027778</v>
      </c>
      <c r="C901" s="1" t="n">
        <v>45926</v>
      </c>
      <c r="D901" t="inlineStr">
        <is>
          <t>JÄMTLANDS LÄN</t>
        </is>
      </c>
      <c r="E901" t="inlineStr">
        <is>
          <t>RAGUNDA</t>
        </is>
      </c>
      <c r="F901" t="inlineStr">
        <is>
          <t>SCA</t>
        </is>
      </c>
      <c r="G901" t="n">
        <v>45.1</v>
      </c>
      <c r="H901" t="n">
        <v>0</v>
      </c>
      <c r="I901" t="n">
        <v>0</v>
      </c>
      <c r="J901" t="n">
        <v>0</v>
      </c>
      <c r="K901" t="n">
        <v>0</v>
      </c>
      <c r="L901" t="n">
        <v>0</v>
      </c>
      <c r="M901" t="n">
        <v>0</v>
      </c>
      <c r="N901" t="n">
        <v>0</v>
      </c>
      <c r="O901" t="n">
        <v>0</v>
      </c>
      <c r="P901" t="n">
        <v>0</v>
      </c>
      <c r="Q901" t="n">
        <v>0</v>
      </c>
      <c r="R901" s="2" t="inlineStr"/>
    </row>
    <row r="902" ht="15" customHeight="1">
      <c r="A902" t="inlineStr">
        <is>
          <t>A 31135-2023</t>
        </is>
      </c>
      <c r="B902" s="1" t="n">
        <v>45103</v>
      </c>
      <c r="C902" s="1" t="n">
        <v>45926</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33790-2025</t>
        </is>
      </c>
      <c r="B903" s="1" t="n">
        <v>45842.42608796297</v>
      </c>
      <c r="C903" s="1" t="n">
        <v>45926</v>
      </c>
      <c r="D903" t="inlineStr">
        <is>
          <t>JÄMTLANDS LÄN</t>
        </is>
      </c>
      <c r="E903" t="inlineStr">
        <is>
          <t>RAGUNDA</t>
        </is>
      </c>
      <c r="G903" t="n">
        <v>0.3</v>
      </c>
      <c r="H903" t="n">
        <v>0</v>
      </c>
      <c r="I903" t="n">
        <v>0</v>
      </c>
      <c r="J903" t="n">
        <v>0</v>
      </c>
      <c r="K903" t="n">
        <v>0</v>
      </c>
      <c r="L903" t="n">
        <v>0</v>
      </c>
      <c r="M903" t="n">
        <v>0</v>
      </c>
      <c r="N903" t="n">
        <v>0</v>
      </c>
      <c r="O903" t="n">
        <v>0</v>
      </c>
      <c r="P903" t="n">
        <v>0</v>
      </c>
      <c r="Q903" t="n">
        <v>0</v>
      </c>
      <c r="R903" s="2" t="inlineStr"/>
    </row>
    <row r="904" ht="15" customHeight="1">
      <c r="A904" t="inlineStr">
        <is>
          <t>A 34607-2025</t>
        </is>
      </c>
      <c r="B904" s="1" t="n">
        <v>45847.65703703704</v>
      </c>
      <c r="C904" s="1" t="n">
        <v>45926</v>
      </c>
      <c r="D904" t="inlineStr">
        <is>
          <t>JÄMTLANDS LÄN</t>
        </is>
      </c>
      <c r="E904" t="inlineStr">
        <is>
          <t>RAGUNDA</t>
        </is>
      </c>
      <c r="F904" t="inlineStr">
        <is>
          <t>SCA</t>
        </is>
      </c>
      <c r="G904" t="n">
        <v>31.4</v>
      </c>
      <c r="H904" t="n">
        <v>0</v>
      </c>
      <c r="I904" t="n">
        <v>0</v>
      </c>
      <c r="J904" t="n">
        <v>0</v>
      </c>
      <c r="K904" t="n">
        <v>0</v>
      </c>
      <c r="L904" t="n">
        <v>0</v>
      </c>
      <c r="M904" t="n">
        <v>0</v>
      </c>
      <c r="N904" t="n">
        <v>0</v>
      </c>
      <c r="O904" t="n">
        <v>0</v>
      </c>
      <c r="P904" t="n">
        <v>0</v>
      </c>
      <c r="Q904" t="n">
        <v>0</v>
      </c>
      <c r="R904" s="2" t="inlineStr"/>
    </row>
    <row r="905" ht="15" customHeight="1">
      <c r="A905" t="inlineStr">
        <is>
          <t>A 34461-2025</t>
        </is>
      </c>
      <c r="B905" s="1" t="n">
        <v>45847.34474537037</v>
      </c>
      <c r="C905" s="1" t="n">
        <v>45926</v>
      </c>
      <c r="D905" t="inlineStr">
        <is>
          <t>JÄMTLANDS LÄN</t>
        </is>
      </c>
      <c r="E905" t="inlineStr">
        <is>
          <t>RAGUNDA</t>
        </is>
      </c>
      <c r="F905" t="inlineStr">
        <is>
          <t>SCA</t>
        </is>
      </c>
      <c r="G905" t="n">
        <v>44.8</v>
      </c>
      <c r="H905" t="n">
        <v>0</v>
      </c>
      <c r="I905" t="n">
        <v>0</v>
      </c>
      <c r="J905" t="n">
        <v>0</v>
      </c>
      <c r="K905" t="n">
        <v>0</v>
      </c>
      <c r="L905" t="n">
        <v>0</v>
      </c>
      <c r="M905" t="n">
        <v>0</v>
      </c>
      <c r="N905" t="n">
        <v>0</v>
      </c>
      <c r="O905" t="n">
        <v>0</v>
      </c>
      <c r="P905" t="n">
        <v>0</v>
      </c>
      <c r="Q905" t="n">
        <v>0</v>
      </c>
      <c r="R905" s="2" t="inlineStr"/>
    </row>
    <row r="906" ht="15" customHeight="1">
      <c r="A906" t="inlineStr">
        <is>
          <t>A 34464-2025</t>
        </is>
      </c>
      <c r="B906" s="1" t="n">
        <v>45847.34528935186</v>
      </c>
      <c r="C906" s="1" t="n">
        <v>45926</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39192-2025</t>
        </is>
      </c>
      <c r="B907" s="1" t="n">
        <v>45888.6775</v>
      </c>
      <c r="C907" s="1" t="n">
        <v>45926</v>
      </c>
      <c r="D907" t="inlineStr">
        <is>
          <t>JÄMTLANDS LÄN</t>
        </is>
      </c>
      <c r="E907" t="inlineStr">
        <is>
          <t>RAGUNDA</t>
        </is>
      </c>
      <c r="F907" t="inlineStr">
        <is>
          <t>Naturvårdsverket</t>
        </is>
      </c>
      <c r="G907" t="n">
        <v>2.3</v>
      </c>
      <c r="H907" t="n">
        <v>0</v>
      </c>
      <c r="I907" t="n">
        <v>0</v>
      </c>
      <c r="J907" t="n">
        <v>0</v>
      </c>
      <c r="K907" t="n">
        <v>0</v>
      </c>
      <c r="L907" t="n">
        <v>0</v>
      </c>
      <c r="M907" t="n">
        <v>0</v>
      </c>
      <c r="N907" t="n">
        <v>0</v>
      </c>
      <c r="O907" t="n">
        <v>0</v>
      </c>
      <c r="P907" t="n">
        <v>0</v>
      </c>
      <c r="Q907" t="n">
        <v>0</v>
      </c>
      <c r="R907" s="2" t="inlineStr"/>
    </row>
    <row r="908" ht="15" customHeight="1">
      <c r="A908" t="inlineStr">
        <is>
          <t>A 11780-2024</t>
        </is>
      </c>
      <c r="B908" s="1" t="n">
        <v>45374</v>
      </c>
      <c r="C908" s="1" t="n">
        <v>45926</v>
      </c>
      <c r="D908" t="inlineStr">
        <is>
          <t>JÄMTLANDS LÄN</t>
        </is>
      </c>
      <c r="E908" t="inlineStr">
        <is>
          <t>RAGUNDA</t>
        </is>
      </c>
      <c r="G908" t="n">
        <v>14.6</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45926</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34466-2025</t>
        </is>
      </c>
      <c r="B910" s="1" t="n">
        <v>45847.34565972222</v>
      </c>
      <c r="C910" s="1" t="n">
        <v>45926</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43132-2023</t>
        </is>
      </c>
      <c r="B911" s="1" t="n">
        <v>45182</v>
      </c>
      <c r="C911" s="1" t="n">
        <v>45926</v>
      </c>
      <c r="D911" t="inlineStr">
        <is>
          <t>JÄMTLANDS LÄN</t>
        </is>
      </c>
      <c r="E911" t="inlineStr">
        <is>
          <t>RAGUNDA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34463-2025</t>
        </is>
      </c>
      <c r="B912" s="1" t="n">
        <v>45847.34515046296</v>
      </c>
      <c r="C912" s="1" t="n">
        <v>45926</v>
      </c>
      <c r="D912" t="inlineStr">
        <is>
          <t>JÄMTLANDS LÄN</t>
        </is>
      </c>
      <c r="E912" t="inlineStr">
        <is>
          <t>RAGUNDA</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39384-2025</t>
        </is>
      </c>
      <c r="B913" s="1" t="n">
        <v>45889.61517361111</v>
      </c>
      <c r="C913" s="1" t="n">
        <v>45926</v>
      </c>
      <c r="D913" t="inlineStr">
        <is>
          <t>JÄMTLANDS LÄN</t>
        </is>
      </c>
      <c r="E913" t="inlineStr">
        <is>
          <t>RAGUNDA</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11288-2022</t>
        </is>
      </c>
      <c r="B914" s="1" t="n">
        <v>44629</v>
      </c>
      <c r="C914" s="1" t="n">
        <v>45926</v>
      </c>
      <c r="D914" t="inlineStr">
        <is>
          <t>JÄMTLANDS LÄN</t>
        </is>
      </c>
      <c r="E914" t="inlineStr">
        <is>
          <t>RAGUNDA</t>
        </is>
      </c>
      <c r="G914" t="n">
        <v>4.9</v>
      </c>
      <c r="H914" t="n">
        <v>0</v>
      </c>
      <c r="I914" t="n">
        <v>0</v>
      </c>
      <c r="J914" t="n">
        <v>0</v>
      </c>
      <c r="K914" t="n">
        <v>0</v>
      </c>
      <c r="L914" t="n">
        <v>0</v>
      </c>
      <c r="M914" t="n">
        <v>0</v>
      </c>
      <c r="N914" t="n">
        <v>0</v>
      </c>
      <c r="O914" t="n">
        <v>0</v>
      </c>
      <c r="P914" t="n">
        <v>0</v>
      </c>
      <c r="Q914" t="n">
        <v>0</v>
      </c>
      <c r="R914" s="2" t="inlineStr"/>
    </row>
    <row r="915" ht="15" customHeight="1">
      <c r="A915" t="inlineStr">
        <is>
          <t>A 18984-2023</t>
        </is>
      </c>
      <c r="B915" s="1" t="n">
        <v>45044</v>
      </c>
      <c r="C915" s="1" t="n">
        <v>45926</v>
      </c>
      <c r="D915" t="inlineStr">
        <is>
          <t>JÄMTLANDS LÄN</t>
        </is>
      </c>
      <c r="E915" t="inlineStr">
        <is>
          <t>RAGUNDA</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66011-2021</t>
        </is>
      </c>
      <c r="B916" s="1" t="n">
        <v>44517.58137731482</v>
      </c>
      <c r="C916" s="1" t="n">
        <v>45926</v>
      </c>
      <c r="D916" t="inlineStr">
        <is>
          <t>JÄMTLANDS LÄN</t>
        </is>
      </c>
      <c r="E916" t="inlineStr">
        <is>
          <t>RAGUNDA</t>
        </is>
      </c>
      <c r="G916" t="n">
        <v>1.1</v>
      </c>
      <c r="H916" t="n">
        <v>0</v>
      </c>
      <c r="I916" t="n">
        <v>0</v>
      </c>
      <c r="J916" t="n">
        <v>0</v>
      </c>
      <c r="K916" t="n">
        <v>0</v>
      </c>
      <c r="L916" t="n">
        <v>0</v>
      </c>
      <c r="M916" t="n">
        <v>0</v>
      </c>
      <c r="N916" t="n">
        <v>0</v>
      </c>
      <c r="O916" t="n">
        <v>0</v>
      </c>
      <c r="P916" t="n">
        <v>0</v>
      </c>
      <c r="Q916" t="n">
        <v>0</v>
      </c>
      <c r="R916" s="2" t="inlineStr"/>
    </row>
    <row r="917" ht="15" customHeight="1">
      <c r="A917" t="inlineStr">
        <is>
          <t>A 34586-2025</t>
        </is>
      </c>
      <c r="B917" s="1" t="n">
        <v>45847.61513888889</v>
      </c>
      <c r="C917" s="1" t="n">
        <v>45926</v>
      </c>
      <c r="D917" t="inlineStr">
        <is>
          <t>JÄMTLANDS LÄN</t>
        </is>
      </c>
      <c r="E917" t="inlineStr">
        <is>
          <t>RAGUNDA</t>
        </is>
      </c>
      <c r="G917" t="n">
        <v>1.6</v>
      </c>
      <c r="H917" t="n">
        <v>0</v>
      </c>
      <c r="I917" t="n">
        <v>0</v>
      </c>
      <c r="J917" t="n">
        <v>0</v>
      </c>
      <c r="K917" t="n">
        <v>0</v>
      </c>
      <c r="L917" t="n">
        <v>0</v>
      </c>
      <c r="M917" t="n">
        <v>0</v>
      </c>
      <c r="N917" t="n">
        <v>0</v>
      </c>
      <c r="O917" t="n">
        <v>0</v>
      </c>
      <c r="P917" t="n">
        <v>0</v>
      </c>
      <c r="Q917" t="n">
        <v>0</v>
      </c>
      <c r="R917" s="2" t="inlineStr"/>
    </row>
    <row r="918" ht="15" customHeight="1">
      <c r="A918" t="inlineStr">
        <is>
          <t>A 34588-2025</t>
        </is>
      </c>
      <c r="B918" s="1" t="n">
        <v>45847.61548611111</v>
      </c>
      <c r="C918" s="1" t="n">
        <v>45926</v>
      </c>
      <c r="D918" t="inlineStr">
        <is>
          <t>JÄMTLANDS LÄN</t>
        </is>
      </c>
      <c r="E918" t="inlineStr">
        <is>
          <t>RAGUNDA</t>
        </is>
      </c>
      <c r="G918" t="n">
        <v>32.3</v>
      </c>
      <c r="H918" t="n">
        <v>0</v>
      </c>
      <c r="I918" t="n">
        <v>0</v>
      </c>
      <c r="J918" t="n">
        <v>0</v>
      </c>
      <c r="K918" t="n">
        <v>0</v>
      </c>
      <c r="L918" t="n">
        <v>0</v>
      </c>
      <c r="M918" t="n">
        <v>0</v>
      </c>
      <c r="N918" t="n">
        <v>0</v>
      </c>
      <c r="O918" t="n">
        <v>0</v>
      </c>
      <c r="P918" t="n">
        <v>0</v>
      </c>
      <c r="Q918" t="n">
        <v>0</v>
      </c>
      <c r="R918" s="2" t="inlineStr"/>
    </row>
    <row r="919" ht="15" customHeight="1">
      <c r="A919" t="inlineStr">
        <is>
          <t>A 34296-2025</t>
        </is>
      </c>
      <c r="B919" s="1" t="n">
        <v>45846.34454861111</v>
      </c>
      <c r="C919" s="1" t="n">
        <v>45926</v>
      </c>
      <c r="D919" t="inlineStr">
        <is>
          <t>JÄMTLANDS LÄN</t>
        </is>
      </c>
      <c r="E919" t="inlineStr">
        <is>
          <t>RAGUNDA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56284-2023</t>
        </is>
      </c>
      <c r="B920" s="1" t="n">
        <v>45241.95724537037</v>
      </c>
      <c r="C920" s="1" t="n">
        <v>45926</v>
      </c>
      <c r="D920" t="inlineStr">
        <is>
          <t>JÄMTLANDS LÄN</t>
        </is>
      </c>
      <c r="E920" t="inlineStr">
        <is>
          <t>RAGUNDA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34709-2025</t>
        </is>
      </c>
      <c r="B921" s="1" t="n">
        <v>45848.49761574074</v>
      </c>
      <c r="C921" s="1" t="n">
        <v>45926</v>
      </c>
      <c r="D921" t="inlineStr">
        <is>
          <t>JÄMTLANDS LÄN</t>
        </is>
      </c>
      <c r="E921" t="inlineStr">
        <is>
          <t>RAGUNDA</t>
        </is>
      </c>
      <c r="G921" t="n">
        <v>3.1</v>
      </c>
      <c r="H921" t="n">
        <v>0</v>
      </c>
      <c r="I921" t="n">
        <v>0</v>
      </c>
      <c r="J921" t="n">
        <v>0</v>
      </c>
      <c r="K921" t="n">
        <v>0</v>
      </c>
      <c r="L921" t="n">
        <v>0</v>
      </c>
      <c r="M921" t="n">
        <v>0</v>
      </c>
      <c r="N921" t="n">
        <v>0</v>
      </c>
      <c r="O921" t="n">
        <v>0</v>
      </c>
      <c r="P921" t="n">
        <v>0</v>
      </c>
      <c r="Q921" t="n">
        <v>0</v>
      </c>
      <c r="R921" s="2" t="inlineStr"/>
    </row>
    <row r="922" ht="15" customHeight="1">
      <c r="A922" t="inlineStr">
        <is>
          <t>A 42509-2023</t>
        </is>
      </c>
      <c r="B922" s="1" t="n">
        <v>45180</v>
      </c>
      <c r="C922" s="1" t="n">
        <v>45926</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34772-2025</t>
        </is>
      </c>
      <c r="B923" s="1" t="n">
        <v>45848.65658564815</v>
      </c>
      <c r="C923" s="1" t="n">
        <v>45926</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33615-2023</t>
        </is>
      </c>
      <c r="B924" s="1" t="n">
        <v>45119</v>
      </c>
      <c r="C924" s="1" t="n">
        <v>45926</v>
      </c>
      <c r="D924" t="inlineStr">
        <is>
          <t>JÄMTLANDS LÄN</t>
        </is>
      </c>
      <c r="E924" t="inlineStr">
        <is>
          <t>RAGUNDA</t>
        </is>
      </c>
      <c r="G924" t="n">
        <v>0.9</v>
      </c>
      <c r="H924" t="n">
        <v>0</v>
      </c>
      <c r="I924" t="n">
        <v>0</v>
      </c>
      <c r="J924" t="n">
        <v>0</v>
      </c>
      <c r="K924" t="n">
        <v>0</v>
      </c>
      <c r="L924" t="n">
        <v>0</v>
      </c>
      <c r="M924" t="n">
        <v>0</v>
      </c>
      <c r="N924" t="n">
        <v>0</v>
      </c>
      <c r="O924" t="n">
        <v>0</v>
      </c>
      <c r="P924" t="n">
        <v>0</v>
      </c>
      <c r="Q924" t="n">
        <v>0</v>
      </c>
      <c r="R924" s="2" t="inlineStr"/>
    </row>
    <row r="925" ht="15" customHeight="1">
      <c r="A925" t="inlineStr">
        <is>
          <t>A 42510-2023</t>
        </is>
      </c>
      <c r="B925" s="1" t="n">
        <v>45180.95927083334</v>
      </c>
      <c r="C925" s="1" t="n">
        <v>45926</v>
      </c>
      <c r="D925" t="inlineStr">
        <is>
          <t>JÄMTLANDS LÄN</t>
        </is>
      </c>
      <c r="E925" t="inlineStr">
        <is>
          <t>RAGUNDA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19401-2025</t>
        </is>
      </c>
      <c r="B926" s="1" t="n">
        <v>45769.67767361111</v>
      </c>
      <c r="C926" s="1" t="n">
        <v>45926</v>
      </c>
      <c r="D926" t="inlineStr">
        <is>
          <t>JÄMTLANDS LÄN</t>
        </is>
      </c>
      <c r="E926" t="inlineStr">
        <is>
          <t>RAGUNDA</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45926</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34710-2025</t>
        </is>
      </c>
      <c r="B928" s="1" t="n">
        <v>45848.49774305556</v>
      </c>
      <c r="C928" s="1" t="n">
        <v>45926</v>
      </c>
      <c r="D928" t="inlineStr">
        <is>
          <t>JÄMTLANDS LÄN</t>
        </is>
      </c>
      <c r="E928" t="inlineStr">
        <is>
          <t>RAGUNDA</t>
        </is>
      </c>
      <c r="G928" t="n">
        <v>4.1</v>
      </c>
      <c r="H928" t="n">
        <v>0</v>
      </c>
      <c r="I928" t="n">
        <v>0</v>
      </c>
      <c r="J928" t="n">
        <v>0</v>
      </c>
      <c r="K928" t="n">
        <v>0</v>
      </c>
      <c r="L928" t="n">
        <v>0</v>
      </c>
      <c r="M928" t="n">
        <v>0</v>
      </c>
      <c r="N928" t="n">
        <v>0</v>
      </c>
      <c r="O928" t="n">
        <v>0</v>
      </c>
      <c r="P928" t="n">
        <v>0</v>
      </c>
      <c r="Q928" t="n">
        <v>0</v>
      </c>
      <c r="R928" s="2" t="inlineStr"/>
    </row>
    <row r="929" ht="15" customHeight="1">
      <c r="A929" t="inlineStr">
        <is>
          <t>A 53860-2023</t>
        </is>
      </c>
      <c r="B929" s="1" t="n">
        <v>45224</v>
      </c>
      <c r="C929" s="1" t="n">
        <v>45926</v>
      </c>
      <c r="D929" t="inlineStr">
        <is>
          <t>JÄMTLANDS LÄN</t>
        </is>
      </c>
      <c r="E929" t="inlineStr">
        <is>
          <t>RAGUNDA</t>
        </is>
      </c>
      <c r="G929" t="n">
        <v>3.3</v>
      </c>
      <c r="H929" t="n">
        <v>0</v>
      </c>
      <c r="I929" t="n">
        <v>0</v>
      </c>
      <c r="J929" t="n">
        <v>0</v>
      </c>
      <c r="K929" t="n">
        <v>0</v>
      </c>
      <c r="L929" t="n">
        <v>0</v>
      </c>
      <c r="M929" t="n">
        <v>0</v>
      </c>
      <c r="N929" t="n">
        <v>0</v>
      </c>
      <c r="O929" t="n">
        <v>0</v>
      </c>
      <c r="P929" t="n">
        <v>0</v>
      </c>
      <c r="Q929" t="n">
        <v>0</v>
      </c>
      <c r="R929" s="2" t="inlineStr"/>
    </row>
    <row r="930" ht="15" customHeight="1">
      <c r="A930" t="inlineStr">
        <is>
          <t>A 65898-2020</t>
        </is>
      </c>
      <c r="B930" s="1" t="n">
        <v>44174</v>
      </c>
      <c r="C930" s="1" t="n">
        <v>45926</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12039-2023</t>
        </is>
      </c>
      <c r="B931" s="1" t="n">
        <v>44995.98341435185</v>
      </c>
      <c r="C931" s="1" t="n">
        <v>45926</v>
      </c>
      <c r="D931" t="inlineStr">
        <is>
          <t>JÄMTLANDS LÄN</t>
        </is>
      </c>
      <c r="E931" t="inlineStr">
        <is>
          <t>RAGUNDA</t>
        </is>
      </c>
      <c r="F931" t="inlineStr">
        <is>
          <t>SCA</t>
        </is>
      </c>
      <c r="G931" t="n">
        <v>0.5</v>
      </c>
      <c r="H931" t="n">
        <v>0</v>
      </c>
      <c r="I931" t="n">
        <v>0</v>
      </c>
      <c r="J931" t="n">
        <v>0</v>
      </c>
      <c r="K931" t="n">
        <v>0</v>
      </c>
      <c r="L931" t="n">
        <v>0</v>
      </c>
      <c r="M931" t="n">
        <v>0</v>
      </c>
      <c r="N931" t="n">
        <v>0</v>
      </c>
      <c r="O931" t="n">
        <v>0</v>
      </c>
      <c r="P931" t="n">
        <v>0</v>
      </c>
      <c r="Q931" t="n">
        <v>0</v>
      </c>
      <c r="R931" s="2" t="inlineStr"/>
    </row>
    <row r="932" ht="15" customHeight="1">
      <c r="A932" t="inlineStr">
        <is>
          <t>A 61197-2023</t>
        </is>
      </c>
      <c r="B932" s="1" t="n">
        <v>45260</v>
      </c>
      <c r="C932" s="1" t="n">
        <v>45926</v>
      </c>
      <c r="D932" t="inlineStr">
        <is>
          <t>JÄMTLANDS LÄN</t>
        </is>
      </c>
      <c r="E932" t="inlineStr">
        <is>
          <t>RAGUNDA</t>
        </is>
      </c>
      <c r="G932" t="n">
        <v>2.5</v>
      </c>
      <c r="H932" t="n">
        <v>0</v>
      </c>
      <c r="I932" t="n">
        <v>0</v>
      </c>
      <c r="J932" t="n">
        <v>0</v>
      </c>
      <c r="K932" t="n">
        <v>0</v>
      </c>
      <c r="L932" t="n">
        <v>0</v>
      </c>
      <c r="M932" t="n">
        <v>0</v>
      </c>
      <c r="N932" t="n">
        <v>0</v>
      </c>
      <c r="O932" t="n">
        <v>0</v>
      </c>
      <c r="P932" t="n">
        <v>0</v>
      </c>
      <c r="Q932" t="n">
        <v>0</v>
      </c>
      <c r="R932" s="2" t="inlineStr"/>
    </row>
    <row r="933" ht="15" customHeight="1">
      <c r="A933" t="inlineStr">
        <is>
          <t>A 13263-2025</t>
        </is>
      </c>
      <c r="B933" s="1" t="n">
        <v>45735.53177083333</v>
      </c>
      <c r="C933" s="1" t="n">
        <v>45926</v>
      </c>
      <c r="D933" t="inlineStr">
        <is>
          <t>JÄMTLANDS LÄN</t>
        </is>
      </c>
      <c r="E933" t="inlineStr">
        <is>
          <t>RAGUNDA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48066-2022</t>
        </is>
      </c>
      <c r="B934" s="1" t="n">
        <v>44855</v>
      </c>
      <c r="C934" s="1" t="n">
        <v>45926</v>
      </c>
      <c r="D934" t="inlineStr">
        <is>
          <t>JÄMTLANDS LÄN</t>
        </is>
      </c>
      <c r="E934" t="inlineStr">
        <is>
          <t>RAGUNDA</t>
        </is>
      </c>
      <c r="F934" t="inlineStr">
        <is>
          <t>SCA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34968-2025</t>
        </is>
      </c>
      <c r="B935" s="1" t="n">
        <v>45849.65663194445</v>
      </c>
      <c r="C935" s="1" t="n">
        <v>45926</v>
      </c>
      <c r="D935" t="inlineStr">
        <is>
          <t>JÄMTLANDS LÄN</t>
        </is>
      </c>
      <c r="E935" t="inlineStr">
        <is>
          <t>RAGUNDA</t>
        </is>
      </c>
      <c r="F935" t="inlineStr">
        <is>
          <t>SCA</t>
        </is>
      </c>
      <c r="G935" t="n">
        <v>20.2</v>
      </c>
      <c r="H935" t="n">
        <v>0</v>
      </c>
      <c r="I935" t="n">
        <v>0</v>
      </c>
      <c r="J935" t="n">
        <v>0</v>
      </c>
      <c r="K935" t="n">
        <v>0</v>
      </c>
      <c r="L935" t="n">
        <v>0</v>
      </c>
      <c r="M935" t="n">
        <v>0</v>
      </c>
      <c r="N935" t="n">
        <v>0</v>
      </c>
      <c r="O935" t="n">
        <v>0</v>
      </c>
      <c r="P935" t="n">
        <v>0</v>
      </c>
      <c r="Q935" t="n">
        <v>0</v>
      </c>
      <c r="R935" s="2" t="inlineStr"/>
    </row>
    <row r="936" ht="15" customHeight="1">
      <c r="A936" t="inlineStr">
        <is>
          <t>A 26991-2023</t>
        </is>
      </c>
      <c r="B936" s="1" t="n">
        <v>45093.92207175926</v>
      </c>
      <c r="C936" s="1" t="n">
        <v>45926</v>
      </c>
      <c r="D936" t="inlineStr">
        <is>
          <t>JÄMTLANDS LÄN</t>
        </is>
      </c>
      <c r="E936" t="inlineStr">
        <is>
          <t>RAGUNDA</t>
        </is>
      </c>
      <c r="G936" t="n">
        <v>1.4</v>
      </c>
      <c r="H936" t="n">
        <v>0</v>
      </c>
      <c r="I936" t="n">
        <v>0</v>
      </c>
      <c r="J936" t="n">
        <v>0</v>
      </c>
      <c r="K936" t="n">
        <v>0</v>
      </c>
      <c r="L936" t="n">
        <v>0</v>
      </c>
      <c r="M936" t="n">
        <v>0</v>
      </c>
      <c r="N936" t="n">
        <v>0</v>
      </c>
      <c r="O936" t="n">
        <v>0</v>
      </c>
      <c r="P936" t="n">
        <v>0</v>
      </c>
      <c r="Q936" t="n">
        <v>0</v>
      </c>
      <c r="R936" s="2" t="inlineStr"/>
    </row>
    <row r="937" ht="15" customHeight="1">
      <c r="A937" t="inlineStr">
        <is>
          <t>A 39946-2025</t>
        </is>
      </c>
      <c r="B937" s="1" t="n">
        <v>45892.34423611111</v>
      </c>
      <c r="C937" s="1" t="n">
        <v>45926</v>
      </c>
      <c r="D937" t="inlineStr">
        <is>
          <t>JÄMTLANDS LÄN</t>
        </is>
      </c>
      <c r="E937" t="inlineStr">
        <is>
          <t>RAGUNDA</t>
        </is>
      </c>
      <c r="G937" t="n">
        <v>4.7</v>
      </c>
      <c r="H937" t="n">
        <v>0</v>
      </c>
      <c r="I937" t="n">
        <v>0</v>
      </c>
      <c r="J937" t="n">
        <v>0</v>
      </c>
      <c r="K937" t="n">
        <v>0</v>
      </c>
      <c r="L937" t="n">
        <v>0</v>
      </c>
      <c r="M937" t="n">
        <v>0</v>
      </c>
      <c r="N937" t="n">
        <v>0</v>
      </c>
      <c r="O937" t="n">
        <v>0</v>
      </c>
      <c r="P937" t="n">
        <v>0</v>
      </c>
      <c r="Q937" t="n">
        <v>0</v>
      </c>
      <c r="R937" s="2" t="inlineStr"/>
    </row>
    <row r="938" ht="15" customHeight="1">
      <c r="A938" t="inlineStr">
        <is>
          <t>A 39948-2025</t>
        </is>
      </c>
      <c r="B938" s="1" t="n">
        <v>45892.38591435185</v>
      </c>
      <c r="C938" s="1" t="n">
        <v>45926</v>
      </c>
      <c r="D938" t="inlineStr">
        <is>
          <t>JÄMTLANDS LÄN</t>
        </is>
      </c>
      <c r="E938" t="inlineStr">
        <is>
          <t>RAGUNDA</t>
        </is>
      </c>
      <c r="G938" t="n">
        <v>5</v>
      </c>
      <c r="H938" t="n">
        <v>0</v>
      </c>
      <c r="I938" t="n">
        <v>0</v>
      </c>
      <c r="J938" t="n">
        <v>0</v>
      </c>
      <c r="K938" t="n">
        <v>0</v>
      </c>
      <c r="L938" t="n">
        <v>0</v>
      </c>
      <c r="M938" t="n">
        <v>0</v>
      </c>
      <c r="N938" t="n">
        <v>0</v>
      </c>
      <c r="O938" t="n">
        <v>0</v>
      </c>
      <c r="P938" t="n">
        <v>0</v>
      </c>
      <c r="Q938" t="n">
        <v>0</v>
      </c>
      <c r="R938" s="2" t="inlineStr"/>
    </row>
    <row r="939" ht="15" customHeight="1">
      <c r="A939" t="inlineStr">
        <is>
          <t>A 39951-2025</t>
        </is>
      </c>
      <c r="B939" s="1" t="n">
        <v>45892.38657407407</v>
      </c>
      <c r="C939" s="1" t="n">
        <v>45926</v>
      </c>
      <c r="D939" t="inlineStr">
        <is>
          <t>JÄMTLANDS LÄN</t>
        </is>
      </c>
      <c r="E939" t="inlineStr">
        <is>
          <t>RAGUNDA</t>
        </is>
      </c>
      <c r="G939" t="n">
        <v>2.3</v>
      </c>
      <c r="H939" t="n">
        <v>0</v>
      </c>
      <c r="I939" t="n">
        <v>0</v>
      </c>
      <c r="J939" t="n">
        <v>0</v>
      </c>
      <c r="K939" t="n">
        <v>0</v>
      </c>
      <c r="L939" t="n">
        <v>0</v>
      </c>
      <c r="M939" t="n">
        <v>0</v>
      </c>
      <c r="N939" t="n">
        <v>0</v>
      </c>
      <c r="O939" t="n">
        <v>0</v>
      </c>
      <c r="P939" t="n">
        <v>0</v>
      </c>
      <c r="Q939" t="n">
        <v>0</v>
      </c>
      <c r="R939" s="2" t="inlineStr"/>
    </row>
    <row r="940" ht="15" customHeight="1">
      <c r="A940" t="inlineStr">
        <is>
          <t>A 34998-2025</t>
        </is>
      </c>
      <c r="B940" s="1" t="n">
        <v>45850.34434027778</v>
      </c>
      <c r="C940" s="1" t="n">
        <v>45926</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64415-2023</t>
        </is>
      </c>
      <c r="B941" s="1" t="n">
        <v>45280</v>
      </c>
      <c r="C941" s="1" t="n">
        <v>45926</v>
      </c>
      <c r="D941" t="inlineStr">
        <is>
          <t>JÄMTLANDS LÄN</t>
        </is>
      </c>
      <c r="E941" t="inlineStr">
        <is>
          <t>RAGUNDA</t>
        </is>
      </c>
      <c r="G941" t="n">
        <v>5.1</v>
      </c>
      <c r="H941" t="n">
        <v>0</v>
      </c>
      <c r="I941" t="n">
        <v>0</v>
      </c>
      <c r="J941" t="n">
        <v>0</v>
      </c>
      <c r="K941" t="n">
        <v>0</v>
      </c>
      <c r="L941" t="n">
        <v>0</v>
      </c>
      <c r="M941" t="n">
        <v>0</v>
      </c>
      <c r="N941" t="n">
        <v>0</v>
      </c>
      <c r="O941" t="n">
        <v>0</v>
      </c>
      <c r="P941" t="n">
        <v>0</v>
      </c>
      <c r="Q941" t="n">
        <v>0</v>
      </c>
      <c r="R941" s="2" t="inlineStr"/>
    </row>
    <row r="942" ht="15" customHeight="1">
      <c r="A942" t="inlineStr">
        <is>
          <t>A 34999-2025</t>
        </is>
      </c>
      <c r="B942" s="1" t="n">
        <v>45850.34450231482</v>
      </c>
      <c r="C942" s="1" t="n">
        <v>45926</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60225-2022</t>
        </is>
      </c>
      <c r="B943" s="1" t="n">
        <v>44903</v>
      </c>
      <c r="C943" s="1" t="n">
        <v>45926</v>
      </c>
      <c r="D943" t="inlineStr">
        <is>
          <t>JÄMTLANDS LÄN</t>
        </is>
      </c>
      <c r="E943" t="inlineStr">
        <is>
          <t>RAGUNDA</t>
        </is>
      </c>
      <c r="G943" t="n">
        <v>1</v>
      </c>
      <c r="H943" t="n">
        <v>0</v>
      </c>
      <c r="I943" t="n">
        <v>0</v>
      </c>
      <c r="J943" t="n">
        <v>0</v>
      </c>
      <c r="K943" t="n">
        <v>0</v>
      </c>
      <c r="L943" t="n">
        <v>0</v>
      </c>
      <c r="M943" t="n">
        <v>0</v>
      </c>
      <c r="N943" t="n">
        <v>0</v>
      </c>
      <c r="O943" t="n">
        <v>0</v>
      </c>
      <c r="P943" t="n">
        <v>0</v>
      </c>
      <c r="Q943" t="n">
        <v>0</v>
      </c>
      <c r="R943" s="2" t="inlineStr"/>
    </row>
    <row r="944" ht="15" customHeight="1">
      <c r="A944" t="inlineStr">
        <is>
          <t>A 39956-2025</t>
        </is>
      </c>
      <c r="B944" s="1" t="n">
        <v>45892.44840277778</v>
      </c>
      <c r="C944" s="1" t="n">
        <v>45926</v>
      </c>
      <c r="D944" t="inlineStr">
        <is>
          <t>JÄMTLANDS LÄN</t>
        </is>
      </c>
      <c r="E944" t="inlineStr">
        <is>
          <t>RAGUNDA</t>
        </is>
      </c>
      <c r="G944" t="n">
        <v>3.6</v>
      </c>
      <c r="H944" t="n">
        <v>0</v>
      </c>
      <c r="I944" t="n">
        <v>0</v>
      </c>
      <c r="J944" t="n">
        <v>0</v>
      </c>
      <c r="K944" t="n">
        <v>0</v>
      </c>
      <c r="L944" t="n">
        <v>0</v>
      </c>
      <c r="M944" t="n">
        <v>0</v>
      </c>
      <c r="N944" t="n">
        <v>0</v>
      </c>
      <c r="O944" t="n">
        <v>0</v>
      </c>
      <c r="P944" t="n">
        <v>0</v>
      </c>
      <c r="Q944" t="n">
        <v>0</v>
      </c>
      <c r="R944" s="2" t="inlineStr"/>
    </row>
    <row r="945" ht="15" customHeight="1">
      <c r="A945" t="inlineStr">
        <is>
          <t>A 15864-2024</t>
        </is>
      </c>
      <c r="B945" s="1" t="n">
        <v>45404.99792824074</v>
      </c>
      <c r="C945" s="1" t="n">
        <v>45926</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c r="U945">
        <f>HYPERLINK("https://klasma.github.io/Logging_2303/knärot/A 15864-2024 karta knärot.png", "A 15864-2024")</f>
        <v/>
      </c>
      <c r="V945">
        <f>HYPERLINK("https://klasma.github.io/Logging_2303/klagomål/A 15864-2024 FSC-klagomål.docx", "A 15864-2024")</f>
        <v/>
      </c>
      <c r="W945">
        <f>HYPERLINK("https://klasma.github.io/Logging_2303/klagomålsmail/A 15864-2024 FSC-klagomål mail.docx", "A 15864-2024")</f>
        <v/>
      </c>
      <c r="X945">
        <f>HYPERLINK("https://klasma.github.io/Logging_2303/tillsyn/A 15864-2024 tillsynsbegäran.docx", "A 15864-2024")</f>
        <v/>
      </c>
      <c r="Y945">
        <f>HYPERLINK("https://klasma.github.io/Logging_2303/tillsynsmail/A 15864-2024 tillsynsbegäran mail.docx", "A 15864-2024")</f>
        <v/>
      </c>
    </row>
    <row r="946" ht="15" customHeight="1">
      <c r="A946" t="inlineStr">
        <is>
          <t>A 35092-2025</t>
        </is>
      </c>
      <c r="B946" s="1" t="n">
        <v>45852.53185185185</v>
      </c>
      <c r="C946" s="1" t="n">
        <v>45926</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13302-2022</t>
        </is>
      </c>
      <c r="B947" s="1" t="n">
        <v>44644</v>
      </c>
      <c r="C947" s="1" t="n">
        <v>45926</v>
      </c>
      <c r="D947" t="inlineStr">
        <is>
          <t>JÄMTLANDS LÄN</t>
        </is>
      </c>
      <c r="E947" t="inlineStr">
        <is>
          <t>RAGUNDA</t>
        </is>
      </c>
      <c r="F947" t="inlineStr">
        <is>
          <t>SCA</t>
        </is>
      </c>
      <c r="G947" t="n">
        <v>35.6</v>
      </c>
      <c r="H947" t="n">
        <v>0</v>
      </c>
      <c r="I947" t="n">
        <v>0</v>
      </c>
      <c r="J947" t="n">
        <v>0</v>
      </c>
      <c r="K947" t="n">
        <v>0</v>
      </c>
      <c r="L947" t="n">
        <v>0</v>
      </c>
      <c r="M947" t="n">
        <v>0</v>
      </c>
      <c r="N947" t="n">
        <v>0</v>
      </c>
      <c r="O947" t="n">
        <v>0</v>
      </c>
      <c r="P947" t="n">
        <v>0</v>
      </c>
      <c r="Q947" t="n">
        <v>0</v>
      </c>
      <c r="R947" s="2" t="inlineStr"/>
    </row>
    <row r="948" ht="15" customHeight="1">
      <c r="A948" t="inlineStr">
        <is>
          <t>A 26651-2024</t>
        </is>
      </c>
      <c r="B948" s="1" t="n">
        <v>45469.94876157407</v>
      </c>
      <c r="C948" s="1" t="n">
        <v>45926</v>
      </c>
      <c r="D948" t="inlineStr">
        <is>
          <t>JÄMTLANDS LÄN</t>
        </is>
      </c>
      <c r="E948" t="inlineStr">
        <is>
          <t>RAGUNDA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57749-2024</t>
        </is>
      </c>
      <c r="B949" s="1" t="n">
        <v>45630.7862037037</v>
      </c>
      <c r="C949" s="1" t="n">
        <v>45926</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39947-2025</t>
        </is>
      </c>
      <c r="B950" s="1" t="n">
        <v>45892.34438657408</v>
      </c>
      <c r="C950" s="1" t="n">
        <v>45926</v>
      </c>
      <c r="D950" t="inlineStr">
        <is>
          <t>JÄMTLANDS LÄN</t>
        </is>
      </c>
      <c r="E950" t="inlineStr">
        <is>
          <t>RAGUNDA</t>
        </is>
      </c>
      <c r="G950" t="n">
        <v>6.6</v>
      </c>
      <c r="H950" t="n">
        <v>0</v>
      </c>
      <c r="I950" t="n">
        <v>0</v>
      </c>
      <c r="J950" t="n">
        <v>0</v>
      </c>
      <c r="K950" t="n">
        <v>0</v>
      </c>
      <c r="L950" t="n">
        <v>0</v>
      </c>
      <c r="M950" t="n">
        <v>0</v>
      </c>
      <c r="N950" t="n">
        <v>0</v>
      </c>
      <c r="O950" t="n">
        <v>0</v>
      </c>
      <c r="P950" t="n">
        <v>0</v>
      </c>
      <c r="Q950" t="n">
        <v>0</v>
      </c>
      <c r="R950" s="2" t="inlineStr"/>
    </row>
    <row r="951" ht="15" customHeight="1">
      <c r="A951" t="inlineStr">
        <is>
          <t>A 39950-2025</t>
        </is>
      </c>
      <c r="B951" s="1" t="n">
        <v>45892.38641203703</v>
      </c>
      <c r="C951" s="1" t="n">
        <v>45926</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24280-2021</t>
        </is>
      </c>
      <c r="B952" s="1" t="n">
        <v>44336</v>
      </c>
      <c r="C952" s="1" t="n">
        <v>45926</v>
      </c>
      <c r="D952" t="inlineStr">
        <is>
          <t>JÄMTLANDS LÄN</t>
        </is>
      </c>
      <c r="E952" t="inlineStr">
        <is>
          <t>RAGUNDA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8886-2024</t>
        </is>
      </c>
      <c r="B953" s="1" t="n">
        <v>45357.05300925926</v>
      </c>
      <c r="C953" s="1" t="n">
        <v>45926</v>
      </c>
      <c r="D953" t="inlineStr">
        <is>
          <t>JÄMTLANDS LÄN</t>
        </is>
      </c>
      <c r="E953" t="inlineStr">
        <is>
          <t>RAGUNDA</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28596-2021</t>
        </is>
      </c>
      <c r="B954" s="1" t="n">
        <v>44356</v>
      </c>
      <c r="C954" s="1" t="n">
        <v>45926</v>
      </c>
      <c r="D954" t="inlineStr">
        <is>
          <t>JÄMTLANDS LÄN</t>
        </is>
      </c>
      <c r="E954" t="inlineStr">
        <is>
          <t>RAGUNDA</t>
        </is>
      </c>
      <c r="G954" t="n">
        <v>5.4</v>
      </c>
      <c r="H954" t="n">
        <v>0</v>
      </c>
      <c r="I954" t="n">
        <v>0</v>
      </c>
      <c r="J954" t="n">
        <v>0</v>
      </c>
      <c r="K954" t="n">
        <v>0</v>
      </c>
      <c r="L954" t="n">
        <v>0</v>
      </c>
      <c r="M954" t="n">
        <v>0</v>
      </c>
      <c r="N954" t="n">
        <v>0</v>
      </c>
      <c r="O954" t="n">
        <v>0</v>
      </c>
      <c r="P954" t="n">
        <v>0</v>
      </c>
      <c r="Q954" t="n">
        <v>0</v>
      </c>
      <c r="R954" s="2" t="inlineStr"/>
    </row>
    <row r="955" ht="15" customHeight="1">
      <c r="A955" t="inlineStr">
        <is>
          <t>A 40919-2024</t>
        </is>
      </c>
      <c r="B955" s="1" t="n">
        <v>45558.63575231482</v>
      </c>
      <c r="C955" s="1" t="n">
        <v>45926</v>
      </c>
      <c r="D955" t="inlineStr">
        <is>
          <t>JÄMTLANDS LÄN</t>
        </is>
      </c>
      <c r="E955" t="inlineStr">
        <is>
          <t>RAGUNDA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3186-2025</t>
        </is>
      </c>
      <c r="B956" s="1" t="n">
        <v>45679.40362268518</v>
      </c>
      <c r="C956" s="1" t="n">
        <v>45926</v>
      </c>
      <c r="D956" t="inlineStr">
        <is>
          <t>JÄMTLANDS LÄN</t>
        </is>
      </c>
      <c r="E956" t="inlineStr">
        <is>
          <t>RAGUNDA</t>
        </is>
      </c>
      <c r="G956" t="n">
        <v>5.2</v>
      </c>
      <c r="H956" t="n">
        <v>0</v>
      </c>
      <c r="I956" t="n">
        <v>0</v>
      </c>
      <c r="J956" t="n">
        <v>0</v>
      </c>
      <c r="K956" t="n">
        <v>0</v>
      </c>
      <c r="L956" t="n">
        <v>0</v>
      </c>
      <c r="M956" t="n">
        <v>0</v>
      </c>
      <c r="N956" t="n">
        <v>0</v>
      </c>
      <c r="O956" t="n">
        <v>0</v>
      </c>
      <c r="P956" t="n">
        <v>0</v>
      </c>
      <c r="Q956" t="n">
        <v>0</v>
      </c>
      <c r="R956" s="2" t="inlineStr"/>
    </row>
    <row r="957" ht="15" customHeight="1">
      <c r="A957" t="inlineStr">
        <is>
          <t>A 35091-2025</t>
        </is>
      </c>
      <c r="B957" s="1" t="n">
        <v>45852.53168981482</v>
      </c>
      <c r="C957" s="1" t="n">
        <v>45926</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465-2023</t>
        </is>
      </c>
      <c r="B958" s="1" t="n">
        <v>44929</v>
      </c>
      <c r="C958" s="1" t="n">
        <v>45926</v>
      </c>
      <c r="D958" t="inlineStr">
        <is>
          <t>JÄMTLANDS LÄN</t>
        </is>
      </c>
      <c r="E958" t="inlineStr">
        <is>
          <t>RAGUNDA</t>
        </is>
      </c>
      <c r="G958" t="n">
        <v>0.8</v>
      </c>
      <c r="H958" t="n">
        <v>0</v>
      </c>
      <c r="I958" t="n">
        <v>0</v>
      </c>
      <c r="J958" t="n">
        <v>0</v>
      </c>
      <c r="K958" t="n">
        <v>0</v>
      </c>
      <c r="L958" t="n">
        <v>0</v>
      </c>
      <c r="M958" t="n">
        <v>0</v>
      </c>
      <c r="N958" t="n">
        <v>0</v>
      </c>
      <c r="O958" t="n">
        <v>0</v>
      </c>
      <c r="P958" t="n">
        <v>0</v>
      </c>
      <c r="Q958" t="n">
        <v>0</v>
      </c>
      <c r="R958" s="2" t="inlineStr"/>
    </row>
    <row r="959" ht="15" customHeight="1">
      <c r="A959" t="inlineStr">
        <is>
          <t>A 39949-2025</t>
        </is>
      </c>
      <c r="B959" s="1" t="n">
        <v>45892.38619212963</v>
      </c>
      <c r="C959" s="1" t="n">
        <v>45926</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39955-2025</t>
        </is>
      </c>
      <c r="B960" s="1" t="n">
        <v>45892.44824074074</v>
      </c>
      <c r="C960" s="1" t="n">
        <v>45926</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11058-2025</t>
        </is>
      </c>
      <c r="B961" s="1" t="n">
        <v>45723.51079861111</v>
      </c>
      <c r="C961" s="1" t="n">
        <v>45926</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40586-2025</t>
        </is>
      </c>
      <c r="B962" s="1" t="n">
        <v>45896.52478009259</v>
      </c>
      <c r="C962" s="1" t="n">
        <v>45926</v>
      </c>
      <c r="D962" t="inlineStr">
        <is>
          <t>JÄMTLANDS LÄN</t>
        </is>
      </c>
      <c r="E962" t="inlineStr">
        <is>
          <t>RAGUNDA</t>
        </is>
      </c>
      <c r="G962" t="n">
        <v>1.2</v>
      </c>
      <c r="H962" t="n">
        <v>0</v>
      </c>
      <c r="I962" t="n">
        <v>0</v>
      </c>
      <c r="J962" t="n">
        <v>0</v>
      </c>
      <c r="K962" t="n">
        <v>0</v>
      </c>
      <c r="L962" t="n">
        <v>0</v>
      </c>
      <c r="M962" t="n">
        <v>0</v>
      </c>
      <c r="N962" t="n">
        <v>0</v>
      </c>
      <c r="O962" t="n">
        <v>0</v>
      </c>
      <c r="P962" t="n">
        <v>0</v>
      </c>
      <c r="Q962" t="n">
        <v>0</v>
      </c>
      <c r="R962" s="2" t="inlineStr"/>
    </row>
    <row r="963" ht="15" customHeight="1">
      <c r="A963" t="inlineStr">
        <is>
          <t>A 26455-2023</t>
        </is>
      </c>
      <c r="B963" s="1" t="n">
        <v>45092</v>
      </c>
      <c r="C963" s="1" t="n">
        <v>45926</v>
      </c>
      <c r="D963" t="inlineStr">
        <is>
          <t>JÄMTLANDS LÄN</t>
        </is>
      </c>
      <c r="E963" t="inlineStr">
        <is>
          <t>RAGUNDA</t>
        </is>
      </c>
      <c r="G963" t="n">
        <v>3.8</v>
      </c>
      <c r="H963" t="n">
        <v>0</v>
      </c>
      <c r="I963" t="n">
        <v>0</v>
      </c>
      <c r="J963" t="n">
        <v>0</v>
      </c>
      <c r="K963" t="n">
        <v>0</v>
      </c>
      <c r="L963" t="n">
        <v>0</v>
      </c>
      <c r="M963" t="n">
        <v>0</v>
      </c>
      <c r="N963" t="n">
        <v>0</v>
      </c>
      <c r="O963" t="n">
        <v>0</v>
      </c>
      <c r="P963" t="n">
        <v>0</v>
      </c>
      <c r="Q963" t="n">
        <v>0</v>
      </c>
      <c r="R963" s="2" t="inlineStr"/>
    </row>
    <row r="964" ht="15" customHeight="1">
      <c r="A964" t="inlineStr">
        <is>
          <t>A 10639-2024</t>
        </is>
      </c>
      <c r="B964" s="1" t="n">
        <v>45367.67256944445</v>
      </c>
      <c r="C964" s="1" t="n">
        <v>45926</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38664-2022</t>
        </is>
      </c>
      <c r="B965" s="1" t="n">
        <v>44813</v>
      </c>
      <c r="C965" s="1" t="n">
        <v>45926</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2751-2024</t>
        </is>
      </c>
      <c r="B966" s="1" t="n">
        <v>45314</v>
      </c>
      <c r="C966" s="1" t="n">
        <v>45926</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35462-2025</t>
        </is>
      </c>
      <c r="B967" s="1" t="n">
        <v>45855.61523148148</v>
      </c>
      <c r="C967" s="1" t="n">
        <v>45926</v>
      </c>
      <c r="D967" t="inlineStr">
        <is>
          <t>JÄMTLANDS LÄN</t>
        </is>
      </c>
      <c r="E967" t="inlineStr">
        <is>
          <t>RAGUNDA</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35355-2025</t>
        </is>
      </c>
      <c r="B968" s="1" t="n">
        <v>45854.65663194445</v>
      </c>
      <c r="C968" s="1" t="n">
        <v>45926</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24441-2024</t>
        </is>
      </c>
      <c r="B969" s="1" t="n">
        <v>45457.96372685185</v>
      </c>
      <c r="C969" s="1" t="n">
        <v>45926</v>
      </c>
      <c r="D969" t="inlineStr">
        <is>
          <t>JÄMTLANDS LÄN</t>
        </is>
      </c>
      <c r="E969" t="inlineStr">
        <is>
          <t>RAGUNDA</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35477-2025</t>
        </is>
      </c>
      <c r="B970" s="1" t="n">
        <v>45855.67899305555</v>
      </c>
      <c r="C970" s="1" t="n">
        <v>45926</v>
      </c>
      <c r="D970" t="inlineStr">
        <is>
          <t>JÄMTLANDS LÄN</t>
        </is>
      </c>
      <c r="E970" t="inlineStr">
        <is>
          <t>RAGUNDA</t>
        </is>
      </c>
      <c r="G970" t="n">
        <v>3.6</v>
      </c>
      <c r="H970" t="n">
        <v>0</v>
      </c>
      <c r="I970" t="n">
        <v>0</v>
      </c>
      <c r="J970" t="n">
        <v>0</v>
      </c>
      <c r="K970" t="n">
        <v>0</v>
      </c>
      <c r="L970" t="n">
        <v>0</v>
      </c>
      <c r="M970" t="n">
        <v>0</v>
      </c>
      <c r="N970" t="n">
        <v>0</v>
      </c>
      <c r="O970" t="n">
        <v>0</v>
      </c>
      <c r="P970" t="n">
        <v>0</v>
      </c>
      <c r="Q970" t="n">
        <v>0</v>
      </c>
      <c r="R970" s="2" t="inlineStr"/>
    </row>
    <row r="971" ht="15" customHeight="1">
      <c r="A971" t="inlineStr">
        <is>
          <t>A 36317-2024</t>
        </is>
      </c>
      <c r="B971" s="1" t="n">
        <v>45534.63537037037</v>
      </c>
      <c r="C971" s="1" t="n">
        <v>45926</v>
      </c>
      <c r="D971" t="inlineStr">
        <is>
          <t>JÄMTLANDS LÄN</t>
        </is>
      </c>
      <c r="E971" t="inlineStr">
        <is>
          <t>RAGUNDA</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40801-2023</t>
        </is>
      </c>
      <c r="B972" s="1" t="n">
        <v>45170</v>
      </c>
      <c r="C972" s="1" t="n">
        <v>45926</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41161-2025</t>
        </is>
      </c>
      <c r="B973" s="1" t="n">
        <v>45898.53193287037</v>
      </c>
      <c r="C973" s="1" t="n">
        <v>45926</v>
      </c>
      <c r="D973" t="inlineStr">
        <is>
          <t>JÄMTLANDS LÄN</t>
        </is>
      </c>
      <c r="E973" t="inlineStr">
        <is>
          <t>RAGUNDA</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18614-2024</t>
        </is>
      </c>
      <c r="B974" s="1" t="n">
        <v>45425.96263888889</v>
      </c>
      <c r="C974" s="1" t="n">
        <v>45926</v>
      </c>
      <c r="D974" t="inlineStr">
        <is>
          <t>JÄMTLANDS LÄN</t>
        </is>
      </c>
      <c r="E974" t="inlineStr">
        <is>
          <t>RAGUNDA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41423-2025</t>
        </is>
      </c>
      <c r="B975" s="1" t="n">
        <v>45901.38578703703</v>
      </c>
      <c r="C975" s="1" t="n">
        <v>45926</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48065-2023</t>
        </is>
      </c>
      <c r="B976" s="1" t="n">
        <v>45204.94399305555</v>
      </c>
      <c r="C976" s="1" t="n">
        <v>45926</v>
      </c>
      <c r="D976" t="inlineStr">
        <is>
          <t>JÄMTLANDS LÄN</t>
        </is>
      </c>
      <c r="E976" t="inlineStr">
        <is>
          <t>RAGUNDA</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8787-2022</t>
        </is>
      </c>
      <c r="B977" s="1" t="n">
        <v>44614</v>
      </c>
      <c r="C977" s="1" t="n">
        <v>45926</v>
      </c>
      <c r="D977" t="inlineStr">
        <is>
          <t>JÄMTLANDS LÄN</t>
        </is>
      </c>
      <c r="E977" t="inlineStr">
        <is>
          <t>RAGUNDA</t>
        </is>
      </c>
      <c r="G977" t="n">
        <v>6.4</v>
      </c>
      <c r="H977" t="n">
        <v>0</v>
      </c>
      <c r="I977" t="n">
        <v>0</v>
      </c>
      <c r="J977" t="n">
        <v>0</v>
      </c>
      <c r="K977" t="n">
        <v>0</v>
      </c>
      <c r="L977" t="n">
        <v>0</v>
      </c>
      <c r="M977" t="n">
        <v>0</v>
      </c>
      <c r="N977" t="n">
        <v>0</v>
      </c>
      <c r="O977" t="n">
        <v>0</v>
      </c>
      <c r="P977" t="n">
        <v>0</v>
      </c>
      <c r="Q977" t="n">
        <v>0</v>
      </c>
      <c r="R977" s="2" t="inlineStr"/>
    </row>
    <row r="978" ht="15" customHeight="1">
      <c r="A978" t="inlineStr">
        <is>
          <t>A 5967-2021</t>
        </is>
      </c>
      <c r="B978" s="1" t="n">
        <v>44231</v>
      </c>
      <c r="C978" s="1" t="n">
        <v>45926</v>
      </c>
      <c r="D978" t="inlineStr">
        <is>
          <t>JÄMTLANDS LÄN</t>
        </is>
      </c>
      <c r="E978" t="inlineStr">
        <is>
          <t>RAGUNDA</t>
        </is>
      </c>
      <c r="G978" t="n">
        <v>3.6</v>
      </c>
      <c r="H978" t="n">
        <v>0</v>
      </c>
      <c r="I978" t="n">
        <v>0</v>
      </c>
      <c r="J978" t="n">
        <v>0</v>
      </c>
      <c r="K978" t="n">
        <v>0</v>
      </c>
      <c r="L978" t="n">
        <v>0</v>
      </c>
      <c r="M978" t="n">
        <v>0</v>
      </c>
      <c r="N978" t="n">
        <v>0</v>
      </c>
      <c r="O978" t="n">
        <v>0</v>
      </c>
      <c r="P978" t="n">
        <v>0</v>
      </c>
      <c r="Q978" t="n">
        <v>0</v>
      </c>
      <c r="R978" s="2" t="inlineStr"/>
    </row>
    <row r="979" ht="15" customHeight="1">
      <c r="A979" t="inlineStr">
        <is>
          <t>A 50431-2024</t>
        </is>
      </c>
      <c r="B979" s="1" t="n">
        <v>45601.40686342592</v>
      </c>
      <c r="C979" s="1" t="n">
        <v>45926</v>
      </c>
      <c r="D979" t="inlineStr">
        <is>
          <t>JÄMTLANDS LÄN</t>
        </is>
      </c>
      <c r="E979" t="inlineStr">
        <is>
          <t>RAGUNDA</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35541-2025</t>
        </is>
      </c>
      <c r="B980" s="1" t="n">
        <v>45856.46931712963</v>
      </c>
      <c r="C980" s="1" t="n">
        <v>45926</v>
      </c>
      <c r="D980" t="inlineStr">
        <is>
          <t>JÄMTLANDS LÄN</t>
        </is>
      </c>
      <c r="E980" t="inlineStr">
        <is>
          <t>RAGUNDA</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41140-2025</t>
        </is>
      </c>
      <c r="B981" s="1" t="n">
        <v>45898.49012731481</v>
      </c>
      <c r="C981" s="1" t="n">
        <v>45926</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41262-2025</t>
        </is>
      </c>
      <c r="B982" s="1" t="n">
        <v>45898.61502314815</v>
      </c>
      <c r="C982" s="1" t="n">
        <v>45926</v>
      </c>
      <c r="D982" t="inlineStr">
        <is>
          <t>JÄMTLANDS LÄN</t>
        </is>
      </c>
      <c r="E982" t="inlineStr">
        <is>
          <t>RAGUNDA</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4592-2024</t>
        </is>
      </c>
      <c r="B983" s="1" t="n">
        <v>45327.94443287037</v>
      </c>
      <c r="C983" s="1" t="n">
        <v>45926</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60195-2023</t>
        </is>
      </c>
      <c r="B984" s="1" t="n">
        <v>45257</v>
      </c>
      <c r="C984" s="1" t="n">
        <v>45926</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60936-2024</t>
        </is>
      </c>
      <c r="B985" s="1" t="n">
        <v>45645.36743055555</v>
      </c>
      <c r="C985" s="1" t="n">
        <v>45926</v>
      </c>
      <c r="D985" t="inlineStr">
        <is>
          <t>JÄMTLANDS LÄN</t>
        </is>
      </c>
      <c r="E985" t="inlineStr">
        <is>
          <t>RAGUNDA</t>
        </is>
      </c>
      <c r="G985" t="n">
        <v>1.2</v>
      </c>
      <c r="H985" t="n">
        <v>0</v>
      </c>
      <c r="I985" t="n">
        <v>0</v>
      </c>
      <c r="J985" t="n">
        <v>0</v>
      </c>
      <c r="K985" t="n">
        <v>0</v>
      </c>
      <c r="L985" t="n">
        <v>0</v>
      </c>
      <c r="M985" t="n">
        <v>0</v>
      </c>
      <c r="N985" t="n">
        <v>0</v>
      </c>
      <c r="O985" t="n">
        <v>0</v>
      </c>
      <c r="P985" t="n">
        <v>0</v>
      </c>
      <c r="Q985" t="n">
        <v>0</v>
      </c>
      <c r="R985" s="2" t="inlineStr"/>
    </row>
    <row r="986" ht="15" customHeight="1">
      <c r="A986" t="inlineStr">
        <is>
          <t>A 41233-2025</t>
        </is>
      </c>
      <c r="B986" s="1" t="n">
        <v>45898.59295138889</v>
      </c>
      <c r="C986" s="1" t="n">
        <v>45926</v>
      </c>
      <c r="D986" t="inlineStr">
        <is>
          <t>JÄMTLANDS LÄN</t>
        </is>
      </c>
      <c r="E986" t="inlineStr">
        <is>
          <t>RAGUNDA</t>
        </is>
      </c>
      <c r="G986" t="n">
        <v>1.7</v>
      </c>
      <c r="H986" t="n">
        <v>0</v>
      </c>
      <c r="I986" t="n">
        <v>0</v>
      </c>
      <c r="J986" t="n">
        <v>0</v>
      </c>
      <c r="K986" t="n">
        <v>0</v>
      </c>
      <c r="L986" t="n">
        <v>0</v>
      </c>
      <c r="M986" t="n">
        <v>0</v>
      </c>
      <c r="N986" t="n">
        <v>0</v>
      </c>
      <c r="O986" t="n">
        <v>0</v>
      </c>
      <c r="P986" t="n">
        <v>0</v>
      </c>
      <c r="Q986" t="n">
        <v>0</v>
      </c>
      <c r="R986" s="2" t="inlineStr"/>
    </row>
    <row r="987" ht="15" customHeight="1">
      <c r="A987" t="inlineStr">
        <is>
          <t>A 22981-2023</t>
        </is>
      </c>
      <c r="B987" s="1" t="n">
        <v>45072.92737268518</v>
      </c>
      <c r="C987" s="1" t="n">
        <v>45926</v>
      </c>
      <c r="D987" t="inlineStr">
        <is>
          <t>JÄMTLANDS LÄN</t>
        </is>
      </c>
      <c r="E987" t="inlineStr">
        <is>
          <t>RAGUNDA</t>
        </is>
      </c>
      <c r="G987" t="n">
        <v>3.8</v>
      </c>
      <c r="H987" t="n">
        <v>0</v>
      </c>
      <c r="I987" t="n">
        <v>0</v>
      </c>
      <c r="J987" t="n">
        <v>0</v>
      </c>
      <c r="K987" t="n">
        <v>0</v>
      </c>
      <c r="L987" t="n">
        <v>0</v>
      </c>
      <c r="M987" t="n">
        <v>0</v>
      </c>
      <c r="N987" t="n">
        <v>0</v>
      </c>
      <c r="O987" t="n">
        <v>0</v>
      </c>
      <c r="P987" t="n">
        <v>0</v>
      </c>
      <c r="Q987" t="n">
        <v>0</v>
      </c>
      <c r="R987" s="2" t="inlineStr"/>
    </row>
    <row r="988" ht="15" customHeight="1">
      <c r="A988" t="inlineStr">
        <is>
          <t>A 41422-2025</t>
        </is>
      </c>
      <c r="B988" s="1" t="n">
        <v>45901.38572916666</v>
      </c>
      <c r="C988" s="1" t="n">
        <v>45926</v>
      </c>
      <c r="D988" t="inlineStr">
        <is>
          <t>JÄMTLANDS LÄN</t>
        </is>
      </c>
      <c r="E988" t="inlineStr">
        <is>
          <t>RAGUNDA</t>
        </is>
      </c>
      <c r="G988" t="n">
        <v>4.3</v>
      </c>
      <c r="H988" t="n">
        <v>0</v>
      </c>
      <c r="I988" t="n">
        <v>0</v>
      </c>
      <c r="J988" t="n">
        <v>0</v>
      </c>
      <c r="K988" t="n">
        <v>0</v>
      </c>
      <c r="L988" t="n">
        <v>0</v>
      </c>
      <c r="M988" t="n">
        <v>0</v>
      </c>
      <c r="N988" t="n">
        <v>0</v>
      </c>
      <c r="O988" t="n">
        <v>0</v>
      </c>
      <c r="P988" t="n">
        <v>0</v>
      </c>
      <c r="Q988" t="n">
        <v>0</v>
      </c>
      <c r="R988" s="2" t="inlineStr"/>
    </row>
    <row r="989" ht="15" customHeight="1">
      <c r="A989" t="inlineStr">
        <is>
          <t>A 41424-2025</t>
        </is>
      </c>
      <c r="B989" s="1" t="n">
        <v>45901.38584490741</v>
      </c>
      <c r="C989" s="1" t="n">
        <v>45926</v>
      </c>
      <c r="D989" t="inlineStr">
        <is>
          <t>JÄMTLANDS LÄN</t>
        </is>
      </c>
      <c r="E989" t="inlineStr">
        <is>
          <t>RAGUNDA</t>
        </is>
      </c>
      <c r="G989" t="n">
        <v>3</v>
      </c>
      <c r="H989" t="n">
        <v>0</v>
      </c>
      <c r="I989" t="n">
        <v>0</v>
      </c>
      <c r="J989" t="n">
        <v>0</v>
      </c>
      <c r="K989" t="n">
        <v>0</v>
      </c>
      <c r="L989" t="n">
        <v>0</v>
      </c>
      <c r="M989" t="n">
        <v>0</v>
      </c>
      <c r="N989" t="n">
        <v>0</v>
      </c>
      <c r="O989" t="n">
        <v>0</v>
      </c>
      <c r="P989" t="n">
        <v>0</v>
      </c>
      <c r="Q989" t="n">
        <v>0</v>
      </c>
      <c r="R989" s="2" t="inlineStr"/>
    </row>
    <row r="990" ht="15" customHeight="1">
      <c r="A990" t="inlineStr">
        <is>
          <t>A 4212-2024</t>
        </is>
      </c>
      <c r="B990" s="1" t="n">
        <v>45324</v>
      </c>
      <c r="C990" s="1" t="n">
        <v>45926</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9262-2025</t>
        </is>
      </c>
      <c r="B991" s="1" t="n">
        <v>45714.60649305556</v>
      </c>
      <c r="C991" s="1" t="n">
        <v>45926</v>
      </c>
      <c r="D991" t="inlineStr">
        <is>
          <t>JÄMTLANDS LÄN</t>
        </is>
      </c>
      <c r="E991" t="inlineStr">
        <is>
          <t>RAGUNDA</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35658-2025</t>
        </is>
      </c>
      <c r="B992" s="1" t="n">
        <v>45859.594375</v>
      </c>
      <c r="C992" s="1" t="n">
        <v>45926</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26942-2021</t>
        </is>
      </c>
      <c r="B993" s="1" t="n">
        <v>44349.91978009259</v>
      </c>
      <c r="C993" s="1" t="n">
        <v>45926</v>
      </c>
      <c r="D993" t="inlineStr">
        <is>
          <t>JÄMTLANDS LÄN</t>
        </is>
      </c>
      <c r="E993" t="inlineStr">
        <is>
          <t>RAGUNDA</t>
        </is>
      </c>
      <c r="G993" t="n">
        <v>6.2</v>
      </c>
      <c r="H993" t="n">
        <v>0</v>
      </c>
      <c r="I993" t="n">
        <v>0</v>
      </c>
      <c r="J993" t="n">
        <v>0</v>
      </c>
      <c r="K993" t="n">
        <v>0</v>
      </c>
      <c r="L993" t="n">
        <v>0</v>
      </c>
      <c r="M993" t="n">
        <v>0</v>
      </c>
      <c r="N993" t="n">
        <v>0</v>
      </c>
      <c r="O993" t="n">
        <v>0</v>
      </c>
      <c r="P993" t="n">
        <v>0</v>
      </c>
      <c r="Q993" t="n">
        <v>0</v>
      </c>
      <c r="R993" s="2" t="inlineStr"/>
    </row>
    <row r="994" ht="15" customHeight="1">
      <c r="A994" t="inlineStr">
        <is>
          <t>A 41876-2025</t>
        </is>
      </c>
      <c r="B994" s="1" t="n">
        <v>45903.34555555556</v>
      </c>
      <c r="C994" s="1" t="n">
        <v>45926</v>
      </c>
      <c r="D994" t="inlineStr">
        <is>
          <t>JÄMTLANDS LÄN</t>
        </is>
      </c>
      <c r="E994" t="inlineStr">
        <is>
          <t>RAGUNDA</t>
        </is>
      </c>
      <c r="G994" t="n">
        <v>2</v>
      </c>
      <c r="H994" t="n">
        <v>0</v>
      </c>
      <c r="I994" t="n">
        <v>0</v>
      </c>
      <c r="J994" t="n">
        <v>0</v>
      </c>
      <c r="K994" t="n">
        <v>0</v>
      </c>
      <c r="L994" t="n">
        <v>0</v>
      </c>
      <c r="M994" t="n">
        <v>0</v>
      </c>
      <c r="N994" t="n">
        <v>0</v>
      </c>
      <c r="O994" t="n">
        <v>0</v>
      </c>
      <c r="P994" t="n">
        <v>0</v>
      </c>
      <c r="Q994" t="n">
        <v>0</v>
      </c>
      <c r="R994" s="2" t="inlineStr"/>
    </row>
    <row r="995" ht="15" customHeight="1">
      <c r="A995" t="inlineStr">
        <is>
          <t>A 46546-2023</t>
        </is>
      </c>
      <c r="B995" s="1" t="n">
        <v>45197.94152777778</v>
      </c>
      <c r="C995" s="1" t="n">
        <v>45926</v>
      </c>
      <c r="D995" t="inlineStr">
        <is>
          <t>JÄMTLANDS LÄN</t>
        </is>
      </c>
      <c r="E995" t="inlineStr">
        <is>
          <t>RAGUNDA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19865-2023</t>
        </is>
      </c>
      <c r="B996" s="1" t="n">
        <v>45053.94305555556</v>
      </c>
      <c r="C996" s="1" t="n">
        <v>45926</v>
      </c>
      <c r="D996" t="inlineStr">
        <is>
          <t>JÄMTLANDS LÄN</t>
        </is>
      </c>
      <c r="E996" t="inlineStr">
        <is>
          <t>RAGUNDA</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35689-2025</t>
        </is>
      </c>
      <c r="B997" s="1" t="n">
        <v>45860.30229166667</v>
      </c>
      <c r="C997" s="1" t="n">
        <v>45926</v>
      </c>
      <c r="D997" t="inlineStr">
        <is>
          <t>JÄMTLANDS LÄN</t>
        </is>
      </c>
      <c r="E997" t="inlineStr">
        <is>
          <t>RAGUNDA</t>
        </is>
      </c>
      <c r="G997" t="n">
        <v>1.9</v>
      </c>
      <c r="H997" t="n">
        <v>0</v>
      </c>
      <c r="I997" t="n">
        <v>0</v>
      </c>
      <c r="J997" t="n">
        <v>0</v>
      </c>
      <c r="K997" t="n">
        <v>0</v>
      </c>
      <c r="L997" t="n">
        <v>0</v>
      </c>
      <c r="M997" t="n">
        <v>0</v>
      </c>
      <c r="N997" t="n">
        <v>0</v>
      </c>
      <c r="O997" t="n">
        <v>0</v>
      </c>
      <c r="P997" t="n">
        <v>0</v>
      </c>
      <c r="Q997" t="n">
        <v>0</v>
      </c>
      <c r="R997" s="2" t="inlineStr"/>
    </row>
    <row r="998" ht="15" customHeight="1">
      <c r="A998" t="inlineStr">
        <is>
          <t>A 41656-2025</t>
        </is>
      </c>
      <c r="B998" s="1" t="n">
        <v>45902.34423611111</v>
      </c>
      <c r="C998" s="1" t="n">
        <v>45926</v>
      </c>
      <c r="D998" t="inlineStr">
        <is>
          <t>JÄMTLANDS LÄN</t>
        </is>
      </c>
      <c r="E998" t="inlineStr">
        <is>
          <t>RAGUNDA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60012-2023</t>
        </is>
      </c>
      <c r="B999" s="1" t="n">
        <v>45257</v>
      </c>
      <c r="C999" s="1" t="n">
        <v>45926</v>
      </c>
      <c r="D999" t="inlineStr">
        <is>
          <t>JÄMTLANDS LÄN</t>
        </is>
      </c>
      <c r="E999" t="inlineStr">
        <is>
          <t>RAGUNDA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53676-2022</t>
        </is>
      </c>
      <c r="B1000" s="1" t="n">
        <v>44879</v>
      </c>
      <c r="C1000" s="1" t="n">
        <v>45926</v>
      </c>
      <c r="D1000" t="inlineStr">
        <is>
          <t>JÄMTLANDS LÄN</t>
        </is>
      </c>
      <c r="E1000" t="inlineStr">
        <is>
          <t>RAGUNDA</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564-2025</t>
        </is>
      </c>
      <c r="B1001" s="1" t="n">
        <v>45664.55241898148</v>
      </c>
      <c r="C1001" s="1" t="n">
        <v>45926</v>
      </c>
      <c r="D1001" t="inlineStr">
        <is>
          <t>JÄMTLANDS LÄN</t>
        </is>
      </c>
      <c r="E1001" t="inlineStr">
        <is>
          <t>RAGUNDA</t>
        </is>
      </c>
      <c r="F1001" t="inlineStr">
        <is>
          <t>SCA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50555-2024</t>
        </is>
      </c>
      <c r="B1002" s="1" t="n">
        <v>45601.59518518519</v>
      </c>
      <c r="C1002" s="1" t="n">
        <v>45926</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42269-2025</t>
        </is>
      </c>
      <c r="B1003" s="1" t="n">
        <v>45904.60431712963</v>
      </c>
      <c r="C1003" s="1" t="n">
        <v>45926</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56504-2024</t>
        </is>
      </c>
      <c r="B1004" s="1" t="n">
        <v>45625.51068287037</v>
      </c>
      <c r="C1004" s="1" t="n">
        <v>45926</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21401-2024</t>
        </is>
      </c>
      <c r="B1005" s="1" t="n">
        <v>45441.33313657407</v>
      </c>
      <c r="C1005" s="1" t="n">
        <v>45926</v>
      </c>
      <c r="D1005" t="inlineStr">
        <is>
          <t>JÄMTLANDS LÄN</t>
        </is>
      </c>
      <c r="E1005" t="inlineStr">
        <is>
          <t>RAGUNDA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59658-2023</t>
        </is>
      </c>
      <c r="B1006" s="1" t="n">
        <v>45254.96402777778</v>
      </c>
      <c r="C1006" s="1" t="n">
        <v>45926</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934-2023</t>
        </is>
      </c>
      <c r="B1007" s="1" t="n">
        <v>44932.93927083333</v>
      </c>
      <c r="C1007" s="1" t="n">
        <v>45926</v>
      </c>
      <c r="D1007" t="inlineStr">
        <is>
          <t>JÄMTLANDS LÄN</t>
        </is>
      </c>
      <c r="E1007" t="inlineStr">
        <is>
          <t>RAGUNDA</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49649-2024</t>
        </is>
      </c>
      <c r="B1008" s="1" t="n">
        <v>45596.61553240741</v>
      </c>
      <c r="C1008" s="1" t="n">
        <v>45926</v>
      </c>
      <c r="D1008" t="inlineStr">
        <is>
          <t>JÄMTLANDS LÄN</t>
        </is>
      </c>
      <c r="E1008" t="inlineStr">
        <is>
          <t>RAGUNDA</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36106-2022</t>
        </is>
      </c>
      <c r="B1009" s="1" t="n">
        <v>44802.94811342593</v>
      </c>
      <c r="C1009" s="1" t="n">
        <v>45926</v>
      </c>
      <c r="D1009" t="inlineStr">
        <is>
          <t>JÄMTLANDS LÄN</t>
        </is>
      </c>
      <c r="E1009" t="inlineStr">
        <is>
          <t>RAGUNDA</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57839-2022</t>
        </is>
      </c>
      <c r="B1010" s="1" t="n">
        <v>44897</v>
      </c>
      <c r="C1010" s="1" t="n">
        <v>45926</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41693-2023</t>
        </is>
      </c>
      <c r="B1011" s="1" t="n">
        <v>45176</v>
      </c>
      <c r="C1011" s="1" t="n">
        <v>45926</v>
      </c>
      <c r="D1011" t="inlineStr">
        <is>
          <t>JÄMTLANDS LÄN</t>
        </is>
      </c>
      <c r="E1011" t="inlineStr">
        <is>
          <t>RAGUNDA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2831-2024</t>
        </is>
      </c>
      <c r="B1012" s="1" t="n">
        <v>45314.92758101852</v>
      </c>
      <c r="C1012" s="1" t="n">
        <v>45926</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54092-2024</t>
        </is>
      </c>
      <c r="B1013" s="1" t="n">
        <v>45616.5108912037</v>
      </c>
      <c r="C1013" s="1" t="n">
        <v>45926</v>
      </c>
      <c r="D1013" t="inlineStr">
        <is>
          <t>JÄMTLANDS LÄN</t>
        </is>
      </c>
      <c r="E1013" t="inlineStr">
        <is>
          <t>RAGUNDA</t>
        </is>
      </c>
      <c r="F1013" t="inlineStr">
        <is>
          <t>Naturvårdsverket</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42393-2025</t>
        </is>
      </c>
      <c r="B1014" s="1" t="n">
        <v>45905</v>
      </c>
      <c r="C1014" s="1" t="n">
        <v>45926</v>
      </c>
      <c r="D1014" t="inlineStr">
        <is>
          <t>JÄMTLANDS LÄN</t>
        </is>
      </c>
      <c r="E1014" t="inlineStr">
        <is>
          <t>RAGUNDA</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42776-2025</t>
        </is>
      </c>
      <c r="B1015" s="1" t="n">
        <v>45908.48993055556</v>
      </c>
      <c r="C1015" s="1" t="n">
        <v>45926</v>
      </c>
      <c r="D1015" t="inlineStr">
        <is>
          <t>JÄMTLANDS LÄN</t>
        </is>
      </c>
      <c r="E1015" t="inlineStr">
        <is>
          <t>RAGUNDA</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12024-2022</t>
        </is>
      </c>
      <c r="B1016" s="1" t="n">
        <v>44635</v>
      </c>
      <c r="C1016" s="1" t="n">
        <v>45926</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53740-2024</t>
        </is>
      </c>
      <c r="B1017" s="1" t="n">
        <v>45615.47091435185</v>
      </c>
      <c r="C1017" s="1" t="n">
        <v>45926</v>
      </c>
      <c r="D1017" t="inlineStr">
        <is>
          <t>JÄMTLANDS LÄN</t>
        </is>
      </c>
      <c r="E1017" t="inlineStr">
        <is>
          <t>RAGUNDA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59372-2024</t>
        </is>
      </c>
      <c r="B1018" s="1" t="n">
        <v>45638.34431712963</v>
      </c>
      <c r="C1018" s="1" t="n">
        <v>45926</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53678-2022</t>
        </is>
      </c>
      <c r="B1019" s="1" t="n">
        <v>44879.95768518518</v>
      </c>
      <c r="C1019" s="1" t="n">
        <v>45926</v>
      </c>
      <c r="D1019" t="inlineStr">
        <is>
          <t>JÄMTLANDS LÄN</t>
        </is>
      </c>
      <c r="E1019" t="inlineStr">
        <is>
          <t>RAGUNDA</t>
        </is>
      </c>
      <c r="F1019" t="inlineStr">
        <is>
          <t>Sveaskog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43330-2025</t>
        </is>
      </c>
      <c r="B1020" s="1" t="n">
        <v>45910.67766203704</v>
      </c>
      <c r="C1020" s="1" t="n">
        <v>45926</v>
      </c>
      <c r="D1020" t="inlineStr">
        <is>
          <t>JÄMTLANDS LÄN</t>
        </is>
      </c>
      <c r="E1020" t="inlineStr">
        <is>
          <t>RAGUNDA</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36541-2025</t>
        </is>
      </c>
      <c r="B1021" s="1" t="n">
        <v>45869.65666666667</v>
      </c>
      <c r="C1021" s="1" t="n">
        <v>45926</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36544-2025</t>
        </is>
      </c>
      <c r="B1022" s="1" t="n">
        <v>45869.67744212963</v>
      </c>
      <c r="C1022" s="1" t="n">
        <v>45926</v>
      </c>
      <c r="D1022" t="inlineStr">
        <is>
          <t>JÄMTLANDS LÄN</t>
        </is>
      </c>
      <c r="E1022" t="inlineStr">
        <is>
          <t>RAGUNDA</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12522-2023</t>
        </is>
      </c>
      <c r="B1023" s="1" t="n">
        <v>45000</v>
      </c>
      <c r="C1023" s="1" t="n">
        <v>45926</v>
      </c>
      <c r="D1023" t="inlineStr">
        <is>
          <t>JÄMTLANDS LÄN</t>
        </is>
      </c>
      <c r="E1023" t="inlineStr">
        <is>
          <t>RAGUNDA</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12523-2023</t>
        </is>
      </c>
      <c r="B1024" s="1" t="n">
        <v>45000</v>
      </c>
      <c r="C1024" s="1" t="n">
        <v>45926</v>
      </c>
      <c r="D1024" t="inlineStr">
        <is>
          <t>JÄMTLANDS LÄN</t>
        </is>
      </c>
      <c r="E1024" t="inlineStr">
        <is>
          <t>RAGUNDA</t>
        </is>
      </c>
      <c r="F1024" t="inlineStr">
        <is>
          <t>SCA</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23305-2023</t>
        </is>
      </c>
      <c r="B1025" s="1" t="n">
        <v>45075.94506944445</v>
      </c>
      <c r="C1025" s="1" t="n">
        <v>45926</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24861-2023</t>
        </is>
      </c>
      <c r="B1026" s="1" t="n">
        <v>45078</v>
      </c>
      <c r="C1026" s="1" t="n">
        <v>45926</v>
      </c>
      <c r="D1026" t="inlineStr">
        <is>
          <t>JÄMTLANDS LÄN</t>
        </is>
      </c>
      <c r="E1026" t="inlineStr">
        <is>
          <t>RAGUNDA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18194-2025</t>
        </is>
      </c>
      <c r="B1027" s="1" t="n">
        <v>45761.67744212963</v>
      </c>
      <c r="C1027" s="1" t="n">
        <v>45926</v>
      </c>
      <c r="D1027" t="inlineStr">
        <is>
          <t>JÄMTLANDS LÄN</t>
        </is>
      </c>
      <c r="E1027" t="inlineStr">
        <is>
          <t>RAGUNDA</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18225-2024</t>
        </is>
      </c>
      <c r="B1028" s="1" t="n">
        <v>45420</v>
      </c>
      <c r="C1028" s="1" t="n">
        <v>45926</v>
      </c>
      <c r="D1028" t="inlineStr">
        <is>
          <t>JÄMTLANDS LÄN</t>
        </is>
      </c>
      <c r="E1028" t="inlineStr">
        <is>
          <t>RAGUNDA</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54764-2024</t>
        </is>
      </c>
      <c r="B1029" s="1" t="n">
        <v>45618.46921296296</v>
      </c>
      <c r="C1029" s="1" t="n">
        <v>45926</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32904-2024</t>
        </is>
      </c>
      <c r="B1030" s="1" t="n">
        <v>45516.94732638889</v>
      </c>
      <c r="C1030" s="1" t="n">
        <v>45926</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12976-2025</t>
        </is>
      </c>
      <c r="B1031" s="1" t="n">
        <v>45734.45268518518</v>
      </c>
      <c r="C1031" s="1" t="n">
        <v>45926</v>
      </c>
      <c r="D1031" t="inlineStr">
        <is>
          <t>JÄMTLANDS LÄN</t>
        </is>
      </c>
      <c r="E1031" t="inlineStr">
        <is>
          <t>RAGUNDA</t>
        </is>
      </c>
      <c r="G1031" t="n">
        <v>24.2</v>
      </c>
      <c r="H1031" t="n">
        <v>0</v>
      </c>
      <c r="I1031" t="n">
        <v>0</v>
      </c>
      <c r="J1031" t="n">
        <v>0</v>
      </c>
      <c r="K1031" t="n">
        <v>0</v>
      </c>
      <c r="L1031" t="n">
        <v>0</v>
      </c>
      <c r="M1031" t="n">
        <v>0</v>
      </c>
      <c r="N1031" t="n">
        <v>0</v>
      </c>
      <c r="O1031" t="n">
        <v>0</v>
      </c>
      <c r="P1031" t="n">
        <v>0</v>
      </c>
      <c r="Q1031" t="n">
        <v>0</v>
      </c>
      <c r="R1031" s="2" t="inlineStr"/>
    </row>
    <row r="1032" ht="15" customHeight="1">
      <c r="A1032" t="inlineStr">
        <is>
          <t>A 59286-2023</t>
        </is>
      </c>
      <c r="B1032" s="1" t="n">
        <v>45253</v>
      </c>
      <c r="C1032" s="1" t="n">
        <v>45926</v>
      </c>
      <c r="D1032" t="inlineStr">
        <is>
          <t>JÄMTLANDS LÄN</t>
        </is>
      </c>
      <c r="E1032" t="inlineStr">
        <is>
          <t>RAGUNDA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15672-2021</t>
        </is>
      </c>
      <c r="B1033" s="1" t="n">
        <v>44286</v>
      </c>
      <c r="C1033" s="1" t="n">
        <v>45926</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6688-2024</t>
        </is>
      </c>
      <c r="B1034" s="1" t="n">
        <v>45341</v>
      </c>
      <c r="C1034" s="1" t="n">
        <v>45926</v>
      </c>
      <c r="D1034" t="inlineStr">
        <is>
          <t>JÄMTLANDS LÄN</t>
        </is>
      </c>
      <c r="E1034" t="inlineStr">
        <is>
          <t>RAGUNDA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61088-2020</t>
        </is>
      </c>
      <c r="B1035" s="1" t="n">
        <v>44153</v>
      </c>
      <c r="C1035" s="1" t="n">
        <v>45926</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50650-2023</t>
        </is>
      </c>
      <c r="B1036" s="1" t="n">
        <v>45210</v>
      </c>
      <c r="C1036" s="1" t="n">
        <v>45926</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41344-2024</t>
        </is>
      </c>
      <c r="B1037" s="1" t="n">
        <v>45559.67759259259</v>
      </c>
      <c r="C1037" s="1" t="n">
        <v>45926</v>
      </c>
      <c r="D1037" t="inlineStr">
        <is>
          <t>JÄMTLANDS LÄN</t>
        </is>
      </c>
      <c r="E1037" t="inlineStr">
        <is>
          <t>RAGUNDA</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13905-2025</t>
        </is>
      </c>
      <c r="B1038" s="1" t="n">
        <v>45737.63574074074</v>
      </c>
      <c r="C1038" s="1" t="n">
        <v>45926</v>
      </c>
      <c r="D1038" t="inlineStr">
        <is>
          <t>JÄMTLANDS LÄN</t>
        </is>
      </c>
      <c r="E1038" t="inlineStr">
        <is>
          <t>RAGUNDA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13941-2025</t>
        </is>
      </c>
      <c r="B1039" s="1" t="n">
        <v>45737.69822916666</v>
      </c>
      <c r="C1039" s="1" t="n">
        <v>45926</v>
      </c>
      <c r="D1039" t="inlineStr">
        <is>
          <t>JÄMTLANDS LÄN</t>
        </is>
      </c>
      <c r="E1039" t="inlineStr">
        <is>
          <t>RAGUNDA</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50160-2023</t>
        </is>
      </c>
      <c r="B1040" s="1" t="n">
        <v>45208</v>
      </c>
      <c r="C1040" s="1" t="n">
        <v>45926</v>
      </c>
      <c r="D1040" t="inlineStr">
        <is>
          <t>JÄMTLANDS LÄN</t>
        </is>
      </c>
      <c r="E1040" t="inlineStr">
        <is>
          <t>RAGUNDA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43177-2025</t>
        </is>
      </c>
      <c r="B1041" s="1" t="n">
        <v>45910.40667824074</v>
      </c>
      <c r="C1041" s="1" t="n">
        <v>45926</v>
      </c>
      <c r="D1041" t="inlineStr">
        <is>
          <t>JÄMTLANDS LÄN</t>
        </is>
      </c>
      <c r="E1041" t="inlineStr">
        <is>
          <t>RAGUNDA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43181-2025</t>
        </is>
      </c>
      <c r="B1042" s="1" t="n">
        <v>45910.40721064815</v>
      </c>
      <c r="C1042" s="1" t="n">
        <v>45926</v>
      </c>
      <c r="D1042" t="inlineStr">
        <is>
          <t>JÄMTLANDS LÄN</t>
        </is>
      </c>
      <c r="E1042" t="inlineStr">
        <is>
          <t>RAGUNDA</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59670-2023</t>
        </is>
      </c>
      <c r="B1043" s="1" t="n">
        <v>45254.96516203704</v>
      </c>
      <c r="C1043" s="1" t="n">
        <v>45926</v>
      </c>
      <c r="D1043" t="inlineStr">
        <is>
          <t>JÄMTLANDS LÄN</t>
        </is>
      </c>
      <c r="E1043" t="inlineStr">
        <is>
          <t>RAGUNDA</t>
        </is>
      </c>
      <c r="F1043" t="inlineStr">
        <is>
          <t>SCA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51245-2024</t>
        </is>
      </c>
      <c r="B1044" s="1" t="n">
        <v>45603.67850694444</v>
      </c>
      <c r="C1044" s="1" t="n">
        <v>45926</v>
      </c>
      <c r="D1044" t="inlineStr">
        <is>
          <t>JÄMTLANDS LÄN</t>
        </is>
      </c>
      <c r="E1044" t="inlineStr">
        <is>
          <t>RAGUNDA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36553-2025</t>
        </is>
      </c>
      <c r="B1045" s="1" t="n">
        <v>45870.34439814815</v>
      </c>
      <c r="C1045" s="1" t="n">
        <v>45926</v>
      </c>
      <c r="D1045" t="inlineStr">
        <is>
          <t>JÄMTLANDS LÄN</t>
        </is>
      </c>
      <c r="E1045" t="inlineStr">
        <is>
          <t>RAGUNDA</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55508-2024</t>
        </is>
      </c>
      <c r="B1046" s="1" t="n">
        <v>45622.46200231482</v>
      </c>
      <c r="C1046" s="1" t="n">
        <v>45926</v>
      </c>
      <c r="D1046" t="inlineStr">
        <is>
          <t>JÄMTLANDS LÄN</t>
        </is>
      </c>
      <c r="E1046" t="inlineStr">
        <is>
          <t>RAGUNDA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53955-2022</t>
        </is>
      </c>
      <c r="B1047" s="1" t="n">
        <v>44880.95741898148</v>
      </c>
      <c r="C1047" s="1" t="n">
        <v>45926</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59492-2024</t>
        </is>
      </c>
      <c r="B1048" s="1" t="n">
        <v>45638</v>
      </c>
      <c r="C1048" s="1" t="n">
        <v>45926</v>
      </c>
      <c r="D1048" t="inlineStr">
        <is>
          <t>JÄMTLANDS LÄN</t>
        </is>
      </c>
      <c r="E1048" t="inlineStr">
        <is>
          <t>RAGUNDA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20772-2024</t>
        </is>
      </c>
      <c r="B1049" s="1" t="n">
        <v>45436.94628472222</v>
      </c>
      <c r="C1049" s="1" t="n">
        <v>45926</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43776-2025</t>
        </is>
      </c>
      <c r="B1050" s="1" t="n">
        <v>45912.51086805556</v>
      </c>
      <c r="C1050" s="1" t="n">
        <v>45926</v>
      </c>
      <c r="D1050" t="inlineStr">
        <is>
          <t>JÄMTLANDS LÄN</t>
        </is>
      </c>
      <c r="E1050" t="inlineStr">
        <is>
          <t>RAGUNDA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43971-2025</t>
        </is>
      </c>
      <c r="B1051" s="1" t="n">
        <v>45915.40694444445</v>
      </c>
      <c r="C1051" s="1" t="n">
        <v>45926</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53757-2024</t>
        </is>
      </c>
      <c r="B1052" s="1" t="n">
        <v>45615.50034722222</v>
      </c>
      <c r="C1052" s="1" t="n">
        <v>45926</v>
      </c>
      <c r="D1052" t="inlineStr">
        <is>
          <t>JÄMTLANDS LÄN</t>
        </is>
      </c>
      <c r="E1052" t="inlineStr">
        <is>
          <t>RAGUNDA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43812-2025</t>
        </is>
      </c>
      <c r="B1053" s="1" t="n">
        <v>45912.59417824074</v>
      </c>
      <c r="C1053" s="1" t="n">
        <v>45926</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43526-2025</t>
        </is>
      </c>
      <c r="B1054" s="1" t="n">
        <v>45911</v>
      </c>
      <c r="C1054" s="1" t="n">
        <v>45926</v>
      </c>
      <c r="D1054" t="inlineStr">
        <is>
          <t>JÄMTLANDS LÄN</t>
        </is>
      </c>
      <c r="E1054" t="inlineStr">
        <is>
          <t>RAGUNDA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41772-2024</t>
        </is>
      </c>
      <c r="B1055" s="1" t="n">
        <v>45561.34663194444</v>
      </c>
      <c r="C1055" s="1" t="n">
        <v>45926</v>
      </c>
      <c r="D1055" t="inlineStr">
        <is>
          <t>JÄMTLANDS LÄN</t>
        </is>
      </c>
      <c r="E1055" t="inlineStr">
        <is>
          <t>RAGUNDA</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43804-2025</t>
        </is>
      </c>
      <c r="B1056" s="1" t="n">
        <v>45912.57373842593</v>
      </c>
      <c r="C1056" s="1" t="n">
        <v>45926</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10972-2022</t>
        </is>
      </c>
      <c r="B1057" s="1" t="n">
        <v>44628</v>
      </c>
      <c r="C1057" s="1" t="n">
        <v>45926</v>
      </c>
      <c r="D1057" t="inlineStr">
        <is>
          <t>JÄMTLANDS LÄN</t>
        </is>
      </c>
      <c r="E1057" t="inlineStr">
        <is>
          <t>RAGUNDA</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44994.94296296296</v>
      </c>
      <c r="C1058" s="1" t="n">
        <v>45926</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6716-2025</t>
        </is>
      </c>
      <c r="B1059" s="1" t="n">
        <v>45700.57324074074</v>
      </c>
      <c r="C1059" s="1" t="n">
        <v>45926</v>
      </c>
      <c r="D1059" t="inlineStr">
        <is>
          <t>JÄMTLANDS LÄN</t>
        </is>
      </c>
      <c r="E1059" t="inlineStr">
        <is>
          <t>RAGUNDA</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43533-2025</t>
        </is>
      </c>
      <c r="B1060" s="1" t="n">
        <v>45911</v>
      </c>
      <c r="C1060" s="1" t="n">
        <v>45926</v>
      </c>
      <c r="D1060" t="inlineStr">
        <is>
          <t>JÄMTLANDS LÄN</t>
        </is>
      </c>
      <c r="E1060" t="inlineStr">
        <is>
          <t>RAGUNDA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17559-2023</t>
        </is>
      </c>
      <c r="B1061" s="1" t="n">
        <v>45034</v>
      </c>
      <c r="C1061" s="1" t="n">
        <v>45926</v>
      </c>
      <c r="D1061" t="inlineStr">
        <is>
          <t>JÄMTLANDS LÄN</t>
        </is>
      </c>
      <c r="E1061" t="inlineStr">
        <is>
          <t>RAGUNDA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38312-2024</t>
        </is>
      </c>
      <c r="B1062" s="1" t="n">
        <v>45545.64957175926</v>
      </c>
      <c r="C1062" s="1" t="n">
        <v>45926</v>
      </c>
      <c r="D1062" t="inlineStr">
        <is>
          <t>JÄMTLANDS LÄN</t>
        </is>
      </c>
      <c r="E1062" t="inlineStr">
        <is>
          <t>RAGUNDA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32075-2025</t>
        </is>
      </c>
      <c r="B1063" s="1" t="n">
        <v>45835.4506712963</v>
      </c>
      <c r="C1063" s="1" t="n">
        <v>45926</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32832-2021</t>
        </is>
      </c>
      <c r="B1064" s="1" t="n">
        <v>44375</v>
      </c>
      <c r="C1064" s="1" t="n">
        <v>45926</v>
      </c>
      <c r="D1064" t="inlineStr">
        <is>
          <t>JÄMTLANDS LÄN</t>
        </is>
      </c>
      <c r="E1064" t="inlineStr">
        <is>
          <t>RAGUNDA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19866-2023</t>
        </is>
      </c>
      <c r="B1065" s="1" t="n">
        <v>45053.94313657407</v>
      </c>
      <c r="C1065" s="1" t="n">
        <v>45926</v>
      </c>
      <c r="D1065" t="inlineStr">
        <is>
          <t>JÄMTLANDS LÄN</t>
        </is>
      </c>
      <c r="E1065" t="inlineStr">
        <is>
          <t>RAGUNDA</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22011-2023</t>
        </is>
      </c>
      <c r="B1066" s="1" t="n">
        <v>45068</v>
      </c>
      <c r="C1066" s="1" t="n">
        <v>45926</v>
      </c>
      <c r="D1066" t="inlineStr">
        <is>
          <t>JÄMTLANDS LÄN</t>
        </is>
      </c>
      <c r="E1066" t="inlineStr">
        <is>
          <t>RAGUNDA</t>
        </is>
      </c>
      <c r="F1066" t="inlineStr">
        <is>
          <t>SCA</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21853-2024</t>
        </is>
      </c>
      <c r="B1067" s="1" t="n">
        <v>45442.96296296296</v>
      </c>
      <c r="C1067" s="1" t="n">
        <v>45926</v>
      </c>
      <c r="D1067" t="inlineStr">
        <is>
          <t>JÄMTLANDS LÄN</t>
        </is>
      </c>
      <c r="E1067" t="inlineStr">
        <is>
          <t>RAGUNDA</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8241-2024</t>
        </is>
      </c>
      <c r="B1068" s="1" t="n">
        <v>45351.98496527778</v>
      </c>
      <c r="C1068" s="1" t="n">
        <v>45926</v>
      </c>
      <c r="D1068" t="inlineStr">
        <is>
          <t>JÄMTLANDS LÄN</t>
        </is>
      </c>
      <c r="E1068" t="inlineStr">
        <is>
          <t>RAGUNDA</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40365-2024</t>
        </is>
      </c>
      <c r="B1069" s="1" t="n">
        <v>45555.38509259259</v>
      </c>
      <c r="C1069" s="1" t="n">
        <v>45926</v>
      </c>
      <c r="D1069" t="inlineStr">
        <is>
          <t>JÄMTLANDS LÄN</t>
        </is>
      </c>
      <c r="E1069" t="inlineStr">
        <is>
          <t>RAGUNDA</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20770-2024</t>
        </is>
      </c>
      <c r="B1070" s="1" t="n">
        <v>45436.94613425926</v>
      </c>
      <c r="C1070" s="1" t="n">
        <v>45926</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32874-2025</t>
        </is>
      </c>
      <c r="B1071" s="1" t="n">
        <v>45839</v>
      </c>
      <c r="C1071" s="1" t="n">
        <v>45926</v>
      </c>
      <c r="D1071" t="inlineStr">
        <is>
          <t>JÄMTLANDS LÄN</t>
        </is>
      </c>
      <c r="E1071" t="inlineStr">
        <is>
          <t>RAGUNDA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36994-2025</t>
        </is>
      </c>
      <c r="B1072" s="1" t="n">
        <v>45874.67746527777</v>
      </c>
      <c r="C1072" s="1" t="n">
        <v>45926</v>
      </c>
      <c r="D1072" t="inlineStr">
        <is>
          <t>JÄMTLANDS LÄN</t>
        </is>
      </c>
      <c r="E1072" t="inlineStr">
        <is>
          <t>RAGUNDA</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7281-2024</t>
        </is>
      </c>
      <c r="B1073" s="1" t="n">
        <v>45344</v>
      </c>
      <c r="C1073" s="1" t="n">
        <v>45926</v>
      </c>
      <c r="D1073" t="inlineStr">
        <is>
          <t>JÄMTLANDS LÄN</t>
        </is>
      </c>
      <c r="E1073" t="inlineStr">
        <is>
          <t>RAGUNDA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7284-2024</t>
        </is>
      </c>
      <c r="B1074" s="1" t="n">
        <v>45344.92865740741</v>
      </c>
      <c r="C1074" s="1" t="n">
        <v>45926</v>
      </c>
      <c r="D1074" t="inlineStr">
        <is>
          <t>JÄMTLANDS LÄN</t>
        </is>
      </c>
      <c r="E1074" t="inlineStr">
        <is>
          <t>RAGUNDA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7285-2024</t>
        </is>
      </c>
      <c r="B1075" s="1" t="n">
        <v>45344.92873842592</v>
      </c>
      <c r="C1075" s="1" t="n">
        <v>45926</v>
      </c>
      <c r="D1075" t="inlineStr">
        <is>
          <t>JÄMTLANDS LÄN</t>
        </is>
      </c>
      <c r="E1075" t="inlineStr">
        <is>
          <t>RAGUNDA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14158-2024</t>
        </is>
      </c>
      <c r="B1076" s="1" t="n">
        <v>45392</v>
      </c>
      <c r="C1076" s="1" t="n">
        <v>45926</v>
      </c>
      <c r="D1076" t="inlineStr">
        <is>
          <t>JÄMTLANDS LÄN</t>
        </is>
      </c>
      <c r="E1076" t="inlineStr">
        <is>
          <t>RAGUNDA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42508-2023</t>
        </is>
      </c>
      <c r="B1077" s="1" t="n">
        <v>45180.95907407408</v>
      </c>
      <c r="C1077" s="1" t="n">
        <v>45926</v>
      </c>
      <c r="D1077" t="inlineStr">
        <is>
          <t>JÄMTLANDS LÄN</t>
        </is>
      </c>
      <c r="E1077" t="inlineStr">
        <is>
          <t>RAGUNDA</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37008-2025</t>
        </is>
      </c>
      <c r="B1078" s="1" t="n">
        <v>45874.69844907407</v>
      </c>
      <c r="C1078" s="1" t="n">
        <v>45926</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36947-2025</t>
        </is>
      </c>
      <c r="B1079" s="1" t="n">
        <v>45874.59496527778</v>
      </c>
      <c r="C1079" s="1" t="n">
        <v>45926</v>
      </c>
      <c r="D1079" t="inlineStr">
        <is>
          <t>JÄMTLANDS LÄN</t>
        </is>
      </c>
      <c r="E1079" t="inlineStr">
        <is>
          <t>RAGUNDA</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35274-2023</t>
        </is>
      </c>
      <c r="B1080" s="1" t="n">
        <v>45145</v>
      </c>
      <c r="C1080" s="1" t="n">
        <v>45926</v>
      </c>
      <c r="D1080" t="inlineStr">
        <is>
          <t>JÄMTLANDS LÄN</t>
        </is>
      </c>
      <c r="E1080" t="inlineStr">
        <is>
          <t>RAGUNDA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53347-2023</t>
        </is>
      </c>
      <c r="B1081" s="1" t="n">
        <v>45223</v>
      </c>
      <c r="C1081" s="1" t="n">
        <v>45926</v>
      </c>
      <c r="D1081" t="inlineStr">
        <is>
          <t>JÄMTLANDS LÄN</t>
        </is>
      </c>
      <c r="E1081" t="inlineStr">
        <is>
          <t>RAGUNDA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12983-2025</t>
        </is>
      </c>
      <c r="B1082" s="1" t="n">
        <v>45734.4633912037</v>
      </c>
      <c r="C1082" s="1" t="n">
        <v>45926</v>
      </c>
      <c r="D1082" t="inlineStr">
        <is>
          <t>JÄMTLANDS LÄN</t>
        </is>
      </c>
      <c r="E1082" t="inlineStr">
        <is>
          <t>RAGUNDA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17598-2021</t>
        </is>
      </c>
      <c r="B1083" s="1" t="n">
        <v>44299</v>
      </c>
      <c r="C1083" s="1" t="n">
        <v>45926</v>
      </c>
      <c r="D1083" t="inlineStr">
        <is>
          <t>JÄMTLANDS LÄN</t>
        </is>
      </c>
      <c r="E1083" t="inlineStr">
        <is>
          <t>RAGUNDA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60838-2023</t>
        </is>
      </c>
      <c r="B1084" s="1" t="n">
        <v>45260.92561342593</v>
      </c>
      <c r="C1084" s="1" t="n">
        <v>45926</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9548-2025</t>
        </is>
      </c>
      <c r="B1085" s="1" t="n">
        <v>45715.59405092592</v>
      </c>
      <c r="C1085" s="1" t="n">
        <v>45926</v>
      </c>
      <c r="D1085" t="inlineStr">
        <is>
          <t>JÄMTLANDS LÄN</t>
        </is>
      </c>
      <c r="E1085" t="inlineStr">
        <is>
          <t>RAGUNDA</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37292-2025</t>
        </is>
      </c>
      <c r="B1086" s="1" t="n">
        <v>45876.53188657408</v>
      </c>
      <c r="C1086" s="1" t="n">
        <v>45926</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45279-2025</t>
        </is>
      </c>
      <c r="B1087" s="1" t="n">
        <v>45919.71912037037</v>
      </c>
      <c r="C1087" s="1" t="n">
        <v>45926</v>
      </c>
      <c r="D1087" t="inlineStr">
        <is>
          <t>JÄMTLANDS LÄN</t>
        </is>
      </c>
      <c r="E1087" t="inlineStr">
        <is>
          <t>RAGUNDA</t>
        </is>
      </c>
      <c r="F1087" t="inlineStr">
        <is>
          <t>SCA</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3938-2024</t>
        </is>
      </c>
      <c r="B1088" s="1" t="n">
        <v>45322</v>
      </c>
      <c r="C1088" s="1" t="n">
        <v>45926</v>
      </c>
      <c r="D1088" t="inlineStr">
        <is>
          <t>JÄMTLANDS LÄN</t>
        </is>
      </c>
      <c r="E1088" t="inlineStr">
        <is>
          <t>RAGUNDA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53989-2024</t>
        </is>
      </c>
      <c r="B1089" s="1" t="n">
        <v>45616.34479166667</v>
      </c>
      <c r="C1089" s="1" t="n">
        <v>45926</v>
      </c>
      <c r="D1089" t="inlineStr">
        <is>
          <t>JÄMTLANDS LÄN</t>
        </is>
      </c>
      <c r="E1089" t="inlineStr">
        <is>
          <t>RAGUNDA</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15581-2024</t>
        </is>
      </c>
      <c r="B1090" s="1" t="n">
        <v>45401</v>
      </c>
      <c r="C1090" s="1" t="n">
        <v>45926</v>
      </c>
      <c r="D1090" t="inlineStr">
        <is>
          <t>JÄMTLANDS LÄN</t>
        </is>
      </c>
      <c r="E1090" t="inlineStr">
        <is>
          <t>RAGUNDA</t>
        </is>
      </c>
      <c r="F1090" t="inlineStr">
        <is>
          <t>Kommuner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15611-2024</t>
        </is>
      </c>
      <c r="B1091" s="1" t="n">
        <v>45401</v>
      </c>
      <c r="C1091" s="1" t="n">
        <v>45926</v>
      </c>
      <c r="D1091" t="inlineStr">
        <is>
          <t>JÄMTLANDS LÄN</t>
        </is>
      </c>
      <c r="E1091" t="inlineStr">
        <is>
          <t>RAGUNDA</t>
        </is>
      </c>
      <c r="F1091" t="inlineStr">
        <is>
          <t>SCA</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44954-2025</t>
        </is>
      </c>
      <c r="B1092" s="1" t="n">
        <v>45918.61203703703</v>
      </c>
      <c r="C1092" s="1" t="n">
        <v>45926</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23528-2024</t>
        </is>
      </c>
      <c r="B1093" s="1" t="n">
        <v>45453.95016203704</v>
      </c>
      <c r="C1093" s="1" t="n">
        <v>45926</v>
      </c>
      <c r="D1093" t="inlineStr">
        <is>
          <t>JÄMTLANDS LÄN</t>
        </is>
      </c>
      <c r="E1093" t="inlineStr">
        <is>
          <t>RAGUNDA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4594-2024</t>
        </is>
      </c>
      <c r="B1094" s="1" t="n">
        <v>45327.94459490741</v>
      </c>
      <c r="C1094" s="1" t="n">
        <v>45926</v>
      </c>
      <c r="D1094" t="inlineStr">
        <is>
          <t>JÄMTLANDS LÄN</t>
        </is>
      </c>
      <c r="E1094" t="inlineStr">
        <is>
          <t>RAGUNDA</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30824-2023</t>
        </is>
      </c>
      <c r="B1095" s="1" t="n">
        <v>45112.94303240741</v>
      </c>
      <c r="C1095" s="1" t="n">
        <v>45926</v>
      </c>
      <c r="D1095" t="inlineStr">
        <is>
          <t>JÄMTLANDS LÄN</t>
        </is>
      </c>
      <c r="E1095" t="inlineStr">
        <is>
          <t>RAGUNDA</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45894-2025</t>
        </is>
      </c>
      <c r="B1096" s="1" t="n">
        <v>45923.67765046296</v>
      </c>
      <c r="C1096" s="1" t="n">
        <v>45926</v>
      </c>
      <c r="D1096" t="inlineStr">
        <is>
          <t>JÄMTLANDS LÄN</t>
        </is>
      </c>
      <c r="E1096" t="inlineStr">
        <is>
          <t>RAGUNDA</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46275-2025</t>
        </is>
      </c>
      <c r="B1097" s="1" t="n">
        <v>45925.3711574074</v>
      </c>
      <c r="C1097" s="1" t="n">
        <v>45926</v>
      </c>
      <c r="D1097" t="inlineStr">
        <is>
          <t>JÄMTLANDS LÄN</t>
        </is>
      </c>
      <c r="E1097" t="inlineStr">
        <is>
          <t>RAGUNDA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9504-2025</t>
        </is>
      </c>
      <c r="B1098" s="1" t="n">
        <v>45714</v>
      </c>
      <c r="C1098" s="1" t="n">
        <v>45926</v>
      </c>
      <c r="D1098" t="inlineStr">
        <is>
          <t>JÄMTLANDS LÄN</t>
        </is>
      </c>
      <c r="E1098" t="inlineStr">
        <is>
          <t>RAGUNDA</t>
        </is>
      </c>
      <c r="G1098" t="n">
        <v>6</v>
      </c>
      <c r="H1098" t="n">
        <v>0</v>
      </c>
      <c r="I1098" t="n">
        <v>0</v>
      </c>
      <c r="J1098" t="n">
        <v>0</v>
      </c>
      <c r="K1098" t="n">
        <v>0</v>
      </c>
      <c r="L1098" t="n">
        <v>0</v>
      </c>
      <c r="M1098" t="n">
        <v>0</v>
      </c>
      <c r="N1098" t="n">
        <v>0</v>
      </c>
      <c r="O1098" t="n">
        <v>0</v>
      </c>
      <c r="P1098" t="n">
        <v>0</v>
      </c>
      <c r="Q1098" t="n">
        <v>0</v>
      </c>
      <c r="R1098" s="2" t="inlineStr"/>
    </row>
    <row r="1099">
      <c r="A1099" t="inlineStr">
        <is>
          <t>A 46192-2025</t>
        </is>
      </c>
      <c r="B1099" s="1" t="n">
        <v>45924.67789351852</v>
      </c>
      <c r="C1099" s="1" t="n">
        <v>45926</v>
      </c>
      <c r="D1099" t="inlineStr">
        <is>
          <t>JÄMTLANDS LÄN</t>
        </is>
      </c>
      <c r="E1099" t="inlineStr">
        <is>
          <t>RAGUNDA</t>
        </is>
      </c>
      <c r="F1099" t="inlineStr">
        <is>
          <t>SCA</t>
        </is>
      </c>
      <c r="G1099" t="n">
        <v>2.8</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2025-09-26T11:54:47Z</dcterms:created>
  <dcterms:modified xmlns:dcterms="http://purl.org/dc/terms/" xmlns:xsi="http://www.w3.org/2001/XMLSchema-instance" xsi:type="dcterms:W3CDTF">2025-09-26T11:54:48Z</dcterms:modified>
</cp:coreProperties>
</file>