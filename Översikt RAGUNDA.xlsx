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45788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45788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45788</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45788</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45788</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45788</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45788</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45788</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45788</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45788</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45788</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45788</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45788</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45788</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45788</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45788</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45788</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45788</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45788</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45788</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45788</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45788</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45788</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45788</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45788</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45788</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45788</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45788</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45788</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45788</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45788</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45788</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45788</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45788</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45788</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45788</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45788</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45788</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45788</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45788</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45788</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45788</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45788</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45788</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45788</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45788</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45788</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45788</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45788</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45788</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45788</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45788</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45788</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45788</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45788</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45788</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45788</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45788</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45788</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45788</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45788</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45788</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45788</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45788</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45788</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45788</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45788</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45788</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45788</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45788</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45788</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45788</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45788</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45788</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45788</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45788</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45788</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45788</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45788</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45788</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45788</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45788</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45788</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45788</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45788</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45788</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45788</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45788</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45788</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45788</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45788</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45788</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45788</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45788</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45788</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45788</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45788</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45788</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45788</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45788</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45788</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45788</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45788</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45788</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45788</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45788</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45788</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45788</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45788</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45788</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45788</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45788</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45788</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45788</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45788</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45788</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45788</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45788</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45788</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45788</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45788</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45788</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45788</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45788</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45788</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45788</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45788</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45788</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45788</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45788</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45788</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45788</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19399-2025</t>
        </is>
      </c>
      <c r="B134" s="1" t="n">
        <v>45769</v>
      </c>
      <c r="C134" s="1" t="n">
        <v>45788</v>
      </c>
      <c r="D134" t="inlineStr">
        <is>
          <t>JÄMTLANDS LÄN</t>
        </is>
      </c>
      <c r="E134" t="inlineStr">
        <is>
          <t>RAGUNDA</t>
        </is>
      </c>
      <c r="F134" t="inlineStr">
        <is>
          <t>SCA</t>
        </is>
      </c>
      <c r="G134" t="n">
        <v>3.8</v>
      </c>
      <c r="H134" t="n">
        <v>1</v>
      </c>
      <c r="I134" t="n">
        <v>2</v>
      </c>
      <c r="J134" t="n">
        <v>2</v>
      </c>
      <c r="K134" t="n">
        <v>0</v>
      </c>
      <c r="L134" t="n">
        <v>0</v>
      </c>
      <c r="M134" t="n">
        <v>0</v>
      </c>
      <c r="N134" t="n">
        <v>0</v>
      </c>
      <c r="O134" t="n">
        <v>2</v>
      </c>
      <c r="P134" t="n">
        <v>0</v>
      </c>
      <c r="Q134" t="n">
        <v>5</v>
      </c>
      <c r="R134" s="2" t="inlineStr">
        <is>
          <t>Lunglav
Skrovellav
Skinnlav
Stuplav
Nattviol</t>
        </is>
      </c>
      <c r="S134">
        <f>HYPERLINK("https://klasma.github.io/Logging_232303/artfynd/A 19399-2025 artfynd.xlsx", "A 19399-2025")</f>
        <v/>
      </c>
      <c r="T134">
        <f>HYPERLINK("https://klasma.github.io/Logging_232303/kartor/A 19399-2025 karta.png", "A 19399-2025")</f>
        <v/>
      </c>
      <c r="V134">
        <f>HYPERLINK("https://klasma.github.io/Logging_232303/klagomål/A 19399-2025 FSC-klagomål.docx", "A 19399-2025")</f>
        <v/>
      </c>
      <c r="W134">
        <f>HYPERLINK("https://klasma.github.io/Logging_232303/klagomålsmail/A 19399-2025 FSC-klagomål mail.docx", "A 19399-2025")</f>
        <v/>
      </c>
      <c r="X134">
        <f>HYPERLINK("https://klasma.github.io/Logging_232303/tillsyn/A 19399-2025 tillsynsbegäran.docx", "A 19399-2025")</f>
        <v/>
      </c>
      <c r="Y134">
        <f>HYPERLINK("https://klasma.github.io/Logging_232303/tillsynsmail/A 19399-2025 tillsynsbegäran mail.docx", "A 19399-2025")</f>
        <v/>
      </c>
    </row>
    <row r="135" ht="15" customHeight="1">
      <c r="A135" t="inlineStr">
        <is>
          <t>A 19278-2025</t>
        </is>
      </c>
      <c r="B135" s="1" t="n">
        <v>45769</v>
      </c>
      <c r="C135" s="1" t="n">
        <v>45788</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51686-2020</t>
        </is>
      </c>
      <c r="B136" s="1" t="n">
        <v>44113</v>
      </c>
      <c r="C136" s="1" t="n">
        <v>45788</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45788</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45788</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45788</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45788</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45788</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45788</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45788</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45788</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45788</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45788</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45788</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45788</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45788</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45788</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45788</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45788</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45788</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45788</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45788</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45788</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45788</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45788</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45788</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45788</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45788</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45788</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45788</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45788</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45788</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45788</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45788</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45788</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45788</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45788</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45788</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45788</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45788</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45788</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45788</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45788</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45788</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45788</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45788</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45788</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45788</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45788</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45788</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45788</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45788</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45788</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45788</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45788</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45788</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45788</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45788</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45788</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45788</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45788</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45788</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45788</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45788</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45788</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45788</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45788</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45788</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45788</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45788</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45788</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45788</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45788</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45788</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45788</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45788</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45788</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45788</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45788</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45788</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45788</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45788</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45788</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45788</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45788</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45788</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45788</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45788</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45788</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45788</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45788</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45788</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45788</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45788</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45788</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45788</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45788</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45788</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45788</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45788</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45788</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45788</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45788</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45788</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45788</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45788</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45788</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45788</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45788</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45788</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45788</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45788</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45788</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45788</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45788</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45788</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45788</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45788</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45788</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45788</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45788</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45788</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45788</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45788</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45788</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45788</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45788</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45788</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45788</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45788</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45788</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45788</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45788</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45788</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45788</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45788</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45788</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45788</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45788</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45788</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45788</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45788</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45788</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45788</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45788</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45788</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45788</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45788</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45788</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45788</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45788</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45788</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45788</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45788</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45788</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45788</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45788</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45788</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45788</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45788</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45788</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45788</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45788</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45788</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45788</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45788</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45788</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45788</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45788</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45788</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45788</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45788</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45788</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45788</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45788</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45788</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45788</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45788</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45788</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45788</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45788</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45788</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45788</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45788</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45788</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45788</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45788</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45788</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45788</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45788</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45788</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45788</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45788</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45788</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45788</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45788</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45788</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45788</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45788</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45788</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45788</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45788</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45788</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45788</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45788</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45788</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45788</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45788</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45788</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19077-2019</t>
        </is>
      </c>
      <c r="B343" s="1" t="n">
        <v>43563</v>
      </c>
      <c r="C343" s="1" t="n">
        <v>45788</v>
      </c>
      <c r="D343" t="inlineStr">
        <is>
          <t>JÄMTLANDS LÄN</t>
        </is>
      </c>
      <c r="E343" t="inlineStr">
        <is>
          <t>RAGUNDA</t>
        </is>
      </c>
      <c r="G343" t="n">
        <v>11.5</v>
      </c>
      <c r="H343" t="n">
        <v>0</v>
      </c>
      <c r="I343" t="n">
        <v>0</v>
      </c>
      <c r="J343" t="n">
        <v>0</v>
      </c>
      <c r="K343" t="n">
        <v>0</v>
      </c>
      <c r="L343" t="n">
        <v>0</v>
      </c>
      <c r="M343" t="n">
        <v>0</v>
      </c>
      <c r="N343" t="n">
        <v>0</v>
      </c>
      <c r="O343" t="n">
        <v>0</v>
      </c>
      <c r="P343" t="n">
        <v>0</v>
      </c>
      <c r="Q343" t="n">
        <v>0</v>
      </c>
      <c r="R343" s="2" t="inlineStr"/>
    </row>
    <row r="344" ht="15" customHeight="1">
      <c r="A344" t="inlineStr">
        <is>
          <t>A 19543-2019</t>
        </is>
      </c>
      <c r="B344" s="1" t="n">
        <v>43565</v>
      </c>
      <c r="C344" s="1" t="n">
        <v>45788</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21122-2019</t>
        </is>
      </c>
      <c r="B345" s="1" t="n">
        <v>43578</v>
      </c>
      <c r="C345" s="1" t="n">
        <v>45788</v>
      </c>
      <c r="D345" t="inlineStr">
        <is>
          <t>JÄMTLANDS LÄN</t>
        </is>
      </c>
      <c r="E345" t="inlineStr">
        <is>
          <t>RAGUNDA</t>
        </is>
      </c>
      <c r="F345" t="inlineStr">
        <is>
          <t>SCA</t>
        </is>
      </c>
      <c r="G345" t="n">
        <v>72.09999999999999</v>
      </c>
      <c r="H345" t="n">
        <v>0</v>
      </c>
      <c r="I345" t="n">
        <v>0</v>
      </c>
      <c r="J345" t="n">
        <v>0</v>
      </c>
      <c r="K345" t="n">
        <v>0</v>
      </c>
      <c r="L345" t="n">
        <v>0</v>
      </c>
      <c r="M345" t="n">
        <v>0</v>
      </c>
      <c r="N345" t="n">
        <v>0</v>
      </c>
      <c r="O345" t="n">
        <v>0</v>
      </c>
      <c r="P345" t="n">
        <v>0</v>
      </c>
      <c r="Q345" t="n">
        <v>0</v>
      </c>
      <c r="R345" s="2" t="inlineStr"/>
    </row>
    <row r="346" ht="15" customHeight="1">
      <c r="A346" t="inlineStr">
        <is>
          <t>A 21914-2019</t>
        </is>
      </c>
      <c r="B346" s="1" t="n">
        <v>43584</v>
      </c>
      <c r="C346" s="1" t="n">
        <v>45788</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22799-2019</t>
        </is>
      </c>
      <c r="B347" s="1" t="n">
        <v>43589</v>
      </c>
      <c r="C347" s="1" t="n">
        <v>45788</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23740-2019</t>
        </is>
      </c>
      <c r="B348" s="1" t="n">
        <v>43594</v>
      </c>
      <c r="C348" s="1" t="n">
        <v>45788</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23821-2019</t>
        </is>
      </c>
      <c r="B349" s="1" t="n">
        <v>43594</v>
      </c>
      <c r="C349" s="1" t="n">
        <v>45788</v>
      </c>
      <c r="D349" t="inlineStr">
        <is>
          <t>JÄMTLANDS LÄN</t>
        </is>
      </c>
      <c r="E349" t="inlineStr">
        <is>
          <t>RAGUNDA</t>
        </is>
      </c>
      <c r="G349" t="n">
        <v>0.9</v>
      </c>
      <c r="H349" t="n">
        <v>0</v>
      </c>
      <c r="I349" t="n">
        <v>0</v>
      </c>
      <c r="J349" t="n">
        <v>0</v>
      </c>
      <c r="K349" t="n">
        <v>0</v>
      </c>
      <c r="L349" t="n">
        <v>0</v>
      </c>
      <c r="M349" t="n">
        <v>0</v>
      </c>
      <c r="N349" t="n">
        <v>0</v>
      </c>
      <c r="O349" t="n">
        <v>0</v>
      </c>
      <c r="P349" t="n">
        <v>0</v>
      </c>
      <c r="Q349" t="n">
        <v>0</v>
      </c>
      <c r="R349" s="2" t="inlineStr"/>
    </row>
    <row r="350" ht="15" customHeight="1">
      <c r="A350" t="inlineStr">
        <is>
          <t>A 28251-2019</t>
        </is>
      </c>
      <c r="B350" s="1" t="n">
        <v>43622</v>
      </c>
      <c r="C350" s="1" t="n">
        <v>45788</v>
      </c>
      <c r="D350" t="inlineStr">
        <is>
          <t>JÄMTLANDS LÄN</t>
        </is>
      </c>
      <c r="E350" t="inlineStr">
        <is>
          <t>RAGUNDA</t>
        </is>
      </c>
      <c r="F350" t="inlineStr">
        <is>
          <t>SCA</t>
        </is>
      </c>
      <c r="G350" t="n">
        <v>25.7</v>
      </c>
      <c r="H350" t="n">
        <v>0</v>
      </c>
      <c r="I350" t="n">
        <v>0</v>
      </c>
      <c r="J350" t="n">
        <v>0</v>
      </c>
      <c r="K350" t="n">
        <v>0</v>
      </c>
      <c r="L350" t="n">
        <v>0</v>
      </c>
      <c r="M350" t="n">
        <v>0</v>
      </c>
      <c r="N350" t="n">
        <v>0</v>
      </c>
      <c r="O350" t="n">
        <v>0</v>
      </c>
      <c r="P350" t="n">
        <v>0</v>
      </c>
      <c r="Q350" t="n">
        <v>0</v>
      </c>
      <c r="R350" s="2" t="inlineStr"/>
    </row>
    <row r="351" ht="15" customHeight="1">
      <c r="A351" t="inlineStr">
        <is>
          <t>A 30030-2019</t>
        </is>
      </c>
      <c r="B351" s="1" t="n">
        <v>43633</v>
      </c>
      <c r="C351" s="1" t="n">
        <v>45788</v>
      </c>
      <c r="D351" t="inlineStr">
        <is>
          <t>JÄMTLANDS LÄN</t>
        </is>
      </c>
      <c r="E351" t="inlineStr">
        <is>
          <t>RAGUNDA</t>
        </is>
      </c>
      <c r="G351" t="n">
        <v>10.6</v>
      </c>
      <c r="H351" t="n">
        <v>0</v>
      </c>
      <c r="I351" t="n">
        <v>0</v>
      </c>
      <c r="J351" t="n">
        <v>0</v>
      </c>
      <c r="K351" t="n">
        <v>0</v>
      </c>
      <c r="L351" t="n">
        <v>0</v>
      </c>
      <c r="M351" t="n">
        <v>0</v>
      </c>
      <c r="N351" t="n">
        <v>0</v>
      </c>
      <c r="O351" t="n">
        <v>0</v>
      </c>
      <c r="P351" t="n">
        <v>0</v>
      </c>
      <c r="Q351" t="n">
        <v>0</v>
      </c>
      <c r="R351" s="2" t="inlineStr"/>
    </row>
    <row r="352" ht="15" customHeight="1">
      <c r="A352" t="inlineStr">
        <is>
          <t>A 30034-2019</t>
        </is>
      </c>
      <c r="B352" s="1" t="n">
        <v>43633</v>
      </c>
      <c r="C352" s="1" t="n">
        <v>45788</v>
      </c>
      <c r="D352" t="inlineStr">
        <is>
          <t>JÄMTLANDS LÄN</t>
        </is>
      </c>
      <c r="E352" t="inlineStr">
        <is>
          <t>RAGUNDA</t>
        </is>
      </c>
      <c r="G352" t="n">
        <v>5.6</v>
      </c>
      <c r="H352" t="n">
        <v>0</v>
      </c>
      <c r="I352" t="n">
        <v>0</v>
      </c>
      <c r="J352" t="n">
        <v>0</v>
      </c>
      <c r="K352" t="n">
        <v>0</v>
      </c>
      <c r="L352" t="n">
        <v>0</v>
      </c>
      <c r="M352" t="n">
        <v>0</v>
      </c>
      <c r="N352" t="n">
        <v>0</v>
      </c>
      <c r="O352" t="n">
        <v>0</v>
      </c>
      <c r="P352" t="n">
        <v>0</v>
      </c>
      <c r="Q352" t="n">
        <v>0</v>
      </c>
      <c r="R352" s="2" t="inlineStr"/>
    </row>
    <row r="353" ht="15" customHeight="1">
      <c r="A353" t="inlineStr">
        <is>
          <t>A 31299-2019</t>
        </is>
      </c>
      <c r="B353" s="1" t="n">
        <v>43640</v>
      </c>
      <c r="C353" s="1" t="n">
        <v>45788</v>
      </c>
      <c r="D353" t="inlineStr">
        <is>
          <t>JÄMTLANDS LÄN</t>
        </is>
      </c>
      <c r="E353" t="inlineStr">
        <is>
          <t>RAGUNDA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31562-2019</t>
        </is>
      </c>
      <c r="B354" s="1" t="n">
        <v>43641</v>
      </c>
      <c r="C354" s="1" t="n">
        <v>45788</v>
      </c>
      <c r="D354" t="inlineStr">
        <is>
          <t>JÄMTLANDS LÄN</t>
        </is>
      </c>
      <c r="E354" t="inlineStr">
        <is>
          <t>RAGUNDA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31563-2019</t>
        </is>
      </c>
      <c r="B355" s="1" t="n">
        <v>43641</v>
      </c>
      <c r="C355" s="1" t="n">
        <v>45788</v>
      </c>
      <c r="D355" t="inlineStr">
        <is>
          <t>JÄMTLANDS LÄN</t>
        </is>
      </c>
      <c r="E355" t="inlineStr">
        <is>
          <t>RAGUNDA</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32211-2019</t>
        </is>
      </c>
      <c r="B356" s="1" t="n">
        <v>43643</v>
      </c>
      <c r="C356" s="1" t="n">
        <v>45788</v>
      </c>
      <c r="D356" t="inlineStr">
        <is>
          <t>JÄMTLANDS LÄN</t>
        </is>
      </c>
      <c r="E356" t="inlineStr">
        <is>
          <t>RAGUNDA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33341-2019</t>
        </is>
      </c>
      <c r="B357" s="1" t="n">
        <v>43650</v>
      </c>
      <c r="C357" s="1" t="n">
        <v>45788</v>
      </c>
      <c r="D357" t="inlineStr">
        <is>
          <t>JÄMTLANDS LÄN</t>
        </is>
      </c>
      <c r="E357" t="inlineStr">
        <is>
          <t>RAGUNDA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35466-2019</t>
        </is>
      </c>
      <c r="B358" s="1" t="n">
        <v>43651</v>
      </c>
      <c r="C358" s="1" t="n">
        <v>45788</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34119-2019</t>
        </is>
      </c>
      <c r="B359" s="1" t="n">
        <v>43654</v>
      </c>
      <c r="C359" s="1" t="n">
        <v>45788</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34121-2019</t>
        </is>
      </c>
      <c r="B360" s="1" t="n">
        <v>43654</v>
      </c>
      <c r="C360" s="1" t="n">
        <v>45788</v>
      </c>
      <c r="D360" t="inlineStr">
        <is>
          <t>JÄMTLANDS LÄN</t>
        </is>
      </c>
      <c r="E360" t="inlineStr">
        <is>
          <t>RAGUNDA</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34490-2019</t>
        </is>
      </c>
      <c r="B361" s="1" t="n">
        <v>43656</v>
      </c>
      <c r="C361" s="1" t="n">
        <v>45788</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36230-2019</t>
        </is>
      </c>
      <c r="B362" s="1" t="n">
        <v>43669</v>
      </c>
      <c r="C362" s="1" t="n">
        <v>45788</v>
      </c>
      <c r="D362" t="inlineStr">
        <is>
          <t>JÄMTLANDS LÄN</t>
        </is>
      </c>
      <c r="E362" t="inlineStr">
        <is>
          <t>RAGUNDA</t>
        </is>
      </c>
      <c r="G362" t="n">
        <v>4.4</v>
      </c>
      <c r="H362" t="n">
        <v>0</v>
      </c>
      <c r="I362" t="n">
        <v>0</v>
      </c>
      <c r="J362" t="n">
        <v>0</v>
      </c>
      <c r="K362" t="n">
        <v>0</v>
      </c>
      <c r="L362" t="n">
        <v>0</v>
      </c>
      <c r="M362" t="n">
        <v>0</v>
      </c>
      <c r="N362" t="n">
        <v>0</v>
      </c>
      <c r="O362" t="n">
        <v>0</v>
      </c>
      <c r="P362" t="n">
        <v>0</v>
      </c>
      <c r="Q362" t="n">
        <v>0</v>
      </c>
      <c r="R362" s="2" t="inlineStr"/>
    </row>
    <row r="363" ht="15" customHeight="1">
      <c r="A363" t="inlineStr">
        <is>
          <t>A 37086-2019</t>
        </is>
      </c>
      <c r="B363" s="1" t="n">
        <v>43676</v>
      </c>
      <c r="C363" s="1" t="n">
        <v>45788</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37441-2019</t>
        </is>
      </c>
      <c r="B364" s="1" t="n">
        <v>43678</v>
      </c>
      <c r="C364" s="1" t="n">
        <v>45788</v>
      </c>
      <c r="D364" t="inlineStr">
        <is>
          <t>JÄMTLANDS LÄN</t>
        </is>
      </c>
      <c r="E364" t="inlineStr">
        <is>
          <t>RAGUNDA</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38757-2019</t>
        </is>
      </c>
      <c r="B365" s="1" t="n">
        <v>43686</v>
      </c>
      <c r="C365" s="1" t="n">
        <v>45788</v>
      </c>
      <c r="D365" t="inlineStr">
        <is>
          <t>JÄMTLANDS LÄN</t>
        </is>
      </c>
      <c r="E365" t="inlineStr">
        <is>
          <t>RAGUNDA</t>
        </is>
      </c>
      <c r="G365" t="n">
        <v>10.2</v>
      </c>
      <c r="H365" t="n">
        <v>0</v>
      </c>
      <c r="I365" t="n">
        <v>0</v>
      </c>
      <c r="J365" t="n">
        <v>0</v>
      </c>
      <c r="K365" t="n">
        <v>0</v>
      </c>
      <c r="L365" t="n">
        <v>0</v>
      </c>
      <c r="M365" t="n">
        <v>0</v>
      </c>
      <c r="N365" t="n">
        <v>0</v>
      </c>
      <c r="O365" t="n">
        <v>0</v>
      </c>
      <c r="P365" t="n">
        <v>0</v>
      </c>
      <c r="Q365" t="n">
        <v>0</v>
      </c>
      <c r="R365" s="2" t="inlineStr"/>
    </row>
    <row r="366" ht="15" customHeight="1">
      <c r="A366" t="inlineStr">
        <is>
          <t>A 42786-2019</t>
        </is>
      </c>
      <c r="B366" s="1" t="n">
        <v>43704</v>
      </c>
      <c r="C366" s="1" t="n">
        <v>45788</v>
      </c>
      <c r="D366" t="inlineStr">
        <is>
          <t>JÄMTLANDS LÄN</t>
        </is>
      </c>
      <c r="E366" t="inlineStr">
        <is>
          <t>RAGUNDA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42788-2019</t>
        </is>
      </c>
      <c r="B367" s="1" t="n">
        <v>43704</v>
      </c>
      <c r="C367" s="1" t="n">
        <v>45788</v>
      </c>
      <c r="D367" t="inlineStr">
        <is>
          <t>JÄMTLANDS LÄN</t>
        </is>
      </c>
      <c r="E367" t="inlineStr">
        <is>
          <t>RAGUNDA</t>
        </is>
      </c>
      <c r="F367" t="inlineStr">
        <is>
          <t>SCA</t>
        </is>
      </c>
      <c r="G367" t="n">
        <v>20.3</v>
      </c>
      <c r="H367" t="n">
        <v>0</v>
      </c>
      <c r="I367" t="n">
        <v>0</v>
      </c>
      <c r="J367" t="n">
        <v>0</v>
      </c>
      <c r="K367" t="n">
        <v>0</v>
      </c>
      <c r="L367" t="n">
        <v>0</v>
      </c>
      <c r="M367" t="n">
        <v>0</v>
      </c>
      <c r="N367" t="n">
        <v>0</v>
      </c>
      <c r="O367" t="n">
        <v>0</v>
      </c>
      <c r="P367" t="n">
        <v>0</v>
      </c>
      <c r="Q367" t="n">
        <v>0</v>
      </c>
      <c r="R367" s="2" t="inlineStr"/>
    </row>
    <row r="368" ht="15" customHeight="1">
      <c r="A368" t="inlineStr">
        <is>
          <t>A 42785-2019</t>
        </is>
      </c>
      <c r="B368" s="1" t="n">
        <v>43704</v>
      </c>
      <c r="C368" s="1" t="n">
        <v>45788</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43412-2019</t>
        </is>
      </c>
      <c r="B369" s="1" t="n">
        <v>43706</v>
      </c>
      <c r="C369" s="1" t="n">
        <v>45788</v>
      </c>
      <c r="D369" t="inlineStr">
        <is>
          <t>JÄMTLANDS LÄN</t>
        </is>
      </c>
      <c r="E369" t="inlineStr">
        <is>
          <t>RAGUNDA</t>
        </is>
      </c>
      <c r="G369" t="n">
        <v>1.4</v>
      </c>
      <c r="H369" t="n">
        <v>0</v>
      </c>
      <c r="I369" t="n">
        <v>0</v>
      </c>
      <c r="J369" t="n">
        <v>0</v>
      </c>
      <c r="K369" t="n">
        <v>0</v>
      </c>
      <c r="L369" t="n">
        <v>0</v>
      </c>
      <c r="M369" t="n">
        <v>0</v>
      </c>
      <c r="N369" t="n">
        <v>0</v>
      </c>
      <c r="O369" t="n">
        <v>0</v>
      </c>
      <c r="P369" t="n">
        <v>0</v>
      </c>
      <c r="Q369" t="n">
        <v>0</v>
      </c>
      <c r="R369" s="2" t="inlineStr"/>
    </row>
    <row r="370" ht="15" customHeight="1">
      <c r="A370" t="inlineStr">
        <is>
          <t>A 45075-2019</t>
        </is>
      </c>
      <c r="B370" s="1" t="n">
        <v>43713</v>
      </c>
      <c r="C370" s="1" t="n">
        <v>45788</v>
      </c>
      <c r="D370" t="inlineStr">
        <is>
          <t>JÄMTLANDS LÄN</t>
        </is>
      </c>
      <c r="E370" t="inlineStr">
        <is>
          <t>RAGUNDA</t>
        </is>
      </c>
      <c r="G370" t="n">
        <v>1</v>
      </c>
      <c r="H370" t="n">
        <v>0</v>
      </c>
      <c r="I370" t="n">
        <v>0</v>
      </c>
      <c r="J370" t="n">
        <v>0</v>
      </c>
      <c r="K370" t="n">
        <v>0</v>
      </c>
      <c r="L370" t="n">
        <v>0</v>
      </c>
      <c r="M370" t="n">
        <v>0</v>
      </c>
      <c r="N370" t="n">
        <v>0</v>
      </c>
      <c r="O370" t="n">
        <v>0</v>
      </c>
      <c r="P370" t="n">
        <v>0</v>
      </c>
      <c r="Q370" t="n">
        <v>0</v>
      </c>
      <c r="R370" s="2" t="inlineStr"/>
    </row>
    <row r="371" ht="15" customHeight="1">
      <c r="A371" t="inlineStr">
        <is>
          <t>A 45061-2019</t>
        </is>
      </c>
      <c r="B371" s="1" t="n">
        <v>43713</v>
      </c>
      <c r="C371" s="1" t="n">
        <v>45788</v>
      </c>
      <c r="D371" t="inlineStr">
        <is>
          <t>JÄMTLANDS LÄN</t>
        </is>
      </c>
      <c r="E371" t="inlineStr">
        <is>
          <t>RAGUNDA</t>
        </is>
      </c>
      <c r="G371" t="n">
        <v>3.3</v>
      </c>
      <c r="H371" t="n">
        <v>0</v>
      </c>
      <c r="I371" t="n">
        <v>0</v>
      </c>
      <c r="J371" t="n">
        <v>0</v>
      </c>
      <c r="K371" t="n">
        <v>0</v>
      </c>
      <c r="L371" t="n">
        <v>0</v>
      </c>
      <c r="M371" t="n">
        <v>0</v>
      </c>
      <c r="N371" t="n">
        <v>0</v>
      </c>
      <c r="O371" t="n">
        <v>0</v>
      </c>
      <c r="P371" t="n">
        <v>0</v>
      </c>
      <c r="Q371" t="n">
        <v>0</v>
      </c>
      <c r="R371" s="2" t="inlineStr"/>
    </row>
    <row r="372" ht="15" customHeight="1">
      <c r="A372" t="inlineStr">
        <is>
          <t>A 48961-2019</t>
        </is>
      </c>
      <c r="B372" s="1" t="n">
        <v>43728</v>
      </c>
      <c r="C372" s="1" t="n">
        <v>45788</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49875-2019</t>
        </is>
      </c>
      <c r="B373" s="1" t="n">
        <v>43733</v>
      </c>
      <c r="C373" s="1" t="n">
        <v>45788</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49945-2019</t>
        </is>
      </c>
      <c r="B374" s="1" t="n">
        <v>43733</v>
      </c>
      <c r="C374" s="1" t="n">
        <v>45788</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52098-2019</t>
        </is>
      </c>
      <c r="B375" s="1" t="n">
        <v>43735</v>
      </c>
      <c r="C375" s="1" t="n">
        <v>45788</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51661-2019</t>
        </is>
      </c>
      <c r="B376" s="1" t="n">
        <v>43740</v>
      </c>
      <c r="C376" s="1" t="n">
        <v>45788</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53849-2019</t>
        </is>
      </c>
      <c r="B377" s="1" t="n">
        <v>43742</v>
      </c>
      <c r="C377" s="1" t="n">
        <v>45788</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52728-2019</t>
        </is>
      </c>
      <c r="B378" s="1" t="n">
        <v>43746</v>
      </c>
      <c r="C378" s="1" t="n">
        <v>45788</v>
      </c>
      <c r="D378" t="inlineStr">
        <is>
          <t>JÄMTLANDS LÄN</t>
        </is>
      </c>
      <c r="E378" t="inlineStr">
        <is>
          <t>RAGUNDA</t>
        </is>
      </c>
      <c r="G378" t="n">
        <v>1.6</v>
      </c>
      <c r="H378" t="n">
        <v>0</v>
      </c>
      <c r="I378" t="n">
        <v>0</v>
      </c>
      <c r="J378" t="n">
        <v>0</v>
      </c>
      <c r="K378" t="n">
        <v>0</v>
      </c>
      <c r="L378" t="n">
        <v>0</v>
      </c>
      <c r="M378" t="n">
        <v>0</v>
      </c>
      <c r="N378" t="n">
        <v>0</v>
      </c>
      <c r="O378" t="n">
        <v>0</v>
      </c>
      <c r="P378" t="n">
        <v>0</v>
      </c>
      <c r="Q378" t="n">
        <v>0</v>
      </c>
      <c r="R378" s="2" t="inlineStr"/>
    </row>
    <row r="379" ht="15" customHeight="1">
      <c r="A379" t="inlineStr">
        <is>
          <t>A 55353-2019</t>
        </is>
      </c>
      <c r="B379" s="1" t="n">
        <v>43756</v>
      </c>
      <c r="C379" s="1" t="n">
        <v>45788</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55875-2019</t>
        </is>
      </c>
      <c r="B380" s="1" t="n">
        <v>43759</v>
      </c>
      <c r="C380" s="1" t="n">
        <v>45788</v>
      </c>
      <c r="D380" t="inlineStr">
        <is>
          <t>JÄMTLANDS LÄN</t>
        </is>
      </c>
      <c r="E380" t="inlineStr">
        <is>
          <t>RAGUNDA</t>
        </is>
      </c>
      <c r="G380" t="n">
        <v>2.8</v>
      </c>
      <c r="H380" t="n">
        <v>0</v>
      </c>
      <c r="I380" t="n">
        <v>0</v>
      </c>
      <c r="J380" t="n">
        <v>0</v>
      </c>
      <c r="K380" t="n">
        <v>0</v>
      </c>
      <c r="L380" t="n">
        <v>0</v>
      </c>
      <c r="M380" t="n">
        <v>0</v>
      </c>
      <c r="N380" t="n">
        <v>0</v>
      </c>
      <c r="O380" t="n">
        <v>0</v>
      </c>
      <c r="P380" t="n">
        <v>0</v>
      </c>
      <c r="Q380" t="n">
        <v>0</v>
      </c>
      <c r="R380" s="2" t="inlineStr"/>
    </row>
    <row r="381" ht="15" customHeight="1">
      <c r="A381" t="inlineStr">
        <is>
          <t>A 55653-2019</t>
        </is>
      </c>
      <c r="B381" s="1" t="n">
        <v>43760</v>
      </c>
      <c r="C381" s="1" t="n">
        <v>45788</v>
      </c>
      <c r="D381" t="inlineStr">
        <is>
          <t>JÄMTLANDS LÄN</t>
        </is>
      </c>
      <c r="E381" t="inlineStr">
        <is>
          <t>RAGUNDA</t>
        </is>
      </c>
      <c r="G381" t="n">
        <v>4.2</v>
      </c>
      <c r="H381" t="n">
        <v>0</v>
      </c>
      <c r="I381" t="n">
        <v>0</v>
      </c>
      <c r="J381" t="n">
        <v>0</v>
      </c>
      <c r="K381" t="n">
        <v>0</v>
      </c>
      <c r="L381" t="n">
        <v>0</v>
      </c>
      <c r="M381" t="n">
        <v>0</v>
      </c>
      <c r="N381" t="n">
        <v>0</v>
      </c>
      <c r="O381" t="n">
        <v>0</v>
      </c>
      <c r="P381" t="n">
        <v>0</v>
      </c>
      <c r="Q381" t="n">
        <v>0</v>
      </c>
      <c r="R381" s="2" t="inlineStr"/>
    </row>
    <row r="382" ht="15" customHeight="1">
      <c r="A382" t="inlineStr">
        <is>
          <t>A 57860-2019</t>
        </is>
      </c>
      <c r="B382" s="1" t="n">
        <v>43768</v>
      </c>
      <c r="C382" s="1" t="n">
        <v>45788</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57783-2019</t>
        </is>
      </c>
      <c r="B383" s="1" t="n">
        <v>43768</v>
      </c>
      <c r="C383" s="1" t="n">
        <v>45788</v>
      </c>
      <c r="D383" t="inlineStr">
        <is>
          <t>JÄMTLANDS LÄN</t>
        </is>
      </c>
      <c r="E383" t="inlineStr">
        <is>
          <t>RAGUNDA</t>
        </is>
      </c>
      <c r="G383" t="n">
        <v>2.9</v>
      </c>
      <c r="H383" t="n">
        <v>0</v>
      </c>
      <c r="I383" t="n">
        <v>0</v>
      </c>
      <c r="J383" t="n">
        <v>0</v>
      </c>
      <c r="K383" t="n">
        <v>0</v>
      </c>
      <c r="L383" t="n">
        <v>0</v>
      </c>
      <c r="M383" t="n">
        <v>0</v>
      </c>
      <c r="N383" t="n">
        <v>0</v>
      </c>
      <c r="O383" t="n">
        <v>0</v>
      </c>
      <c r="P383" t="n">
        <v>0</v>
      </c>
      <c r="Q383" t="n">
        <v>0</v>
      </c>
      <c r="R383" s="2" t="inlineStr"/>
    </row>
    <row r="384" ht="15" customHeight="1">
      <c r="A384" t="inlineStr">
        <is>
          <t>A 58348-2019</t>
        </is>
      </c>
      <c r="B384" s="1" t="n">
        <v>43770</v>
      </c>
      <c r="C384" s="1" t="n">
        <v>45788</v>
      </c>
      <c r="D384" t="inlineStr">
        <is>
          <t>JÄMTLANDS LÄN</t>
        </is>
      </c>
      <c r="E384" t="inlineStr">
        <is>
          <t>RAGUNDA</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58355-2019</t>
        </is>
      </c>
      <c r="B385" s="1" t="n">
        <v>43770</v>
      </c>
      <c r="C385" s="1" t="n">
        <v>45788</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59484-2019</t>
        </is>
      </c>
      <c r="B386" s="1" t="n">
        <v>43773</v>
      </c>
      <c r="C386" s="1" t="n">
        <v>45788</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58795-2019</t>
        </is>
      </c>
      <c r="B387" s="1" t="n">
        <v>43773</v>
      </c>
      <c r="C387" s="1" t="n">
        <v>45788</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59501-2019</t>
        </is>
      </c>
      <c r="B388" s="1" t="n">
        <v>43773</v>
      </c>
      <c r="C388" s="1" t="n">
        <v>45788</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59194-2019</t>
        </is>
      </c>
      <c r="B389" s="1" t="n">
        <v>43775</v>
      </c>
      <c r="C389" s="1" t="n">
        <v>45788</v>
      </c>
      <c r="D389" t="inlineStr">
        <is>
          <t>JÄMTLANDS LÄN</t>
        </is>
      </c>
      <c r="E389" t="inlineStr">
        <is>
          <t>RAGUNDA</t>
        </is>
      </c>
      <c r="G389" t="n">
        <v>2.7</v>
      </c>
      <c r="H389" t="n">
        <v>0</v>
      </c>
      <c r="I389" t="n">
        <v>0</v>
      </c>
      <c r="J389" t="n">
        <v>0</v>
      </c>
      <c r="K389" t="n">
        <v>0</v>
      </c>
      <c r="L389" t="n">
        <v>0</v>
      </c>
      <c r="M389" t="n">
        <v>0</v>
      </c>
      <c r="N389" t="n">
        <v>0</v>
      </c>
      <c r="O389" t="n">
        <v>0</v>
      </c>
      <c r="P389" t="n">
        <v>0</v>
      </c>
      <c r="Q389" t="n">
        <v>0</v>
      </c>
      <c r="R389" s="2" t="inlineStr"/>
    </row>
    <row r="390" ht="15" customHeight="1">
      <c r="A390" t="inlineStr">
        <is>
          <t>A 60119-2019</t>
        </is>
      </c>
      <c r="B390" s="1" t="n">
        <v>43777</v>
      </c>
      <c r="C390" s="1" t="n">
        <v>45788</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62340-2019</t>
        </is>
      </c>
      <c r="B391" s="1" t="n">
        <v>43782</v>
      </c>
      <c r="C391" s="1" t="n">
        <v>45788</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61514-2019</t>
        </is>
      </c>
      <c r="B392" s="1" t="n">
        <v>43783</v>
      </c>
      <c r="C392" s="1" t="n">
        <v>45788</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62129-2019</t>
        </is>
      </c>
      <c r="B393" s="1" t="n">
        <v>43787</v>
      </c>
      <c r="C393" s="1" t="n">
        <v>45788</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62484-2019</t>
        </is>
      </c>
      <c r="B394" s="1" t="n">
        <v>43788</v>
      </c>
      <c r="C394" s="1" t="n">
        <v>45788</v>
      </c>
      <c r="D394" t="inlineStr">
        <is>
          <t>JÄMTLANDS LÄN</t>
        </is>
      </c>
      <c r="E394" t="inlineStr">
        <is>
          <t>RAGUNDA</t>
        </is>
      </c>
      <c r="G394" t="n">
        <v>11.9</v>
      </c>
      <c r="H394" t="n">
        <v>0</v>
      </c>
      <c r="I394" t="n">
        <v>0</v>
      </c>
      <c r="J394" t="n">
        <v>0</v>
      </c>
      <c r="K394" t="n">
        <v>0</v>
      </c>
      <c r="L394" t="n">
        <v>0</v>
      </c>
      <c r="M394" t="n">
        <v>0</v>
      </c>
      <c r="N394" t="n">
        <v>0</v>
      </c>
      <c r="O394" t="n">
        <v>0</v>
      </c>
      <c r="P394" t="n">
        <v>0</v>
      </c>
      <c r="Q394" t="n">
        <v>0</v>
      </c>
      <c r="R394" s="2" t="inlineStr"/>
      <c r="U394">
        <f>HYPERLINK("https://klasma.github.io/Logging_2303/knärot/A 62484-2019 karta knärot.png", "A 62484-2019")</f>
        <v/>
      </c>
      <c r="V394">
        <f>HYPERLINK("https://klasma.github.io/Logging_2303/klagomål/A 62484-2019 FSC-klagomål.docx", "A 62484-2019")</f>
        <v/>
      </c>
      <c r="W394">
        <f>HYPERLINK("https://klasma.github.io/Logging_2303/klagomålsmail/A 62484-2019 FSC-klagomål mail.docx", "A 62484-2019")</f>
        <v/>
      </c>
      <c r="X394">
        <f>HYPERLINK("https://klasma.github.io/Logging_2303/tillsyn/A 62484-2019 tillsynsbegäran.docx", "A 62484-2019")</f>
        <v/>
      </c>
      <c r="Y394">
        <f>HYPERLINK("https://klasma.github.io/Logging_2303/tillsynsmail/A 62484-2019 tillsynsbegäran mail.docx", "A 62484-2019")</f>
        <v/>
      </c>
    </row>
    <row r="395" ht="15" customHeight="1">
      <c r="A395" t="inlineStr">
        <is>
          <t>A 64097-2019</t>
        </is>
      </c>
      <c r="B395" s="1" t="n">
        <v>43791</v>
      </c>
      <c r="C395" s="1" t="n">
        <v>45788</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63841-2019</t>
        </is>
      </c>
      <c r="B396" s="1" t="n">
        <v>43795</v>
      </c>
      <c r="C396" s="1" t="n">
        <v>45788</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64316-2019</t>
        </is>
      </c>
      <c r="B397" s="1" t="n">
        <v>43797</v>
      </c>
      <c r="C397" s="1" t="n">
        <v>45788</v>
      </c>
      <c r="D397" t="inlineStr">
        <is>
          <t>JÄMTLANDS LÄN</t>
        </is>
      </c>
      <c r="E397" t="inlineStr">
        <is>
          <t>RAGUNDA</t>
        </is>
      </c>
      <c r="G397" t="n">
        <v>1.7</v>
      </c>
      <c r="H397" t="n">
        <v>0</v>
      </c>
      <c r="I397" t="n">
        <v>0</v>
      </c>
      <c r="J397" t="n">
        <v>0</v>
      </c>
      <c r="K397" t="n">
        <v>0</v>
      </c>
      <c r="L397" t="n">
        <v>0</v>
      </c>
      <c r="M397" t="n">
        <v>0</v>
      </c>
      <c r="N397" t="n">
        <v>0</v>
      </c>
      <c r="O397" t="n">
        <v>0</v>
      </c>
      <c r="P397" t="n">
        <v>0</v>
      </c>
      <c r="Q397" t="n">
        <v>0</v>
      </c>
      <c r="R397" s="2" t="inlineStr"/>
    </row>
    <row r="398" ht="15" customHeight="1">
      <c r="A398" t="inlineStr">
        <is>
          <t>A 64432-2019</t>
        </is>
      </c>
      <c r="B398" s="1" t="n">
        <v>43797</v>
      </c>
      <c r="C398" s="1" t="n">
        <v>45788</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66475-2019</t>
        </is>
      </c>
      <c r="B399" s="1" t="n">
        <v>43803</v>
      </c>
      <c r="C399" s="1" t="n">
        <v>45788</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67122-2019</t>
        </is>
      </c>
      <c r="B400" s="1" t="n">
        <v>43805</v>
      </c>
      <c r="C400" s="1" t="n">
        <v>45788</v>
      </c>
      <c r="D400" t="inlineStr">
        <is>
          <t>JÄMTLANDS LÄN</t>
        </is>
      </c>
      <c r="E400" t="inlineStr">
        <is>
          <t>RAGUNDA</t>
        </is>
      </c>
      <c r="G400" t="n">
        <v>0.2</v>
      </c>
      <c r="H400" t="n">
        <v>0</v>
      </c>
      <c r="I400" t="n">
        <v>0</v>
      </c>
      <c r="J400" t="n">
        <v>0</v>
      </c>
      <c r="K400" t="n">
        <v>0</v>
      </c>
      <c r="L400" t="n">
        <v>0</v>
      </c>
      <c r="M400" t="n">
        <v>0</v>
      </c>
      <c r="N400" t="n">
        <v>0</v>
      </c>
      <c r="O400" t="n">
        <v>0</v>
      </c>
      <c r="P400" t="n">
        <v>0</v>
      </c>
      <c r="Q400" t="n">
        <v>0</v>
      </c>
      <c r="R400" s="2" t="inlineStr"/>
    </row>
    <row r="401" ht="15" customHeight="1">
      <c r="A401" t="inlineStr">
        <is>
          <t>A 67285-2019</t>
        </is>
      </c>
      <c r="B401" s="1" t="n">
        <v>43812</v>
      </c>
      <c r="C401" s="1" t="n">
        <v>45788</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68600-2019</t>
        </is>
      </c>
      <c r="B402" s="1" t="n">
        <v>43818</v>
      </c>
      <c r="C402" s="1" t="n">
        <v>45788</v>
      </c>
      <c r="D402" t="inlineStr">
        <is>
          <t>JÄMTLANDS LÄN</t>
        </is>
      </c>
      <c r="E402" t="inlineStr">
        <is>
          <t>RAGUNDA</t>
        </is>
      </c>
      <c r="G402" t="n">
        <v>0.2</v>
      </c>
      <c r="H402" t="n">
        <v>0</v>
      </c>
      <c r="I402" t="n">
        <v>0</v>
      </c>
      <c r="J402" t="n">
        <v>0</v>
      </c>
      <c r="K402" t="n">
        <v>0</v>
      </c>
      <c r="L402" t="n">
        <v>0</v>
      </c>
      <c r="M402" t="n">
        <v>0</v>
      </c>
      <c r="N402" t="n">
        <v>0</v>
      </c>
      <c r="O402" t="n">
        <v>0</v>
      </c>
      <c r="P402" t="n">
        <v>0</v>
      </c>
      <c r="Q402" t="n">
        <v>0</v>
      </c>
      <c r="R402" s="2" t="inlineStr"/>
    </row>
    <row r="403" ht="15" customHeight="1">
      <c r="A403" t="inlineStr">
        <is>
          <t>A 68601-2019</t>
        </is>
      </c>
      <c r="B403" s="1" t="n">
        <v>43818</v>
      </c>
      <c r="C403" s="1" t="n">
        <v>45788</v>
      </c>
      <c r="D403" t="inlineStr">
        <is>
          <t>JÄMTLANDS LÄN</t>
        </is>
      </c>
      <c r="E403" t="inlineStr">
        <is>
          <t>RAGUNDA</t>
        </is>
      </c>
      <c r="G403" t="n">
        <v>1.9</v>
      </c>
      <c r="H403" t="n">
        <v>0</v>
      </c>
      <c r="I403" t="n">
        <v>0</v>
      </c>
      <c r="J403" t="n">
        <v>0</v>
      </c>
      <c r="K403" t="n">
        <v>0</v>
      </c>
      <c r="L403" t="n">
        <v>0</v>
      </c>
      <c r="M403" t="n">
        <v>0</v>
      </c>
      <c r="N403" t="n">
        <v>0</v>
      </c>
      <c r="O403" t="n">
        <v>0</v>
      </c>
      <c r="P403" t="n">
        <v>0</v>
      </c>
      <c r="Q403" t="n">
        <v>0</v>
      </c>
      <c r="R403" s="2" t="inlineStr"/>
    </row>
    <row r="404" ht="15" customHeight="1">
      <c r="A404" t="inlineStr">
        <is>
          <t>A 68840-2019</t>
        </is>
      </c>
      <c r="B404" s="1" t="n">
        <v>43819</v>
      </c>
      <c r="C404" s="1" t="n">
        <v>45788</v>
      </c>
      <c r="D404" t="inlineStr">
        <is>
          <t>JÄMTLANDS LÄN</t>
        </is>
      </c>
      <c r="E404" t="inlineStr">
        <is>
          <t>RAGUNDA</t>
        </is>
      </c>
      <c r="G404" t="n">
        <v>2.2</v>
      </c>
      <c r="H404" t="n">
        <v>0</v>
      </c>
      <c r="I404" t="n">
        <v>0</v>
      </c>
      <c r="J404" t="n">
        <v>0</v>
      </c>
      <c r="K404" t="n">
        <v>0</v>
      </c>
      <c r="L404" t="n">
        <v>0</v>
      </c>
      <c r="M404" t="n">
        <v>0</v>
      </c>
      <c r="N404" t="n">
        <v>0</v>
      </c>
      <c r="O404" t="n">
        <v>0</v>
      </c>
      <c r="P404" t="n">
        <v>0</v>
      </c>
      <c r="Q404" t="n">
        <v>0</v>
      </c>
      <c r="R404" s="2" t="inlineStr"/>
    </row>
    <row r="405" ht="15" customHeight="1">
      <c r="A405" t="inlineStr">
        <is>
          <t>A 1784-2020</t>
        </is>
      </c>
      <c r="B405" s="1" t="n">
        <v>43833</v>
      </c>
      <c r="C405" s="1" t="n">
        <v>45788</v>
      </c>
      <c r="D405" t="inlineStr">
        <is>
          <t>JÄMTLANDS LÄN</t>
        </is>
      </c>
      <c r="E405" t="inlineStr">
        <is>
          <t>RAGUNDA</t>
        </is>
      </c>
      <c r="G405" t="n">
        <v>15.5</v>
      </c>
      <c r="H405" t="n">
        <v>0</v>
      </c>
      <c r="I405" t="n">
        <v>0</v>
      </c>
      <c r="J405" t="n">
        <v>0</v>
      </c>
      <c r="K405" t="n">
        <v>0</v>
      </c>
      <c r="L405" t="n">
        <v>0</v>
      </c>
      <c r="M405" t="n">
        <v>0</v>
      </c>
      <c r="N405" t="n">
        <v>0</v>
      </c>
      <c r="O405" t="n">
        <v>0</v>
      </c>
      <c r="P405" t="n">
        <v>0</v>
      </c>
      <c r="Q405" t="n">
        <v>0</v>
      </c>
      <c r="R405" s="2" t="inlineStr"/>
    </row>
    <row r="406" ht="15" customHeight="1">
      <c r="A406" t="inlineStr">
        <is>
          <t>A 2636-2020</t>
        </is>
      </c>
      <c r="B406" s="1" t="n">
        <v>43847</v>
      </c>
      <c r="C406" s="1" t="n">
        <v>45788</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2791-2020</t>
        </is>
      </c>
      <c r="B407" s="1" t="n">
        <v>43850</v>
      </c>
      <c r="C407" s="1" t="n">
        <v>45788</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6051-2020</t>
        </is>
      </c>
      <c r="B408" s="1" t="n">
        <v>43861</v>
      </c>
      <c r="C408" s="1" t="n">
        <v>45788</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7071-2020</t>
        </is>
      </c>
      <c r="B409" s="1" t="n">
        <v>43868</v>
      </c>
      <c r="C409" s="1" t="n">
        <v>45788</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7720-2020</t>
        </is>
      </c>
      <c r="B410" s="1" t="n">
        <v>43872</v>
      </c>
      <c r="C410" s="1" t="n">
        <v>45788</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8040-2020</t>
        </is>
      </c>
      <c r="B411" s="1" t="n">
        <v>43873</v>
      </c>
      <c r="C411" s="1" t="n">
        <v>45788</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9527-2020</t>
        </is>
      </c>
      <c r="B412" s="1" t="n">
        <v>43880</v>
      </c>
      <c r="C412" s="1" t="n">
        <v>45788</v>
      </c>
      <c r="D412" t="inlineStr">
        <is>
          <t>JÄMTLANDS LÄN</t>
        </is>
      </c>
      <c r="E412" t="inlineStr">
        <is>
          <t>RAGUNDA</t>
        </is>
      </c>
      <c r="G412" t="n">
        <v>4.7</v>
      </c>
      <c r="H412" t="n">
        <v>0</v>
      </c>
      <c r="I412" t="n">
        <v>0</v>
      </c>
      <c r="J412" t="n">
        <v>0</v>
      </c>
      <c r="K412" t="n">
        <v>0</v>
      </c>
      <c r="L412" t="n">
        <v>0</v>
      </c>
      <c r="M412" t="n">
        <v>0</v>
      </c>
      <c r="N412" t="n">
        <v>0</v>
      </c>
      <c r="O412" t="n">
        <v>0</v>
      </c>
      <c r="P412" t="n">
        <v>0</v>
      </c>
      <c r="Q412" t="n">
        <v>0</v>
      </c>
      <c r="R412" s="2" t="inlineStr"/>
    </row>
    <row r="413" ht="15" customHeight="1">
      <c r="A413" t="inlineStr">
        <is>
          <t>A 9823-2020</t>
        </is>
      </c>
      <c r="B413" s="1" t="n">
        <v>43881</v>
      </c>
      <c r="C413" s="1" t="n">
        <v>45788</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9962-2020</t>
        </is>
      </c>
      <c r="B414" s="1" t="n">
        <v>43882</v>
      </c>
      <c r="C414" s="1" t="n">
        <v>45788</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10642-2020</t>
        </is>
      </c>
      <c r="B415" s="1" t="n">
        <v>43887</v>
      </c>
      <c r="C415" s="1" t="n">
        <v>45788</v>
      </c>
      <c r="D415" t="inlineStr">
        <is>
          <t>JÄMTLANDS LÄN</t>
        </is>
      </c>
      <c r="E415" t="inlineStr">
        <is>
          <t>RAGUNDA</t>
        </is>
      </c>
      <c r="G415" t="n">
        <v>4.6</v>
      </c>
      <c r="H415" t="n">
        <v>0</v>
      </c>
      <c r="I415" t="n">
        <v>0</v>
      </c>
      <c r="J415" t="n">
        <v>0</v>
      </c>
      <c r="K415" t="n">
        <v>0</v>
      </c>
      <c r="L415" t="n">
        <v>0</v>
      </c>
      <c r="M415" t="n">
        <v>0</v>
      </c>
      <c r="N415" t="n">
        <v>0</v>
      </c>
      <c r="O415" t="n">
        <v>0</v>
      </c>
      <c r="P415" t="n">
        <v>0</v>
      </c>
      <c r="Q415" t="n">
        <v>0</v>
      </c>
      <c r="R415" s="2" t="inlineStr"/>
    </row>
    <row r="416" ht="15" customHeight="1">
      <c r="A416" t="inlineStr">
        <is>
          <t>A 13057-2020</t>
        </is>
      </c>
      <c r="B416" s="1" t="n">
        <v>43900</v>
      </c>
      <c r="C416" s="1" t="n">
        <v>45788</v>
      </c>
      <c r="D416" t="inlineStr">
        <is>
          <t>JÄMTLANDS LÄN</t>
        </is>
      </c>
      <c r="E416" t="inlineStr">
        <is>
          <t>RAGUNDA</t>
        </is>
      </c>
      <c r="G416" t="n">
        <v>10.8</v>
      </c>
      <c r="H416" t="n">
        <v>0</v>
      </c>
      <c r="I416" t="n">
        <v>0</v>
      </c>
      <c r="J416" t="n">
        <v>0</v>
      </c>
      <c r="K416" t="n">
        <v>0</v>
      </c>
      <c r="L416" t="n">
        <v>0</v>
      </c>
      <c r="M416" t="n">
        <v>0</v>
      </c>
      <c r="N416" t="n">
        <v>0</v>
      </c>
      <c r="O416" t="n">
        <v>0</v>
      </c>
      <c r="P416" t="n">
        <v>0</v>
      </c>
      <c r="Q416" t="n">
        <v>0</v>
      </c>
      <c r="R416" s="2" t="inlineStr"/>
    </row>
    <row r="417" ht="15" customHeight="1">
      <c r="A417" t="inlineStr">
        <is>
          <t>A 13202-2020</t>
        </is>
      </c>
      <c r="B417" s="1" t="n">
        <v>43901</v>
      </c>
      <c r="C417" s="1" t="n">
        <v>45788</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13563-2020</t>
        </is>
      </c>
      <c r="B418" s="1" t="n">
        <v>43902</v>
      </c>
      <c r="C418" s="1" t="n">
        <v>45788</v>
      </c>
      <c r="D418" t="inlineStr">
        <is>
          <t>JÄMTLANDS LÄN</t>
        </is>
      </c>
      <c r="E418" t="inlineStr">
        <is>
          <t>RAGUNDA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14293-2020</t>
        </is>
      </c>
      <c r="B419" s="1" t="n">
        <v>43907</v>
      </c>
      <c r="C419" s="1" t="n">
        <v>45788</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15117-2020</t>
        </is>
      </c>
      <c r="B420" s="1" t="n">
        <v>43910</v>
      </c>
      <c r="C420" s="1" t="n">
        <v>45788</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15118-2020</t>
        </is>
      </c>
      <c r="B421" s="1" t="n">
        <v>43910</v>
      </c>
      <c r="C421" s="1" t="n">
        <v>45788</v>
      </c>
      <c r="D421" t="inlineStr">
        <is>
          <t>JÄMTLANDS LÄN</t>
        </is>
      </c>
      <c r="E421" t="inlineStr">
        <is>
          <t>RAGUNDA</t>
        </is>
      </c>
      <c r="G421" t="n">
        <v>2.7</v>
      </c>
      <c r="H421" t="n">
        <v>0</v>
      </c>
      <c r="I421" t="n">
        <v>0</v>
      </c>
      <c r="J421" t="n">
        <v>0</v>
      </c>
      <c r="K421" t="n">
        <v>0</v>
      </c>
      <c r="L421" t="n">
        <v>0</v>
      </c>
      <c r="M421" t="n">
        <v>0</v>
      </c>
      <c r="N421" t="n">
        <v>0</v>
      </c>
      <c r="O421" t="n">
        <v>0</v>
      </c>
      <c r="P421" t="n">
        <v>0</v>
      </c>
      <c r="Q421" t="n">
        <v>0</v>
      </c>
      <c r="R421" s="2" t="inlineStr"/>
    </row>
    <row r="422" ht="15" customHeight="1">
      <c r="A422" t="inlineStr">
        <is>
          <t>A 15345-2020</t>
        </is>
      </c>
      <c r="B422" s="1" t="n">
        <v>43913</v>
      </c>
      <c r="C422" s="1" t="n">
        <v>45788</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17845-2020</t>
        </is>
      </c>
      <c r="B423" s="1" t="n">
        <v>43923</v>
      </c>
      <c r="C423" s="1" t="n">
        <v>45788</v>
      </c>
      <c r="D423" t="inlineStr">
        <is>
          <t>JÄMTLANDS LÄN</t>
        </is>
      </c>
      <c r="E423" t="inlineStr">
        <is>
          <t>RAGUNDA</t>
        </is>
      </c>
      <c r="G423" t="n">
        <v>12.1</v>
      </c>
      <c r="H423" t="n">
        <v>0</v>
      </c>
      <c r="I423" t="n">
        <v>0</v>
      </c>
      <c r="J423" t="n">
        <v>0</v>
      </c>
      <c r="K423" t="n">
        <v>0</v>
      </c>
      <c r="L423" t="n">
        <v>0</v>
      </c>
      <c r="M423" t="n">
        <v>0</v>
      </c>
      <c r="N423" t="n">
        <v>0</v>
      </c>
      <c r="O423" t="n">
        <v>0</v>
      </c>
      <c r="P423" t="n">
        <v>0</v>
      </c>
      <c r="Q423" t="n">
        <v>0</v>
      </c>
      <c r="R423" s="2" t="inlineStr"/>
    </row>
    <row r="424" ht="15" customHeight="1">
      <c r="A424" t="inlineStr">
        <is>
          <t>A 19918-2020</t>
        </is>
      </c>
      <c r="B424" s="1" t="n">
        <v>43943</v>
      </c>
      <c r="C424" s="1" t="n">
        <v>45788</v>
      </c>
      <c r="D424" t="inlineStr">
        <is>
          <t>JÄMTLANDS LÄN</t>
        </is>
      </c>
      <c r="E424" t="inlineStr">
        <is>
          <t>RAGUNDA</t>
        </is>
      </c>
      <c r="G424" t="n">
        <v>6.2</v>
      </c>
      <c r="H424" t="n">
        <v>0</v>
      </c>
      <c r="I424" t="n">
        <v>0</v>
      </c>
      <c r="J424" t="n">
        <v>0</v>
      </c>
      <c r="K424" t="n">
        <v>0</v>
      </c>
      <c r="L424" t="n">
        <v>0</v>
      </c>
      <c r="M424" t="n">
        <v>0</v>
      </c>
      <c r="N424" t="n">
        <v>0</v>
      </c>
      <c r="O424" t="n">
        <v>0</v>
      </c>
      <c r="P424" t="n">
        <v>0</v>
      </c>
      <c r="Q424" t="n">
        <v>0</v>
      </c>
      <c r="R424" s="2" t="inlineStr"/>
    </row>
    <row r="425" ht="15" customHeight="1">
      <c r="A425" t="inlineStr">
        <is>
          <t>A 20616-2020</t>
        </is>
      </c>
      <c r="B425" s="1" t="n">
        <v>43948</v>
      </c>
      <c r="C425" s="1" t="n">
        <v>45788</v>
      </c>
      <c r="D425" t="inlineStr">
        <is>
          <t>JÄMTLANDS LÄN</t>
        </is>
      </c>
      <c r="E425" t="inlineStr">
        <is>
          <t>RAGUNDA</t>
        </is>
      </c>
      <c r="G425" t="n">
        <v>4.1</v>
      </c>
      <c r="H425" t="n">
        <v>0</v>
      </c>
      <c r="I425" t="n">
        <v>0</v>
      </c>
      <c r="J425" t="n">
        <v>0</v>
      </c>
      <c r="K425" t="n">
        <v>0</v>
      </c>
      <c r="L425" t="n">
        <v>0</v>
      </c>
      <c r="M425" t="n">
        <v>0</v>
      </c>
      <c r="N425" t="n">
        <v>0</v>
      </c>
      <c r="O425" t="n">
        <v>0</v>
      </c>
      <c r="P425" t="n">
        <v>0</v>
      </c>
      <c r="Q425" t="n">
        <v>0</v>
      </c>
      <c r="R425" s="2" t="inlineStr"/>
    </row>
    <row r="426" ht="15" customHeight="1">
      <c r="A426" t="inlineStr">
        <is>
          <t>A 20815-2020</t>
        </is>
      </c>
      <c r="B426" s="1" t="n">
        <v>43949</v>
      </c>
      <c r="C426" s="1" t="n">
        <v>45788</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21172-2020</t>
        </is>
      </c>
      <c r="B427" s="1" t="n">
        <v>43951</v>
      </c>
      <c r="C427" s="1" t="n">
        <v>45788</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21419-2020</t>
        </is>
      </c>
      <c r="B428" s="1" t="n">
        <v>43955</v>
      </c>
      <c r="C428" s="1" t="n">
        <v>45788</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21418-2020</t>
        </is>
      </c>
      <c r="B429" s="1" t="n">
        <v>43955</v>
      </c>
      <c r="C429" s="1" t="n">
        <v>45788</v>
      </c>
      <c r="D429" t="inlineStr">
        <is>
          <t>JÄMTLANDS LÄN</t>
        </is>
      </c>
      <c r="E429" t="inlineStr">
        <is>
          <t>RAGUNDA</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21420-2020</t>
        </is>
      </c>
      <c r="B430" s="1" t="n">
        <v>43955</v>
      </c>
      <c r="C430" s="1" t="n">
        <v>45788</v>
      </c>
      <c r="D430" t="inlineStr">
        <is>
          <t>JÄMTLANDS LÄN</t>
        </is>
      </c>
      <c r="E430" t="inlineStr">
        <is>
          <t>RAGUNDA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21416-2020</t>
        </is>
      </c>
      <c r="B431" s="1" t="n">
        <v>43955</v>
      </c>
      <c r="C431" s="1" t="n">
        <v>45788</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21593-2020</t>
        </is>
      </c>
      <c r="B432" s="1" t="n">
        <v>43956</v>
      </c>
      <c r="C432" s="1" t="n">
        <v>45788</v>
      </c>
      <c r="D432" t="inlineStr">
        <is>
          <t>JÄMTLANDS LÄN</t>
        </is>
      </c>
      <c r="E432" t="inlineStr">
        <is>
          <t>RAGUNDA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21681-2020</t>
        </is>
      </c>
      <c r="B433" s="1" t="n">
        <v>43957</v>
      </c>
      <c r="C433" s="1" t="n">
        <v>45788</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22108-2020</t>
        </is>
      </c>
      <c r="B434" s="1" t="n">
        <v>43960</v>
      </c>
      <c r="C434" s="1" t="n">
        <v>45788</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22115-2020</t>
        </is>
      </c>
      <c r="B435" s="1" t="n">
        <v>43960</v>
      </c>
      <c r="C435" s="1" t="n">
        <v>45788</v>
      </c>
      <c r="D435" t="inlineStr">
        <is>
          <t>JÄMTLANDS LÄN</t>
        </is>
      </c>
      <c r="E435" t="inlineStr">
        <is>
          <t>RAGUNDA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22948-2020</t>
        </is>
      </c>
      <c r="B436" s="1" t="n">
        <v>43965</v>
      </c>
      <c r="C436" s="1" t="n">
        <v>45788</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23633-2020</t>
        </is>
      </c>
      <c r="B437" s="1" t="n">
        <v>43969</v>
      </c>
      <c r="C437" s="1" t="n">
        <v>45788</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24033-2020</t>
        </is>
      </c>
      <c r="B438" s="1" t="n">
        <v>43971</v>
      </c>
      <c r="C438" s="1" t="n">
        <v>45788</v>
      </c>
      <c r="D438" t="inlineStr">
        <is>
          <t>JÄMTLANDS LÄN</t>
        </is>
      </c>
      <c r="E438" t="inlineStr">
        <is>
          <t>RAGUNDA</t>
        </is>
      </c>
      <c r="G438" t="n">
        <v>3.9</v>
      </c>
      <c r="H438" t="n">
        <v>0</v>
      </c>
      <c r="I438" t="n">
        <v>0</v>
      </c>
      <c r="J438" t="n">
        <v>0</v>
      </c>
      <c r="K438" t="n">
        <v>0</v>
      </c>
      <c r="L438" t="n">
        <v>0</v>
      </c>
      <c r="M438" t="n">
        <v>0</v>
      </c>
      <c r="N438" t="n">
        <v>0</v>
      </c>
      <c r="O438" t="n">
        <v>0</v>
      </c>
      <c r="P438" t="n">
        <v>0</v>
      </c>
      <c r="Q438" t="n">
        <v>0</v>
      </c>
      <c r="R438" s="2" t="inlineStr"/>
    </row>
    <row r="439" ht="15" customHeight="1">
      <c r="A439" t="inlineStr">
        <is>
          <t>A 24032-2020</t>
        </is>
      </c>
      <c r="B439" s="1" t="n">
        <v>43971</v>
      </c>
      <c r="C439" s="1" t="n">
        <v>45788</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24640-2020</t>
        </is>
      </c>
      <c r="B440" s="1" t="n">
        <v>43977</v>
      </c>
      <c r="C440" s="1" t="n">
        <v>45788</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25115-2020</t>
        </is>
      </c>
      <c r="B441" s="1" t="n">
        <v>43979</v>
      </c>
      <c r="C441" s="1" t="n">
        <v>45788</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25927-2020</t>
        </is>
      </c>
      <c r="B442" s="1" t="n">
        <v>43984</v>
      </c>
      <c r="C442" s="1" t="n">
        <v>45788</v>
      </c>
      <c r="D442" t="inlineStr">
        <is>
          <t>JÄMTLANDS LÄN</t>
        </is>
      </c>
      <c r="E442" t="inlineStr">
        <is>
          <t>RAGUNDA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25934-2020</t>
        </is>
      </c>
      <c r="B443" s="1" t="n">
        <v>43984</v>
      </c>
      <c r="C443" s="1" t="n">
        <v>45788</v>
      </c>
      <c r="D443" t="inlineStr">
        <is>
          <t>JÄMTLANDS LÄN</t>
        </is>
      </c>
      <c r="E443" t="inlineStr">
        <is>
          <t>RAGUNDA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26264-2020</t>
        </is>
      </c>
      <c r="B444" s="1" t="n">
        <v>43986</v>
      </c>
      <c r="C444" s="1" t="n">
        <v>45788</v>
      </c>
      <c r="D444" t="inlineStr">
        <is>
          <t>JÄMTLANDS LÄN</t>
        </is>
      </c>
      <c r="E444" t="inlineStr">
        <is>
          <t>RAGUNDA</t>
        </is>
      </c>
      <c r="F444" t="inlineStr">
        <is>
          <t>Kommuner</t>
        </is>
      </c>
      <c r="G444" t="n">
        <v>5.5</v>
      </c>
      <c r="H444" t="n">
        <v>0</v>
      </c>
      <c r="I444" t="n">
        <v>0</v>
      </c>
      <c r="J444" t="n">
        <v>0</v>
      </c>
      <c r="K444" t="n">
        <v>0</v>
      </c>
      <c r="L444" t="n">
        <v>0</v>
      </c>
      <c r="M444" t="n">
        <v>0</v>
      </c>
      <c r="N444" t="n">
        <v>0</v>
      </c>
      <c r="O444" t="n">
        <v>0</v>
      </c>
      <c r="P444" t="n">
        <v>0</v>
      </c>
      <c r="Q444" t="n">
        <v>0</v>
      </c>
      <c r="R444" s="2" t="inlineStr"/>
    </row>
    <row r="445" ht="15" customHeight="1">
      <c r="A445" t="inlineStr">
        <is>
          <t>A 26262-2020</t>
        </is>
      </c>
      <c r="B445" s="1" t="n">
        <v>43986</v>
      </c>
      <c r="C445" s="1" t="n">
        <v>45788</v>
      </c>
      <c r="D445" t="inlineStr">
        <is>
          <t>JÄMTLANDS LÄN</t>
        </is>
      </c>
      <c r="E445" t="inlineStr">
        <is>
          <t>RAGUNDA</t>
        </is>
      </c>
      <c r="F445" t="inlineStr">
        <is>
          <t>Kommuner</t>
        </is>
      </c>
      <c r="G445" t="n">
        <v>3.3</v>
      </c>
      <c r="H445" t="n">
        <v>0</v>
      </c>
      <c r="I445" t="n">
        <v>0</v>
      </c>
      <c r="J445" t="n">
        <v>0</v>
      </c>
      <c r="K445" t="n">
        <v>0</v>
      </c>
      <c r="L445" t="n">
        <v>0</v>
      </c>
      <c r="M445" t="n">
        <v>0</v>
      </c>
      <c r="N445" t="n">
        <v>0</v>
      </c>
      <c r="O445" t="n">
        <v>0</v>
      </c>
      <c r="P445" t="n">
        <v>0</v>
      </c>
      <c r="Q445" t="n">
        <v>0</v>
      </c>
      <c r="R445" s="2" t="inlineStr"/>
    </row>
    <row r="446" ht="15" customHeight="1">
      <c r="A446" t="inlineStr">
        <is>
          <t>A 26966-2020</t>
        </is>
      </c>
      <c r="B446" s="1" t="n">
        <v>43990</v>
      </c>
      <c r="C446" s="1" t="n">
        <v>45788</v>
      </c>
      <c r="D446" t="inlineStr">
        <is>
          <t>JÄMTLANDS LÄN</t>
        </is>
      </c>
      <c r="E446" t="inlineStr">
        <is>
          <t>RAGUNDA</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27366-2020</t>
        </is>
      </c>
      <c r="B447" s="1" t="n">
        <v>43992</v>
      </c>
      <c r="C447" s="1" t="n">
        <v>45788</v>
      </c>
      <c r="D447" t="inlineStr">
        <is>
          <t>JÄMTLANDS LÄN</t>
        </is>
      </c>
      <c r="E447" t="inlineStr">
        <is>
          <t>RAGUNDA</t>
        </is>
      </c>
      <c r="G447" t="n">
        <v>2.5</v>
      </c>
      <c r="H447" t="n">
        <v>0</v>
      </c>
      <c r="I447" t="n">
        <v>0</v>
      </c>
      <c r="J447" t="n">
        <v>0</v>
      </c>
      <c r="K447" t="n">
        <v>0</v>
      </c>
      <c r="L447" t="n">
        <v>0</v>
      </c>
      <c r="M447" t="n">
        <v>0</v>
      </c>
      <c r="N447" t="n">
        <v>0</v>
      </c>
      <c r="O447" t="n">
        <v>0</v>
      </c>
      <c r="P447" t="n">
        <v>0</v>
      </c>
      <c r="Q447" t="n">
        <v>0</v>
      </c>
      <c r="R447" s="2" t="inlineStr"/>
    </row>
    <row r="448" ht="15" customHeight="1">
      <c r="A448" t="inlineStr">
        <is>
          <t>A 28776-2020</t>
        </is>
      </c>
      <c r="B448" s="1" t="n">
        <v>43999</v>
      </c>
      <c r="C448" s="1" t="n">
        <v>45788</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29382-2020</t>
        </is>
      </c>
      <c r="B449" s="1" t="n">
        <v>44000</v>
      </c>
      <c r="C449" s="1" t="n">
        <v>45788</v>
      </c>
      <c r="D449" t="inlineStr">
        <is>
          <t>JÄMTLANDS LÄN</t>
        </is>
      </c>
      <c r="E449" t="inlineStr">
        <is>
          <t>RAGUNDA</t>
        </is>
      </c>
      <c r="G449" t="n">
        <v>46.1</v>
      </c>
      <c r="H449" t="n">
        <v>0</v>
      </c>
      <c r="I449" t="n">
        <v>0</v>
      </c>
      <c r="J449" t="n">
        <v>0</v>
      </c>
      <c r="K449" t="n">
        <v>0</v>
      </c>
      <c r="L449" t="n">
        <v>0</v>
      </c>
      <c r="M449" t="n">
        <v>0</v>
      </c>
      <c r="N449" t="n">
        <v>0</v>
      </c>
      <c r="O449" t="n">
        <v>0</v>
      </c>
      <c r="P449" t="n">
        <v>0</v>
      </c>
      <c r="Q449" t="n">
        <v>0</v>
      </c>
      <c r="R449" s="2" t="inlineStr"/>
    </row>
    <row r="450" ht="15" customHeight="1">
      <c r="A450" t="inlineStr">
        <is>
          <t>A 29499-2020</t>
        </is>
      </c>
      <c r="B450" s="1" t="n">
        <v>44004</v>
      </c>
      <c r="C450" s="1" t="n">
        <v>45788</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30110-2020</t>
        </is>
      </c>
      <c r="B451" s="1" t="n">
        <v>44006</v>
      </c>
      <c r="C451" s="1" t="n">
        <v>45788</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31043-2020</t>
        </is>
      </c>
      <c r="B452" s="1" t="n">
        <v>44011</v>
      </c>
      <c r="C452" s="1" t="n">
        <v>45788</v>
      </c>
      <c r="D452" t="inlineStr">
        <is>
          <t>JÄMTLANDS LÄN</t>
        </is>
      </c>
      <c r="E452" t="inlineStr">
        <is>
          <t>RAGUNDA</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31649-2020</t>
        </is>
      </c>
      <c r="B453" s="1" t="n">
        <v>44013</v>
      </c>
      <c r="C453" s="1" t="n">
        <v>45788</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31651-2020</t>
        </is>
      </c>
      <c r="B454" s="1" t="n">
        <v>44013</v>
      </c>
      <c r="C454" s="1" t="n">
        <v>45788</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31652-2020</t>
        </is>
      </c>
      <c r="B455" s="1" t="n">
        <v>44013</v>
      </c>
      <c r="C455" s="1" t="n">
        <v>45788</v>
      </c>
      <c r="D455" t="inlineStr">
        <is>
          <t>JÄMTLANDS LÄN</t>
        </is>
      </c>
      <c r="E455" t="inlineStr">
        <is>
          <t>RAGUNDA</t>
        </is>
      </c>
      <c r="F455" t="inlineStr">
        <is>
          <t>SCA</t>
        </is>
      </c>
      <c r="G455" t="n">
        <v>22.1</v>
      </c>
      <c r="H455" t="n">
        <v>0</v>
      </c>
      <c r="I455" t="n">
        <v>0</v>
      </c>
      <c r="J455" t="n">
        <v>0</v>
      </c>
      <c r="K455" t="n">
        <v>0</v>
      </c>
      <c r="L455" t="n">
        <v>0</v>
      </c>
      <c r="M455" t="n">
        <v>0</v>
      </c>
      <c r="N455" t="n">
        <v>0</v>
      </c>
      <c r="O455" t="n">
        <v>0</v>
      </c>
      <c r="P455" t="n">
        <v>0</v>
      </c>
      <c r="Q455" t="n">
        <v>0</v>
      </c>
      <c r="R455" s="2" t="inlineStr"/>
    </row>
    <row r="456" ht="15" customHeight="1">
      <c r="A456" t="inlineStr">
        <is>
          <t>A 32780-2020</t>
        </is>
      </c>
      <c r="B456" s="1" t="n">
        <v>44019</v>
      </c>
      <c r="C456" s="1" t="n">
        <v>45788</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33644-2020</t>
        </is>
      </c>
      <c r="B457" s="1" t="n">
        <v>44026</v>
      </c>
      <c r="C457" s="1" t="n">
        <v>45788</v>
      </c>
      <c r="D457" t="inlineStr">
        <is>
          <t>JÄMTLANDS LÄN</t>
        </is>
      </c>
      <c r="E457" t="inlineStr">
        <is>
          <t>RAGUNDA</t>
        </is>
      </c>
      <c r="G457" t="n">
        <v>4.8</v>
      </c>
      <c r="H457" t="n">
        <v>0</v>
      </c>
      <c r="I457" t="n">
        <v>0</v>
      </c>
      <c r="J457" t="n">
        <v>0</v>
      </c>
      <c r="K457" t="n">
        <v>0</v>
      </c>
      <c r="L457" t="n">
        <v>0</v>
      </c>
      <c r="M457" t="n">
        <v>0</v>
      </c>
      <c r="N457" t="n">
        <v>0</v>
      </c>
      <c r="O457" t="n">
        <v>0</v>
      </c>
      <c r="P457" t="n">
        <v>0</v>
      </c>
      <c r="Q457" t="n">
        <v>0</v>
      </c>
      <c r="R457" s="2" t="inlineStr"/>
    </row>
    <row r="458" ht="15" customHeight="1">
      <c r="A458" t="inlineStr">
        <is>
          <t>A 33932-2020</t>
        </is>
      </c>
      <c r="B458" s="1" t="n">
        <v>44027</v>
      </c>
      <c r="C458" s="1" t="n">
        <v>45788</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34204-2020</t>
        </is>
      </c>
      <c r="B459" s="1" t="n">
        <v>44029</v>
      </c>
      <c r="C459" s="1" t="n">
        <v>45788</v>
      </c>
      <c r="D459" t="inlineStr">
        <is>
          <t>JÄMTLANDS LÄN</t>
        </is>
      </c>
      <c r="E459" t="inlineStr">
        <is>
          <t>RAGUNDA</t>
        </is>
      </c>
      <c r="G459" t="n">
        <v>22.5</v>
      </c>
      <c r="H459" t="n">
        <v>0</v>
      </c>
      <c r="I459" t="n">
        <v>0</v>
      </c>
      <c r="J459" t="n">
        <v>0</v>
      </c>
      <c r="K459" t="n">
        <v>0</v>
      </c>
      <c r="L459" t="n">
        <v>0</v>
      </c>
      <c r="M459" t="n">
        <v>0</v>
      </c>
      <c r="N459" t="n">
        <v>0</v>
      </c>
      <c r="O459" t="n">
        <v>0</v>
      </c>
      <c r="P459" t="n">
        <v>0</v>
      </c>
      <c r="Q459" t="n">
        <v>0</v>
      </c>
      <c r="R459" s="2" t="inlineStr"/>
    </row>
    <row r="460" ht="15" customHeight="1">
      <c r="A460" t="inlineStr">
        <is>
          <t>A 34251-2020</t>
        </is>
      </c>
      <c r="B460" s="1" t="n">
        <v>44029</v>
      </c>
      <c r="C460" s="1" t="n">
        <v>45788</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35193-2020</t>
        </is>
      </c>
      <c r="B461" s="1" t="n">
        <v>44040</v>
      </c>
      <c r="C461" s="1" t="n">
        <v>45788</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35365-2020</t>
        </is>
      </c>
      <c r="B462" s="1" t="n">
        <v>44041</v>
      </c>
      <c r="C462" s="1" t="n">
        <v>45788</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36674-2020</t>
        </is>
      </c>
      <c r="B463" s="1" t="n">
        <v>44051</v>
      </c>
      <c r="C463" s="1" t="n">
        <v>45788</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36676-2020</t>
        </is>
      </c>
      <c r="B464" s="1" t="n">
        <v>44051</v>
      </c>
      <c r="C464" s="1" t="n">
        <v>45788</v>
      </c>
      <c r="D464" t="inlineStr">
        <is>
          <t>JÄMTLANDS LÄN</t>
        </is>
      </c>
      <c r="E464" t="inlineStr">
        <is>
          <t>RAGUNDA</t>
        </is>
      </c>
      <c r="G464" t="n">
        <v>0.8</v>
      </c>
      <c r="H464" t="n">
        <v>0</v>
      </c>
      <c r="I464" t="n">
        <v>0</v>
      </c>
      <c r="J464" t="n">
        <v>0</v>
      </c>
      <c r="K464" t="n">
        <v>0</v>
      </c>
      <c r="L464" t="n">
        <v>0</v>
      </c>
      <c r="M464" t="n">
        <v>0</v>
      </c>
      <c r="N464" t="n">
        <v>0</v>
      </c>
      <c r="O464" t="n">
        <v>0</v>
      </c>
      <c r="P464" t="n">
        <v>0</v>
      </c>
      <c r="Q464" t="n">
        <v>0</v>
      </c>
      <c r="R464" s="2" t="inlineStr"/>
    </row>
    <row r="465" ht="15" customHeight="1">
      <c r="A465" t="inlineStr">
        <is>
          <t>A 37498-2020</t>
        </is>
      </c>
      <c r="B465" s="1" t="n">
        <v>44055</v>
      </c>
      <c r="C465" s="1" t="n">
        <v>45788</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39474-2020</t>
        </is>
      </c>
      <c r="B466" s="1" t="n">
        <v>44056</v>
      </c>
      <c r="C466" s="1" t="n">
        <v>45788</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38106-2020</t>
        </is>
      </c>
      <c r="B467" s="1" t="n">
        <v>44057</v>
      </c>
      <c r="C467" s="1" t="n">
        <v>45788</v>
      </c>
      <c r="D467" t="inlineStr">
        <is>
          <t>JÄMTLANDS LÄN</t>
        </is>
      </c>
      <c r="E467" t="inlineStr">
        <is>
          <t>RAGUNDA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38098-2020</t>
        </is>
      </c>
      <c r="B468" s="1" t="n">
        <v>44057</v>
      </c>
      <c r="C468" s="1" t="n">
        <v>45788</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39040-2020</t>
        </is>
      </c>
      <c r="B469" s="1" t="n">
        <v>44062</v>
      </c>
      <c r="C469" s="1" t="n">
        <v>45788</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39340-2020</t>
        </is>
      </c>
      <c r="B470" s="1" t="n">
        <v>44063</v>
      </c>
      <c r="C470" s="1" t="n">
        <v>45788</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40051-2020</t>
        </is>
      </c>
      <c r="B471" s="1" t="n">
        <v>44067</v>
      </c>
      <c r="C471" s="1" t="n">
        <v>45788</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40316-2020</t>
        </is>
      </c>
      <c r="B472" s="1" t="n">
        <v>44068</v>
      </c>
      <c r="C472" s="1" t="n">
        <v>45788</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40742-2020</t>
        </is>
      </c>
      <c r="B473" s="1" t="n">
        <v>44069</v>
      </c>
      <c r="C473" s="1" t="n">
        <v>45788</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41346-2020</t>
        </is>
      </c>
      <c r="B474" s="1" t="n">
        <v>44071</v>
      </c>
      <c r="C474" s="1" t="n">
        <v>45788</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41889-2020</t>
        </is>
      </c>
      <c r="B475" s="1" t="n">
        <v>44075</v>
      </c>
      <c r="C475" s="1" t="n">
        <v>45788</v>
      </c>
      <c r="D475" t="inlineStr">
        <is>
          <t>JÄMTLANDS LÄN</t>
        </is>
      </c>
      <c r="E475" t="inlineStr">
        <is>
          <t>RAGUNDA</t>
        </is>
      </c>
      <c r="F475" t="inlineStr">
        <is>
          <t>SCA</t>
        </is>
      </c>
      <c r="G475" t="n">
        <v>11.4</v>
      </c>
      <c r="H475" t="n">
        <v>0</v>
      </c>
      <c r="I475" t="n">
        <v>0</v>
      </c>
      <c r="J475" t="n">
        <v>0</v>
      </c>
      <c r="K475" t="n">
        <v>0</v>
      </c>
      <c r="L475" t="n">
        <v>0</v>
      </c>
      <c r="M475" t="n">
        <v>0</v>
      </c>
      <c r="N475" t="n">
        <v>0</v>
      </c>
      <c r="O475" t="n">
        <v>0</v>
      </c>
      <c r="P475" t="n">
        <v>0</v>
      </c>
      <c r="Q475" t="n">
        <v>0</v>
      </c>
      <c r="R475" s="2" t="inlineStr"/>
    </row>
    <row r="476" ht="15" customHeight="1">
      <c r="A476" t="inlineStr">
        <is>
          <t>A 41875-2020</t>
        </is>
      </c>
      <c r="B476" s="1" t="n">
        <v>44074</v>
      </c>
      <c r="C476" s="1" t="n">
        <v>45788</v>
      </c>
      <c r="D476" t="inlineStr">
        <is>
          <t>JÄMTLANDS LÄN</t>
        </is>
      </c>
      <c r="E476" t="inlineStr">
        <is>
          <t>RAGUNDA</t>
        </is>
      </c>
      <c r="F476" t="inlineStr">
        <is>
          <t>Naturvårdsverket</t>
        </is>
      </c>
      <c r="G476" t="n">
        <v>3.3</v>
      </c>
      <c r="H476" t="n">
        <v>0</v>
      </c>
      <c r="I476" t="n">
        <v>0</v>
      </c>
      <c r="J476" t="n">
        <v>0</v>
      </c>
      <c r="K476" t="n">
        <v>0</v>
      </c>
      <c r="L476" t="n">
        <v>0</v>
      </c>
      <c r="M476" t="n">
        <v>0</v>
      </c>
      <c r="N476" t="n">
        <v>0</v>
      </c>
      <c r="O476" t="n">
        <v>0</v>
      </c>
      <c r="P476" t="n">
        <v>0</v>
      </c>
      <c r="Q476" t="n">
        <v>0</v>
      </c>
      <c r="R476" s="2" t="inlineStr"/>
    </row>
    <row r="477" ht="15" customHeight="1">
      <c r="A477" t="inlineStr">
        <is>
          <t>A 41887-2020</t>
        </is>
      </c>
      <c r="B477" s="1" t="n">
        <v>44074</v>
      </c>
      <c r="C477" s="1" t="n">
        <v>45788</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41885-2020</t>
        </is>
      </c>
      <c r="B478" s="1" t="n">
        <v>44074</v>
      </c>
      <c r="C478" s="1" t="n">
        <v>45788</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42208-2020</t>
        </is>
      </c>
      <c r="B479" s="1" t="n">
        <v>44075</v>
      </c>
      <c r="C479" s="1" t="n">
        <v>45788</v>
      </c>
      <c r="D479" t="inlineStr">
        <is>
          <t>JÄMTLANDS LÄN</t>
        </is>
      </c>
      <c r="E479" t="inlineStr">
        <is>
          <t>RAGUNDA</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42899-2020</t>
        </is>
      </c>
      <c r="B480" s="1" t="n">
        <v>44078</v>
      </c>
      <c r="C480" s="1" t="n">
        <v>45788</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43828-2020</t>
        </is>
      </c>
      <c r="B481" s="1" t="n">
        <v>44082</v>
      </c>
      <c r="C481" s="1" t="n">
        <v>45788</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44511-2020</t>
        </is>
      </c>
      <c r="B482" s="1" t="n">
        <v>44084</v>
      </c>
      <c r="C482" s="1" t="n">
        <v>45788</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44498-2020</t>
        </is>
      </c>
      <c r="B483" s="1" t="n">
        <v>44084</v>
      </c>
      <c r="C483" s="1" t="n">
        <v>45788</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45272-2020</t>
        </is>
      </c>
      <c r="B484" s="1" t="n">
        <v>44084</v>
      </c>
      <c r="C484" s="1" t="n">
        <v>45788</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46920-2020</t>
        </is>
      </c>
      <c r="B485" s="1" t="n">
        <v>44090</v>
      </c>
      <c r="C485" s="1" t="n">
        <v>45788</v>
      </c>
      <c r="D485" t="inlineStr">
        <is>
          <t>JÄMTLANDS LÄN</t>
        </is>
      </c>
      <c r="E485" t="inlineStr">
        <is>
          <t>RAGUNDA</t>
        </is>
      </c>
      <c r="G485" t="n">
        <v>4</v>
      </c>
      <c r="H485" t="n">
        <v>0</v>
      </c>
      <c r="I485" t="n">
        <v>0</v>
      </c>
      <c r="J485" t="n">
        <v>0</v>
      </c>
      <c r="K485" t="n">
        <v>0</v>
      </c>
      <c r="L485" t="n">
        <v>0</v>
      </c>
      <c r="M485" t="n">
        <v>0</v>
      </c>
      <c r="N485" t="n">
        <v>0</v>
      </c>
      <c r="O485" t="n">
        <v>0</v>
      </c>
      <c r="P485" t="n">
        <v>0</v>
      </c>
      <c r="Q485" t="n">
        <v>0</v>
      </c>
      <c r="R485" s="2" t="inlineStr"/>
    </row>
    <row r="486" ht="15" customHeight="1">
      <c r="A486" t="inlineStr">
        <is>
          <t>A 46496-2020</t>
        </is>
      </c>
      <c r="B486" s="1" t="n">
        <v>44095</v>
      </c>
      <c r="C486" s="1" t="n">
        <v>45788</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47122-2020</t>
        </is>
      </c>
      <c r="B487" s="1" t="n">
        <v>44096</v>
      </c>
      <c r="C487" s="1" t="n">
        <v>45788</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47131-2020</t>
        </is>
      </c>
      <c r="B488" s="1" t="n">
        <v>44096</v>
      </c>
      <c r="C488" s="1" t="n">
        <v>45788</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47825-2020</t>
        </is>
      </c>
      <c r="B489" s="1" t="n">
        <v>44098</v>
      </c>
      <c r="C489" s="1" t="n">
        <v>45788</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48056-2020</t>
        </is>
      </c>
      <c r="B490" s="1" t="n">
        <v>44099</v>
      </c>
      <c r="C490" s="1" t="n">
        <v>45788</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48806-2020</t>
        </is>
      </c>
      <c r="B491" s="1" t="n">
        <v>44103</v>
      </c>
      <c r="C491" s="1" t="n">
        <v>45788</v>
      </c>
      <c r="D491" t="inlineStr">
        <is>
          <t>JÄMTLANDS LÄN</t>
        </is>
      </c>
      <c r="E491" t="inlineStr">
        <is>
          <t>RAGUNDA</t>
        </is>
      </c>
      <c r="F491" t="inlineStr">
        <is>
          <t>Naturvårdsverket</t>
        </is>
      </c>
      <c r="G491" t="n">
        <v>3</v>
      </c>
      <c r="H491" t="n">
        <v>0</v>
      </c>
      <c r="I491" t="n">
        <v>0</v>
      </c>
      <c r="J491" t="n">
        <v>0</v>
      </c>
      <c r="K491" t="n">
        <v>0</v>
      </c>
      <c r="L491" t="n">
        <v>0</v>
      </c>
      <c r="M491" t="n">
        <v>0</v>
      </c>
      <c r="N491" t="n">
        <v>0</v>
      </c>
      <c r="O491" t="n">
        <v>0</v>
      </c>
      <c r="P491" t="n">
        <v>0</v>
      </c>
      <c r="Q491" t="n">
        <v>0</v>
      </c>
      <c r="R491" s="2" t="inlineStr"/>
    </row>
    <row r="492" ht="15" customHeight="1">
      <c r="A492" t="inlineStr">
        <is>
          <t>A 51481-2020</t>
        </is>
      </c>
      <c r="B492" s="1" t="n">
        <v>44106</v>
      </c>
      <c r="C492" s="1" t="n">
        <v>45788</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50988-2020</t>
        </is>
      </c>
      <c r="B493" s="1" t="n">
        <v>44111</v>
      </c>
      <c r="C493" s="1" t="n">
        <v>45788</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51016-2020</t>
        </is>
      </c>
      <c r="B494" s="1" t="n">
        <v>44111</v>
      </c>
      <c r="C494" s="1" t="n">
        <v>45788</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51004-2020</t>
        </is>
      </c>
      <c r="B495" s="1" t="n">
        <v>44111</v>
      </c>
      <c r="C495" s="1" t="n">
        <v>45788</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51685-2020</t>
        </is>
      </c>
      <c r="B496" s="1" t="n">
        <v>44113</v>
      </c>
      <c r="C496" s="1" t="n">
        <v>45788</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53522-2020</t>
        </is>
      </c>
      <c r="B497" s="1" t="n">
        <v>44124</v>
      </c>
      <c r="C497" s="1" t="n">
        <v>45788</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54199-2020</t>
        </is>
      </c>
      <c r="B498" s="1" t="n">
        <v>44126</v>
      </c>
      <c r="C498" s="1" t="n">
        <v>45788</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54580-2020</t>
        </is>
      </c>
      <c r="B499" s="1" t="n">
        <v>44126</v>
      </c>
      <c r="C499" s="1" t="n">
        <v>45788</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55309-2020</t>
        </is>
      </c>
      <c r="B500" s="1" t="n">
        <v>44130</v>
      </c>
      <c r="C500" s="1" t="n">
        <v>45788</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55926-2020</t>
        </is>
      </c>
      <c r="B501" s="1" t="n">
        <v>44132</v>
      </c>
      <c r="C501" s="1" t="n">
        <v>45788</v>
      </c>
      <c r="D501" t="inlineStr">
        <is>
          <t>JÄMTLANDS LÄN</t>
        </is>
      </c>
      <c r="E501" t="inlineStr">
        <is>
          <t>RAGUNDA</t>
        </is>
      </c>
      <c r="F501" t="inlineStr">
        <is>
          <t>SCA</t>
        </is>
      </c>
      <c r="G501" t="n">
        <v>11.5</v>
      </c>
      <c r="H501" t="n">
        <v>0</v>
      </c>
      <c r="I501" t="n">
        <v>0</v>
      </c>
      <c r="J501" t="n">
        <v>0</v>
      </c>
      <c r="K501" t="n">
        <v>0</v>
      </c>
      <c r="L501" t="n">
        <v>0</v>
      </c>
      <c r="M501" t="n">
        <v>0</v>
      </c>
      <c r="N501" t="n">
        <v>0</v>
      </c>
      <c r="O501" t="n">
        <v>0</v>
      </c>
      <c r="P501" t="n">
        <v>0</v>
      </c>
      <c r="Q501" t="n">
        <v>0</v>
      </c>
      <c r="R501" s="2" t="inlineStr"/>
    </row>
    <row r="502" ht="15" customHeight="1">
      <c r="A502" t="inlineStr">
        <is>
          <t>A 56339-2020</t>
        </is>
      </c>
      <c r="B502" s="1" t="n">
        <v>44134</v>
      </c>
      <c r="C502" s="1" t="n">
        <v>45788</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56760-2020</t>
        </is>
      </c>
      <c r="B503" s="1" t="n">
        <v>44137</v>
      </c>
      <c r="C503" s="1" t="n">
        <v>45788</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57246-2020</t>
        </is>
      </c>
      <c r="B504" s="1" t="n">
        <v>44138</v>
      </c>
      <c r="C504" s="1" t="n">
        <v>45788</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57731-2020</t>
        </is>
      </c>
      <c r="B505" s="1" t="n">
        <v>44140</v>
      </c>
      <c r="C505" s="1" t="n">
        <v>45788</v>
      </c>
      <c r="D505" t="inlineStr">
        <is>
          <t>JÄMTLANDS LÄN</t>
        </is>
      </c>
      <c r="E505" t="inlineStr">
        <is>
          <t>RAGUNDA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57717-2020</t>
        </is>
      </c>
      <c r="B506" s="1" t="n">
        <v>44140</v>
      </c>
      <c r="C506" s="1" t="n">
        <v>45788</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57730-2020</t>
        </is>
      </c>
      <c r="B507" s="1" t="n">
        <v>44140</v>
      </c>
      <c r="C507" s="1" t="n">
        <v>45788</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57713-2020</t>
        </is>
      </c>
      <c r="B508" s="1" t="n">
        <v>44140</v>
      </c>
      <c r="C508" s="1" t="n">
        <v>45788</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57941-2020</t>
        </is>
      </c>
      <c r="B509" s="1" t="n">
        <v>44141</v>
      </c>
      <c r="C509" s="1" t="n">
        <v>45788</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60744-2020</t>
        </is>
      </c>
      <c r="B510" s="1" t="n">
        <v>44153</v>
      </c>
      <c r="C510" s="1" t="n">
        <v>45788</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61088-2020</t>
        </is>
      </c>
      <c r="B511" s="1" t="n">
        <v>44153</v>
      </c>
      <c r="C511" s="1" t="n">
        <v>45788</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61395-2020</t>
        </is>
      </c>
      <c r="B512" s="1" t="n">
        <v>44155</v>
      </c>
      <c r="C512" s="1" t="n">
        <v>45788</v>
      </c>
      <c r="D512" t="inlineStr">
        <is>
          <t>JÄMTLANDS LÄN</t>
        </is>
      </c>
      <c r="E512" t="inlineStr">
        <is>
          <t>RAGUNDA</t>
        </is>
      </c>
      <c r="G512" t="n">
        <v>4.7</v>
      </c>
      <c r="H512" t="n">
        <v>0</v>
      </c>
      <c r="I512" t="n">
        <v>0</v>
      </c>
      <c r="J512" t="n">
        <v>0</v>
      </c>
      <c r="K512" t="n">
        <v>0</v>
      </c>
      <c r="L512" t="n">
        <v>0</v>
      </c>
      <c r="M512" t="n">
        <v>0</v>
      </c>
      <c r="N512" t="n">
        <v>0</v>
      </c>
      <c r="O512" t="n">
        <v>0</v>
      </c>
      <c r="P512" t="n">
        <v>0</v>
      </c>
      <c r="Q512" t="n">
        <v>0</v>
      </c>
      <c r="R512" s="2" t="inlineStr"/>
    </row>
    <row r="513" ht="15" customHeight="1">
      <c r="A513" t="inlineStr">
        <is>
          <t>A 61441-2020</t>
        </is>
      </c>
      <c r="B513" s="1" t="n">
        <v>44157</v>
      </c>
      <c r="C513" s="1" t="n">
        <v>45788</v>
      </c>
      <c r="D513" t="inlineStr">
        <is>
          <t>JÄMTLANDS LÄN</t>
        </is>
      </c>
      <c r="E513" t="inlineStr">
        <is>
          <t>RAGUNDA</t>
        </is>
      </c>
      <c r="G513" t="n">
        <v>0.4</v>
      </c>
      <c r="H513" t="n">
        <v>0</v>
      </c>
      <c r="I513" t="n">
        <v>0</v>
      </c>
      <c r="J513" t="n">
        <v>0</v>
      </c>
      <c r="K513" t="n">
        <v>0</v>
      </c>
      <c r="L513" t="n">
        <v>0</v>
      </c>
      <c r="M513" t="n">
        <v>0</v>
      </c>
      <c r="N513" t="n">
        <v>0</v>
      </c>
      <c r="O513" t="n">
        <v>0</v>
      </c>
      <c r="P513" t="n">
        <v>0</v>
      </c>
      <c r="Q513" t="n">
        <v>0</v>
      </c>
      <c r="R513" s="2" t="inlineStr"/>
    </row>
    <row r="514" ht="15" customHeight="1">
      <c r="A514" t="inlineStr">
        <is>
          <t>A 62228-2020</t>
        </is>
      </c>
      <c r="B514" s="1" t="n">
        <v>44159</v>
      </c>
      <c r="C514" s="1" t="n">
        <v>45788</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63606-2020</t>
        </is>
      </c>
      <c r="B515" s="1" t="n">
        <v>44165</v>
      </c>
      <c r="C515" s="1" t="n">
        <v>45788</v>
      </c>
      <c r="D515" t="inlineStr">
        <is>
          <t>JÄMTLANDS LÄN</t>
        </is>
      </c>
      <c r="E515" t="inlineStr">
        <is>
          <t>RAGUNDA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63597-2020</t>
        </is>
      </c>
      <c r="B516" s="1" t="n">
        <v>44165</v>
      </c>
      <c r="C516" s="1" t="n">
        <v>45788</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64187-2020</t>
        </is>
      </c>
      <c r="B517" s="1" t="n">
        <v>44167</v>
      </c>
      <c r="C517" s="1" t="n">
        <v>45788</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64386-2020</t>
        </is>
      </c>
      <c r="B518" s="1" t="n">
        <v>44168</v>
      </c>
      <c r="C518" s="1" t="n">
        <v>45788</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65260-2020</t>
        </is>
      </c>
      <c r="B519" s="1" t="n">
        <v>44172</v>
      </c>
      <c r="C519" s="1" t="n">
        <v>45788</v>
      </c>
      <c r="D519" t="inlineStr">
        <is>
          <t>JÄMTLANDS LÄN</t>
        </is>
      </c>
      <c r="E519" t="inlineStr">
        <is>
          <t>RAGUNDA</t>
        </is>
      </c>
      <c r="F519" t="inlineStr">
        <is>
          <t>SCA</t>
        </is>
      </c>
      <c r="G519" t="n">
        <v>7.8</v>
      </c>
      <c r="H519" t="n">
        <v>0</v>
      </c>
      <c r="I519" t="n">
        <v>0</v>
      </c>
      <c r="J519" t="n">
        <v>0</v>
      </c>
      <c r="K519" t="n">
        <v>0</v>
      </c>
      <c r="L519" t="n">
        <v>0</v>
      </c>
      <c r="M519" t="n">
        <v>0</v>
      </c>
      <c r="N519" t="n">
        <v>0</v>
      </c>
      <c r="O519" t="n">
        <v>0</v>
      </c>
      <c r="P519" t="n">
        <v>0</v>
      </c>
      <c r="Q519" t="n">
        <v>0</v>
      </c>
      <c r="R519" s="2" t="inlineStr"/>
    </row>
    <row r="520" ht="15" customHeight="1">
      <c r="A520" t="inlineStr">
        <is>
          <t>A 65341-2020</t>
        </is>
      </c>
      <c r="B520" s="1" t="n">
        <v>44173</v>
      </c>
      <c r="C520" s="1" t="n">
        <v>45788</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65898-2020</t>
        </is>
      </c>
      <c r="B521" s="1" t="n">
        <v>44174</v>
      </c>
      <c r="C521" s="1" t="n">
        <v>45788</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66248-2020</t>
        </is>
      </c>
      <c r="B522" s="1" t="n">
        <v>44175</v>
      </c>
      <c r="C522" s="1" t="n">
        <v>45788</v>
      </c>
      <c r="D522" t="inlineStr">
        <is>
          <t>JÄMTLANDS LÄN</t>
        </is>
      </c>
      <c r="E522" t="inlineStr">
        <is>
          <t>RAGUNDA</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69174-2020</t>
        </is>
      </c>
      <c r="B523" s="1" t="n">
        <v>44188</v>
      </c>
      <c r="C523" s="1" t="n">
        <v>45788</v>
      </c>
      <c r="D523" t="inlineStr">
        <is>
          <t>JÄMTLANDS LÄN</t>
        </is>
      </c>
      <c r="E523" t="inlineStr">
        <is>
          <t>RAGUNDA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69481-2020</t>
        </is>
      </c>
      <c r="B524" s="1" t="n">
        <v>44194</v>
      </c>
      <c r="C524" s="1" t="n">
        <v>45788</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69618-2020</t>
        </is>
      </c>
      <c r="B525" s="1" t="n">
        <v>44195</v>
      </c>
      <c r="C525" s="1" t="n">
        <v>45788</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1990-2021</t>
        </is>
      </c>
      <c r="B526" s="1" t="n">
        <v>44210</v>
      </c>
      <c r="C526" s="1" t="n">
        <v>45788</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2469-2021</t>
        </is>
      </c>
      <c r="B527" s="1" t="n">
        <v>44214</v>
      </c>
      <c r="C527" s="1" t="n">
        <v>45788</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3571-2021</t>
        </is>
      </c>
      <c r="B528" s="1" t="n">
        <v>44218</v>
      </c>
      <c r="C528" s="1" t="n">
        <v>45788</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4826-2021</t>
        </is>
      </c>
      <c r="B529" s="1" t="n">
        <v>44225</v>
      </c>
      <c r="C529" s="1" t="n">
        <v>45788</v>
      </c>
      <c r="D529" t="inlineStr">
        <is>
          <t>JÄMTLANDS LÄN</t>
        </is>
      </c>
      <c r="E529" t="inlineStr">
        <is>
          <t>RAGUNDA</t>
        </is>
      </c>
      <c r="G529" t="n">
        <v>2.2</v>
      </c>
      <c r="H529" t="n">
        <v>0</v>
      </c>
      <c r="I529" t="n">
        <v>0</v>
      </c>
      <c r="J529" t="n">
        <v>0</v>
      </c>
      <c r="K529" t="n">
        <v>0</v>
      </c>
      <c r="L529" t="n">
        <v>0</v>
      </c>
      <c r="M529" t="n">
        <v>0</v>
      </c>
      <c r="N529" t="n">
        <v>0</v>
      </c>
      <c r="O529" t="n">
        <v>0</v>
      </c>
      <c r="P529" t="n">
        <v>0</v>
      </c>
      <c r="Q529" t="n">
        <v>0</v>
      </c>
      <c r="R529" s="2" t="inlineStr"/>
    </row>
    <row r="530" ht="15" customHeight="1">
      <c r="A530" t="inlineStr">
        <is>
          <t>A 5130-2021</t>
        </is>
      </c>
      <c r="B530" s="1" t="n">
        <v>44228</v>
      </c>
      <c r="C530" s="1" t="n">
        <v>45788</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5462-2021</t>
        </is>
      </c>
      <c r="B531" s="1" t="n">
        <v>44229</v>
      </c>
      <c r="C531" s="1" t="n">
        <v>45788</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5803-2021</t>
        </is>
      </c>
      <c r="B532" s="1" t="n">
        <v>44230</v>
      </c>
      <c r="C532" s="1" t="n">
        <v>45788</v>
      </c>
      <c r="D532" t="inlineStr">
        <is>
          <t>JÄMTLANDS LÄN</t>
        </is>
      </c>
      <c r="E532" t="inlineStr">
        <is>
          <t>RAGUNDA</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45788</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5958-2021</t>
        </is>
      </c>
      <c r="B534" s="1" t="n">
        <v>44231</v>
      </c>
      <c r="C534" s="1" t="n">
        <v>45788</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6802-2021</t>
        </is>
      </c>
      <c r="B535" s="1" t="n">
        <v>44236</v>
      </c>
      <c r="C535" s="1" t="n">
        <v>45788</v>
      </c>
      <c r="D535" t="inlineStr">
        <is>
          <t>JÄMTLANDS LÄN</t>
        </is>
      </c>
      <c r="E535" t="inlineStr">
        <is>
          <t>RAGUNDA</t>
        </is>
      </c>
      <c r="G535" t="n">
        <v>11.2</v>
      </c>
      <c r="H535" t="n">
        <v>0</v>
      </c>
      <c r="I535" t="n">
        <v>0</v>
      </c>
      <c r="J535" t="n">
        <v>0</v>
      </c>
      <c r="K535" t="n">
        <v>0</v>
      </c>
      <c r="L535" t="n">
        <v>0</v>
      </c>
      <c r="M535" t="n">
        <v>0</v>
      </c>
      <c r="N535" t="n">
        <v>0</v>
      </c>
      <c r="O535" t="n">
        <v>0</v>
      </c>
      <c r="P535" t="n">
        <v>0</v>
      </c>
      <c r="Q535" t="n">
        <v>0</v>
      </c>
      <c r="R535" s="2" t="inlineStr"/>
    </row>
    <row r="536" ht="15" customHeight="1">
      <c r="A536" t="inlineStr">
        <is>
          <t>A 7575-2021</t>
        </is>
      </c>
      <c r="B536" s="1" t="n">
        <v>44239</v>
      </c>
      <c r="C536" s="1" t="n">
        <v>45788</v>
      </c>
      <c r="D536" t="inlineStr">
        <is>
          <t>JÄMTLANDS LÄN</t>
        </is>
      </c>
      <c r="E536" t="inlineStr">
        <is>
          <t>RAGUNDA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7886-2021</t>
        </is>
      </c>
      <c r="B537" s="1" t="n">
        <v>44242</v>
      </c>
      <c r="C537" s="1" t="n">
        <v>45788</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8033-2021</t>
        </is>
      </c>
      <c r="B538" s="1" t="n">
        <v>44243</v>
      </c>
      <c r="C538" s="1" t="n">
        <v>45788</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8626-2021</t>
        </is>
      </c>
      <c r="B539" s="1" t="n">
        <v>44245</v>
      </c>
      <c r="C539" s="1" t="n">
        <v>45788</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10938-2021</t>
        </is>
      </c>
      <c r="B540" s="1" t="n">
        <v>44259</v>
      </c>
      <c r="C540" s="1" t="n">
        <v>45788</v>
      </c>
      <c r="D540" t="inlineStr">
        <is>
          <t>JÄMTLANDS LÄN</t>
        </is>
      </c>
      <c r="E540" t="inlineStr">
        <is>
          <t>RAGUNDA</t>
        </is>
      </c>
      <c r="G540" t="n">
        <v>10.4</v>
      </c>
      <c r="H540" t="n">
        <v>0</v>
      </c>
      <c r="I540" t="n">
        <v>0</v>
      </c>
      <c r="J540" t="n">
        <v>0</v>
      </c>
      <c r="K540" t="n">
        <v>0</v>
      </c>
      <c r="L540" t="n">
        <v>0</v>
      </c>
      <c r="M540" t="n">
        <v>0</v>
      </c>
      <c r="N540" t="n">
        <v>0</v>
      </c>
      <c r="O540" t="n">
        <v>0</v>
      </c>
      <c r="P540" t="n">
        <v>0</v>
      </c>
      <c r="Q540" t="n">
        <v>0</v>
      </c>
      <c r="R540" s="2" t="inlineStr"/>
    </row>
    <row r="541" ht="15" customHeight="1">
      <c r="A541" t="inlineStr">
        <is>
          <t>A 10937-2021</t>
        </is>
      </c>
      <c r="B541" s="1" t="n">
        <v>44259</v>
      </c>
      <c r="C541" s="1" t="n">
        <v>45788</v>
      </c>
      <c r="D541" t="inlineStr">
        <is>
          <t>JÄMTLANDS LÄN</t>
        </is>
      </c>
      <c r="E541" t="inlineStr">
        <is>
          <t>RAGUNDA</t>
        </is>
      </c>
      <c r="G541" t="n">
        <v>10.8</v>
      </c>
      <c r="H541" t="n">
        <v>0</v>
      </c>
      <c r="I541" t="n">
        <v>0</v>
      </c>
      <c r="J541" t="n">
        <v>0</v>
      </c>
      <c r="K541" t="n">
        <v>0</v>
      </c>
      <c r="L541" t="n">
        <v>0</v>
      </c>
      <c r="M541" t="n">
        <v>0</v>
      </c>
      <c r="N541" t="n">
        <v>0</v>
      </c>
      <c r="O541" t="n">
        <v>0</v>
      </c>
      <c r="P541" t="n">
        <v>0</v>
      </c>
      <c r="Q541" t="n">
        <v>0</v>
      </c>
      <c r="R541" s="2" t="inlineStr"/>
    </row>
    <row r="542" ht="15" customHeight="1">
      <c r="A542" t="inlineStr">
        <is>
          <t>A 13571-2021</t>
        </is>
      </c>
      <c r="B542" s="1" t="n">
        <v>44273</v>
      </c>
      <c r="C542" s="1" t="n">
        <v>45788</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13570-2021</t>
        </is>
      </c>
      <c r="B543" s="1" t="n">
        <v>44273</v>
      </c>
      <c r="C543" s="1" t="n">
        <v>45788</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13569-2021</t>
        </is>
      </c>
      <c r="B544" s="1" t="n">
        <v>44273</v>
      </c>
      <c r="C544" s="1" t="n">
        <v>45788</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14790-2021</t>
        </is>
      </c>
      <c r="B545" s="1" t="n">
        <v>44280</v>
      </c>
      <c r="C545" s="1" t="n">
        <v>45788</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14776-2021</t>
        </is>
      </c>
      <c r="B546" s="1" t="n">
        <v>44280</v>
      </c>
      <c r="C546" s="1" t="n">
        <v>45788</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15102-2021</t>
        </is>
      </c>
      <c r="B547" s="1" t="n">
        <v>44281</v>
      </c>
      <c r="C547" s="1" t="n">
        <v>45788</v>
      </c>
      <c r="D547" t="inlineStr">
        <is>
          <t>JÄMTLANDS LÄN</t>
        </is>
      </c>
      <c r="E547" t="inlineStr">
        <is>
          <t>RAGUNDA</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15720-2021</t>
        </is>
      </c>
      <c r="B548" s="1" t="n">
        <v>44286</v>
      </c>
      <c r="C548" s="1" t="n">
        <v>45788</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15672-2021</t>
        </is>
      </c>
      <c r="B549" s="1" t="n">
        <v>44286</v>
      </c>
      <c r="C549" s="1" t="n">
        <v>45788</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16002-2021</t>
        </is>
      </c>
      <c r="B550" s="1" t="n">
        <v>44287</v>
      </c>
      <c r="C550" s="1" t="n">
        <v>45788</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16379-2021</t>
        </is>
      </c>
      <c r="B551" s="1" t="n">
        <v>44292</v>
      </c>
      <c r="C551" s="1" t="n">
        <v>45788</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17315-2021</t>
        </is>
      </c>
      <c r="B552" s="1" t="n">
        <v>44298</v>
      </c>
      <c r="C552" s="1" t="n">
        <v>45788</v>
      </c>
      <c r="D552" t="inlineStr">
        <is>
          <t>JÄMTLANDS LÄN</t>
        </is>
      </c>
      <c r="E552" t="inlineStr">
        <is>
          <t>RAGUNDA</t>
        </is>
      </c>
      <c r="G552" t="n">
        <v>0.6</v>
      </c>
      <c r="H552" t="n">
        <v>0</v>
      </c>
      <c r="I552" t="n">
        <v>0</v>
      </c>
      <c r="J552" t="n">
        <v>0</v>
      </c>
      <c r="K552" t="n">
        <v>0</v>
      </c>
      <c r="L552" t="n">
        <v>0</v>
      </c>
      <c r="M552" t="n">
        <v>0</v>
      </c>
      <c r="N552" t="n">
        <v>0</v>
      </c>
      <c r="O552" t="n">
        <v>0</v>
      </c>
      <c r="P552" t="n">
        <v>0</v>
      </c>
      <c r="Q552" t="n">
        <v>0</v>
      </c>
      <c r="R552" s="2" t="inlineStr"/>
    </row>
    <row r="553" ht="15" customHeight="1">
      <c r="A553" t="inlineStr">
        <is>
          <t>A 17598-2021</t>
        </is>
      </c>
      <c r="B553" s="1" t="n">
        <v>44299</v>
      </c>
      <c r="C553" s="1" t="n">
        <v>45788</v>
      </c>
      <c r="D553" t="inlineStr">
        <is>
          <t>JÄMTLANDS LÄN</t>
        </is>
      </c>
      <c r="E553" t="inlineStr">
        <is>
          <t>RAGUNDA</t>
        </is>
      </c>
      <c r="G553" t="n">
        <v>4.6</v>
      </c>
      <c r="H553" t="n">
        <v>0</v>
      </c>
      <c r="I553" t="n">
        <v>0</v>
      </c>
      <c r="J553" t="n">
        <v>0</v>
      </c>
      <c r="K553" t="n">
        <v>0</v>
      </c>
      <c r="L553" t="n">
        <v>0</v>
      </c>
      <c r="M553" t="n">
        <v>0</v>
      </c>
      <c r="N553" t="n">
        <v>0</v>
      </c>
      <c r="O553" t="n">
        <v>0</v>
      </c>
      <c r="P553" t="n">
        <v>0</v>
      </c>
      <c r="Q553" t="n">
        <v>0</v>
      </c>
      <c r="R553" s="2" t="inlineStr"/>
    </row>
    <row r="554" ht="15" customHeight="1">
      <c r="A554" t="inlineStr">
        <is>
          <t>A 18454-2021</t>
        </is>
      </c>
      <c r="B554" s="1" t="n">
        <v>44306</v>
      </c>
      <c r="C554" s="1" t="n">
        <v>45788</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19615-2021</t>
        </is>
      </c>
      <c r="B555" s="1" t="n">
        <v>44308</v>
      </c>
      <c r="C555" s="1" t="n">
        <v>45788</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19612-2021</t>
        </is>
      </c>
      <c r="B556" s="1" t="n">
        <v>44308</v>
      </c>
      <c r="C556" s="1" t="n">
        <v>45788</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19600-2021</t>
        </is>
      </c>
      <c r="B557" s="1" t="n">
        <v>44308</v>
      </c>
      <c r="C557" s="1" t="n">
        <v>45788</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19595-2021</t>
        </is>
      </c>
      <c r="B558" s="1" t="n">
        <v>44308</v>
      </c>
      <c r="C558" s="1" t="n">
        <v>45788</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20548-2021</t>
        </is>
      </c>
      <c r="B559" s="1" t="n">
        <v>44315</v>
      </c>
      <c r="C559" s="1" t="n">
        <v>45788</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22655-2021</t>
        </is>
      </c>
      <c r="B560" s="1" t="n">
        <v>44322</v>
      </c>
      <c r="C560" s="1" t="n">
        <v>45788</v>
      </c>
      <c r="D560" t="inlineStr">
        <is>
          <t>JÄMTLANDS LÄN</t>
        </is>
      </c>
      <c r="E560" t="inlineStr">
        <is>
          <t>RAGUNDA</t>
        </is>
      </c>
      <c r="G560" t="n">
        <v>5.8</v>
      </c>
      <c r="H560" t="n">
        <v>0</v>
      </c>
      <c r="I560" t="n">
        <v>0</v>
      </c>
      <c r="J560" t="n">
        <v>0</v>
      </c>
      <c r="K560" t="n">
        <v>0</v>
      </c>
      <c r="L560" t="n">
        <v>0</v>
      </c>
      <c r="M560" t="n">
        <v>0</v>
      </c>
      <c r="N560" t="n">
        <v>0</v>
      </c>
      <c r="O560" t="n">
        <v>0</v>
      </c>
      <c r="P560" t="n">
        <v>0</v>
      </c>
      <c r="Q560" t="n">
        <v>0</v>
      </c>
      <c r="R560" s="2" t="inlineStr"/>
    </row>
    <row r="561" ht="15" customHeight="1">
      <c r="A561" t="inlineStr">
        <is>
          <t>A 22131-2021</t>
        </is>
      </c>
      <c r="B561" s="1" t="n">
        <v>44323</v>
      </c>
      <c r="C561" s="1" t="n">
        <v>45788</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23169-2021</t>
        </is>
      </c>
      <c r="B562" s="1" t="n">
        <v>44332</v>
      </c>
      <c r="C562" s="1" t="n">
        <v>45788</v>
      </c>
      <c r="D562" t="inlineStr">
        <is>
          <t>JÄMTLANDS LÄN</t>
        </is>
      </c>
      <c r="E562" t="inlineStr">
        <is>
          <t>RAGUNDA</t>
        </is>
      </c>
      <c r="F562" t="inlineStr">
        <is>
          <t>SCA</t>
        </is>
      </c>
      <c r="G562" t="n">
        <v>59.9</v>
      </c>
      <c r="H562" t="n">
        <v>0</v>
      </c>
      <c r="I562" t="n">
        <v>0</v>
      </c>
      <c r="J562" t="n">
        <v>0</v>
      </c>
      <c r="K562" t="n">
        <v>0</v>
      </c>
      <c r="L562" t="n">
        <v>0</v>
      </c>
      <c r="M562" t="n">
        <v>0</v>
      </c>
      <c r="N562" t="n">
        <v>0</v>
      </c>
      <c r="O562" t="n">
        <v>0</v>
      </c>
      <c r="P562" t="n">
        <v>0</v>
      </c>
      <c r="Q562" t="n">
        <v>0</v>
      </c>
      <c r="R562" s="2" t="inlineStr"/>
    </row>
    <row r="563" ht="15" customHeight="1">
      <c r="A563" t="inlineStr">
        <is>
          <t>A 24171-2021</t>
        </is>
      </c>
      <c r="B563" s="1" t="n">
        <v>44336</v>
      </c>
      <c r="C563" s="1" t="n">
        <v>45788</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24280-2021</t>
        </is>
      </c>
      <c r="B564" s="1" t="n">
        <v>44336</v>
      </c>
      <c r="C564" s="1" t="n">
        <v>45788</v>
      </c>
      <c r="D564" t="inlineStr">
        <is>
          <t>JÄMTLANDS LÄN</t>
        </is>
      </c>
      <c r="E564" t="inlineStr">
        <is>
          <t>RAGUNDA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25811-2021</t>
        </is>
      </c>
      <c r="B565" s="1" t="n">
        <v>44344</v>
      </c>
      <c r="C565" s="1" t="n">
        <v>45788</v>
      </c>
      <c r="D565" t="inlineStr">
        <is>
          <t>JÄMTLANDS LÄN</t>
        </is>
      </c>
      <c r="E565" t="inlineStr">
        <is>
          <t>RAGUNDA</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44350</v>
      </c>
      <c r="C566" s="1" t="n">
        <v>45788</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26948-2021</t>
        </is>
      </c>
      <c r="B567" s="1" t="n">
        <v>44350</v>
      </c>
      <c r="C567" s="1" t="n">
        <v>45788</v>
      </c>
      <c r="D567" t="inlineStr">
        <is>
          <t>JÄMTLANDS LÄN</t>
        </is>
      </c>
      <c r="E567" t="inlineStr">
        <is>
          <t>RAGUNDA</t>
        </is>
      </c>
      <c r="G567" t="n">
        <v>2.5</v>
      </c>
      <c r="H567" t="n">
        <v>0</v>
      </c>
      <c r="I567" t="n">
        <v>0</v>
      </c>
      <c r="J567" t="n">
        <v>0</v>
      </c>
      <c r="K567" t="n">
        <v>0</v>
      </c>
      <c r="L567" t="n">
        <v>0</v>
      </c>
      <c r="M567" t="n">
        <v>0</v>
      </c>
      <c r="N567" t="n">
        <v>0</v>
      </c>
      <c r="O567" t="n">
        <v>0</v>
      </c>
      <c r="P567" t="n">
        <v>0</v>
      </c>
      <c r="Q567" t="n">
        <v>0</v>
      </c>
      <c r="R567" s="2" t="inlineStr"/>
    </row>
    <row r="568" ht="15" customHeight="1">
      <c r="A568" t="inlineStr">
        <is>
          <t>A 26945-2021</t>
        </is>
      </c>
      <c r="B568" s="1" t="n">
        <v>44350</v>
      </c>
      <c r="C568" s="1" t="n">
        <v>45788</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26946-2021</t>
        </is>
      </c>
      <c r="B569" s="1" t="n">
        <v>44349</v>
      </c>
      <c r="C569" s="1" t="n">
        <v>45788</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27399-2021</t>
        </is>
      </c>
      <c r="B570" s="1" t="n">
        <v>44351</v>
      </c>
      <c r="C570" s="1" t="n">
        <v>45788</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27371-2021</t>
        </is>
      </c>
      <c r="B571" s="1" t="n">
        <v>44351</v>
      </c>
      <c r="C571" s="1" t="n">
        <v>45788</v>
      </c>
      <c r="D571" t="inlineStr">
        <is>
          <t>JÄMTLANDS LÄN</t>
        </is>
      </c>
      <c r="E571" t="inlineStr">
        <is>
          <t>RAGUNDA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28596-2021</t>
        </is>
      </c>
      <c r="B572" s="1" t="n">
        <v>44356</v>
      </c>
      <c r="C572" s="1" t="n">
        <v>45788</v>
      </c>
      <c r="D572" t="inlineStr">
        <is>
          <t>JÄMTLANDS LÄN</t>
        </is>
      </c>
      <c r="E572" t="inlineStr">
        <is>
          <t>RAGUNDA</t>
        </is>
      </c>
      <c r="G572" t="n">
        <v>5.4</v>
      </c>
      <c r="H572" t="n">
        <v>0</v>
      </c>
      <c r="I572" t="n">
        <v>0</v>
      </c>
      <c r="J572" t="n">
        <v>0</v>
      </c>
      <c r="K572" t="n">
        <v>0</v>
      </c>
      <c r="L572" t="n">
        <v>0</v>
      </c>
      <c r="M572" t="n">
        <v>0</v>
      </c>
      <c r="N572" t="n">
        <v>0</v>
      </c>
      <c r="O572" t="n">
        <v>0</v>
      </c>
      <c r="P572" t="n">
        <v>0</v>
      </c>
      <c r="Q572" t="n">
        <v>0</v>
      </c>
      <c r="R572" s="2" t="inlineStr"/>
    </row>
    <row r="573" ht="15" customHeight="1">
      <c r="A573" t="inlineStr">
        <is>
          <t>A 28597-2021</t>
        </is>
      </c>
      <c r="B573" s="1" t="n">
        <v>44357</v>
      </c>
      <c r="C573" s="1" t="n">
        <v>45788</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28887-2021</t>
        </is>
      </c>
      <c r="B574" s="1" t="n">
        <v>44357</v>
      </c>
      <c r="C574" s="1" t="n">
        <v>45788</v>
      </c>
      <c r="D574" t="inlineStr">
        <is>
          <t>JÄMTLANDS LÄN</t>
        </is>
      </c>
      <c r="E574" t="inlineStr">
        <is>
          <t>RAGUNDA</t>
        </is>
      </c>
      <c r="G574" t="n">
        <v>1.8</v>
      </c>
      <c r="H574" t="n">
        <v>0</v>
      </c>
      <c r="I574" t="n">
        <v>0</v>
      </c>
      <c r="J574" t="n">
        <v>0</v>
      </c>
      <c r="K574" t="n">
        <v>0</v>
      </c>
      <c r="L574" t="n">
        <v>0</v>
      </c>
      <c r="M574" t="n">
        <v>0</v>
      </c>
      <c r="N574" t="n">
        <v>0</v>
      </c>
      <c r="O574" t="n">
        <v>0</v>
      </c>
      <c r="P574" t="n">
        <v>0</v>
      </c>
      <c r="Q574" t="n">
        <v>0</v>
      </c>
      <c r="R574" s="2" t="inlineStr"/>
    </row>
    <row r="575" ht="15" customHeight="1">
      <c r="A575" t="inlineStr">
        <is>
          <t>A 29409-2021</t>
        </is>
      </c>
      <c r="B575" s="1" t="n">
        <v>44361</v>
      </c>
      <c r="C575" s="1" t="n">
        <v>45788</v>
      </c>
      <c r="D575" t="inlineStr">
        <is>
          <t>JÄMTLANDS LÄN</t>
        </is>
      </c>
      <c r="E575" t="inlineStr">
        <is>
          <t>RAGUNDA</t>
        </is>
      </c>
      <c r="G575" t="n">
        <v>0.3</v>
      </c>
      <c r="H575" t="n">
        <v>0</v>
      </c>
      <c r="I575" t="n">
        <v>0</v>
      </c>
      <c r="J575" t="n">
        <v>0</v>
      </c>
      <c r="K575" t="n">
        <v>0</v>
      </c>
      <c r="L575" t="n">
        <v>0</v>
      </c>
      <c r="M575" t="n">
        <v>0</v>
      </c>
      <c r="N575" t="n">
        <v>0</v>
      </c>
      <c r="O575" t="n">
        <v>0</v>
      </c>
      <c r="P575" t="n">
        <v>0</v>
      </c>
      <c r="Q575" t="n">
        <v>0</v>
      </c>
      <c r="R575" s="2" t="inlineStr"/>
    </row>
    <row r="576" ht="15" customHeight="1">
      <c r="A576" t="inlineStr">
        <is>
          <t>A 30438-2021</t>
        </is>
      </c>
      <c r="B576" s="1" t="n">
        <v>44362</v>
      </c>
      <c r="C576" s="1" t="n">
        <v>45788</v>
      </c>
      <c r="D576" t="inlineStr">
        <is>
          <t>JÄMTLANDS LÄN</t>
        </is>
      </c>
      <c r="E576" t="inlineStr">
        <is>
          <t>RAGUNDA</t>
        </is>
      </c>
      <c r="G576" t="n">
        <v>5</v>
      </c>
      <c r="H576" t="n">
        <v>0</v>
      </c>
      <c r="I576" t="n">
        <v>0</v>
      </c>
      <c r="J576" t="n">
        <v>0</v>
      </c>
      <c r="K576" t="n">
        <v>0</v>
      </c>
      <c r="L576" t="n">
        <v>0</v>
      </c>
      <c r="M576" t="n">
        <v>0</v>
      </c>
      <c r="N576" t="n">
        <v>0</v>
      </c>
      <c r="O576" t="n">
        <v>0</v>
      </c>
      <c r="P576" t="n">
        <v>0</v>
      </c>
      <c r="Q576" t="n">
        <v>0</v>
      </c>
      <c r="R576" s="2" t="inlineStr"/>
    </row>
    <row r="577" ht="15" customHeight="1">
      <c r="A577" t="inlineStr">
        <is>
          <t>A 30459-2021</t>
        </is>
      </c>
      <c r="B577" s="1" t="n">
        <v>44362</v>
      </c>
      <c r="C577" s="1" t="n">
        <v>45788</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30581-2021</t>
        </is>
      </c>
      <c r="B578" s="1" t="n">
        <v>44365</v>
      </c>
      <c r="C578" s="1" t="n">
        <v>45788</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31158-2021</t>
        </is>
      </c>
      <c r="B579" s="1" t="n">
        <v>44368</v>
      </c>
      <c r="C579" s="1" t="n">
        <v>45788</v>
      </c>
      <c r="D579" t="inlineStr">
        <is>
          <t>JÄMTLANDS LÄN</t>
        </is>
      </c>
      <c r="E579" t="inlineStr">
        <is>
          <t>RAGUNDA</t>
        </is>
      </c>
      <c r="G579" t="n">
        <v>0.5</v>
      </c>
      <c r="H579" t="n">
        <v>0</v>
      </c>
      <c r="I579" t="n">
        <v>0</v>
      </c>
      <c r="J579" t="n">
        <v>0</v>
      </c>
      <c r="K579" t="n">
        <v>0</v>
      </c>
      <c r="L579" t="n">
        <v>0</v>
      </c>
      <c r="M579" t="n">
        <v>0</v>
      </c>
      <c r="N579" t="n">
        <v>0</v>
      </c>
      <c r="O579" t="n">
        <v>0</v>
      </c>
      <c r="P579" t="n">
        <v>0</v>
      </c>
      <c r="Q579" t="n">
        <v>0</v>
      </c>
      <c r="R579" s="2" t="inlineStr"/>
    </row>
    <row r="580" ht="15" customHeight="1">
      <c r="A580" t="inlineStr">
        <is>
          <t>A 31727-2021</t>
        </is>
      </c>
      <c r="B580" s="1" t="n">
        <v>44370</v>
      </c>
      <c r="C580" s="1" t="n">
        <v>45788</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32832-2021</t>
        </is>
      </c>
      <c r="B581" s="1" t="n">
        <v>44375</v>
      </c>
      <c r="C581" s="1" t="n">
        <v>45788</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34348-2021</t>
        </is>
      </c>
      <c r="B582" s="1" t="n">
        <v>44379</v>
      </c>
      <c r="C582" s="1" t="n">
        <v>45788</v>
      </c>
      <c r="D582" t="inlineStr">
        <is>
          <t>JÄMTLANDS LÄN</t>
        </is>
      </c>
      <c r="E582" t="inlineStr">
        <is>
          <t>RAGUNDA</t>
        </is>
      </c>
      <c r="G582" t="n">
        <v>8.1</v>
      </c>
      <c r="H582" t="n">
        <v>0</v>
      </c>
      <c r="I582" t="n">
        <v>0</v>
      </c>
      <c r="J582" t="n">
        <v>0</v>
      </c>
      <c r="K582" t="n">
        <v>0</v>
      </c>
      <c r="L582" t="n">
        <v>0</v>
      </c>
      <c r="M582" t="n">
        <v>0</v>
      </c>
      <c r="N582" t="n">
        <v>0</v>
      </c>
      <c r="O582" t="n">
        <v>0</v>
      </c>
      <c r="P582" t="n">
        <v>0</v>
      </c>
      <c r="Q582" t="n">
        <v>0</v>
      </c>
      <c r="R582" s="2" t="inlineStr"/>
    </row>
    <row r="583" ht="15" customHeight="1">
      <c r="A583" t="inlineStr">
        <is>
          <t>A 35537-2021</t>
        </is>
      </c>
      <c r="B583" s="1" t="n">
        <v>44384</v>
      </c>
      <c r="C583" s="1" t="n">
        <v>45788</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35386-2021</t>
        </is>
      </c>
      <c r="B584" s="1" t="n">
        <v>44385</v>
      </c>
      <c r="C584" s="1" t="n">
        <v>45788</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35988-2021</t>
        </is>
      </c>
      <c r="B585" s="1" t="n">
        <v>44385</v>
      </c>
      <c r="C585" s="1" t="n">
        <v>45788</v>
      </c>
      <c r="D585" t="inlineStr">
        <is>
          <t>JÄMTLANDS LÄN</t>
        </is>
      </c>
      <c r="E585" t="inlineStr">
        <is>
          <t>RAGUNDA</t>
        </is>
      </c>
      <c r="G585" t="n">
        <v>4.1</v>
      </c>
      <c r="H585" t="n">
        <v>0</v>
      </c>
      <c r="I585" t="n">
        <v>0</v>
      </c>
      <c r="J585" t="n">
        <v>0</v>
      </c>
      <c r="K585" t="n">
        <v>0</v>
      </c>
      <c r="L585" t="n">
        <v>0</v>
      </c>
      <c r="M585" t="n">
        <v>0</v>
      </c>
      <c r="N585" t="n">
        <v>0</v>
      </c>
      <c r="O585" t="n">
        <v>0</v>
      </c>
      <c r="P585" t="n">
        <v>0</v>
      </c>
      <c r="Q585" t="n">
        <v>0</v>
      </c>
      <c r="R585" s="2" t="inlineStr"/>
    </row>
    <row r="586" ht="15" customHeight="1">
      <c r="A586" t="inlineStr">
        <is>
          <t>A 36227-2021</t>
        </is>
      </c>
      <c r="B586" s="1" t="n">
        <v>44390</v>
      </c>
      <c r="C586" s="1" t="n">
        <v>45788</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36228-2021</t>
        </is>
      </c>
      <c r="B587" s="1" t="n">
        <v>44390</v>
      </c>
      <c r="C587" s="1" t="n">
        <v>45788</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36230-2021</t>
        </is>
      </c>
      <c r="B588" s="1" t="n">
        <v>44390</v>
      </c>
      <c r="C588" s="1" t="n">
        <v>45788</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37227-2021</t>
        </is>
      </c>
      <c r="B589" s="1" t="n">
        <v>44396</v>
      </c>
      <c r="C589" s="1" t="n">
        <v>45788</v>
      </c>
      <c r="D589" t="inlineStr">
        <is>
          <t>JÄMTLANDS LÄN</t>
        </is>
      </c>
      <c r="E589" t="inlineStr">
        <is>
          <t>RAGUNDA</t>
        </is>
      </c>
      <c r="G589" t="n">
        <v>10.1</v>
      </c>
      <c r="H589" t="n">
        <v>0</v>
      </c>
      <c r="I589" t="n">
        <v>0</v>
      </c>
      <c r="J589" t="n">
        <v>0</v>
      </c>
      <c r="K589" t="n">
        <v>0</v>
      </c>
      <c r="L589" t="n">
        <v>0</v>
      </c>
      <c r="M589" t="n">
        <v>0</v>
      </c>
      <c r="N589" t="n">
        <v>0</v>
      </c>
      <c r="O589" t="n">
        <v>0</v>
      </c>
      <c r="P589" t="n">
        <v>0</v>
      </c>
      <c r="Q589" t="n">
        <v>0</v>
      </c>
      <c r="R589" s="2" t="inlineStr"/>
    </row>
    <row r="590" ht="15" customHeight="1">
      <c r="A590" t="inlineStr">
        <is>
          <t>A 37806-2021</t>
        </is>
      </c>
      <c r="B590" s="1" t="n">
        <v>44402</v>
      </c>
      <c r="C590" s="1" t="n">
        <v>45788</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38212-2021</t>
        </is>
      </c>
      <c r="B591" s="1" t="n">
        <v>44405</v>
      </c>
      <c r="C591" s="1" t="n">
        <v>45788</v>
      </c>
      <c r="D591" t="inlineStr">
        <is>
          <t>JÄMTLANDS LÄN</t>
        </is>
      </c>
      <c r="E591" t="inlineStr">
        <is>
          <t>RAGUNDA</t>
        </is>
      </c>
      <c r="G591" t="n">
        <v>5.5</v>
      </c>
      <c r="H591" t="n">
        <v>0</v>
      </c>
      <c r="I591" t="n">
        <v>0</v>
      </c>
      <c r="J591" t="n">
        <v>0</v>
      </c>
      <c r="K591" t="n">
        <v>0</v>
      </c>
      <c r="L591" t="n">
        <v>0</v>
      </c>
      <c r="M591" t="n">
        <v>0</v>
      </c>
      <c r="N591" t="n">
        <v>0</v>
      </c>
      <c r="O591" t="n">
        <v>0</v>
      </c>
      <c r="P591" t="n">
        <v>0</v>
      </c>
      <c r="Q591" t="n">
        <v>0</v>
      </c>
      <c r="R591" s="2" t="inlineStr"/>
    </row>
    <row r="592" ht="15" customHeight="1">
      <c r="A592" t="inlineStr">
        <is>
          <t>A 38270-2021</t>
        </is>
      </c>
      <c r="B592" s="1" t="n">
        <v>44406</v>
      </c>
      <c r="C592" s="1" t="n">
        <v>45788</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38269-2021</t>
        </is>
      </c>
      <c r="B593" s="1" t="n">
        <v>44406</v>
      </c>
      <c r="C593" s="1" t="n">
        <v>45788</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38782-2021</t>
        </is>
      </c>
      <c r="B594" s="1" t="n">
        <v>44410</v>
      </c>
      <c r="C594" s="1" t="n">
        <v>45788</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39258-2021</t>
        </is>
      </c>
      <c r="B595" s="1" t="n">
        <v>44413</v>
      </c>
      <c r="C595" s="1" t="n">
        <v>45788</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40213-2021</t>
        </is>
      </c>
      <c r="B596" s="1" t="n">
        <v>44419</v>
      </c>
      <c r="C596" s="1" t="n">
        <v>45788</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40770-2021</t>
        </is>
      </c>
      <c r="B597" s="1" t="n">
        <v>44421</v>
      </c>
      <c r="C597" s="1" t="n">
        <v>45788</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41062-2021</t>
        </is>
      </c>
      <c r="B598" s="1" t="n">
        <v>44422</v>
      </c>
      <c r="C598" s="1" t="n">
        <v>45788</v>
      </c>
      <c r="D598" t="inlineStr">
        <is>
          <t>JÄMTLANDS LÄN</t>
        </is>
      </c>
      <c r="E598" t="inlineStr">
        <is>
          <t>RAGUNDA</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41262-2021</t>
        </is>
      </c>
      <c r="B599" s="1" t="n">
        <v>44424</v>
      </c>
      <c r="C599" s="1" t="n">
        <v>45788</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41613-2021</t>
        </is>
      </c>
      <c r="B600" s="1" t="n">
        <v>44425</v>
      </c>
      <c r="C600" s="1" t="n">
        <v>45788</v>
      </c>
      <c r="D600" t="inlineStr">
        <is>
          <t>JÄMTLANDS LÄN</t>
        </is>
      </c>
      <c r="E600" t="inlineStr">
        <is>
          <t>RAGUNDA</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41609-2021</t>
        </is>
      </c>
      <c r="B601" s="1" t="n">
        <v>44425</v>
      </c>
      <c r="C601" s="1" t="n">
        <v>45788</v>
      </c>
      <c r="D601" t="inlineStr">
        <is>
          <t>JÄMTLANDS LÄN</t>
        </is>
      </c>
      <c r="E601" t="inlineStr">
        <is>
          <t>RAGUNDA</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41606-2021</t>
        </is>
      </c>
      <c r="B602" s="1" t="n">
        <v>44425</v>
      </c>
      <c r="C602" s="1" t="n">
        <v>45788</v>
      </c>
      <c r="D602" t="inlineStr">
        <is>
          <t>JÄMTLANDS LÄN</t>
        </is>
      </c>
      <c r="E602" t="inlineStr">
        <is>
          <t>RAGUNDA</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42260-2021</t>
        </is>
      </c>
      <c r="B603" s="1" t="n">
        <v>44427</v>
      </c>
      <c r="C603" s="1" t="n">
        <v>45788</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42537-2021</t>
        </is>
      </c>
      <c r="B604" s="1" t="n">
        <v>44428</v>
      </c>
      <c r="C604" s="1" t="n">
        <v>45788</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43040-2021</t>
        </is>
      </c>
      <c r="B605" s="1" t="n">
        <v>44431</v>
      </c>
      <c r="C605" s="1" t="n">
        <v>45788</v>
      </c>
      <c r="D605" t="inlineStr">
        <is>
          <t>JÄMTLANDS LÄN</t>
        </is>
      </c>
      <c r="E605" t="inlineStr">
        <is>
          <t>RAGUNDA</t>
        </is>
      </c>
      <c r="G605" t="n">
        <v>4.9</v>
      </c>
      <c r="H605" t="n">
        <v>0</v>
      </c>
      <c r="I605" t="n">
        <v>0</v>
      </c>
      <c r="J605" t="n">
        <v>0</v>
      </c>
      <c r="K605" t="n">
        <v>0</v>
      </c>
      <c r="L605" t="n">
        <v>0</v>
      </c>
      <c r="M605" t="n">
        <v>0</v>
      </c>
      <c r="N605" t="n">
        <v>0</v>
      </c>
      <c r="O605" t="n">
        <v>0</v>
      </c>
      <c r="P605" t="n">
        <v>0</v>
      </c>
      <c r="Q605" t="n">
        <v>0</v>
      </c>
      <c r="R605" s="2" t="inlineStr"/>
    </row>
    <row r="606" ht="15" customHeight="1">
      <c r="A606" t="inlineStr">
        <is>
          <t>A 44163-2021</t>
        </is>
      </c>
      <c r="B606" s="1" t="n">
        <v>44434</v>
      </c>
      <c r="C606" s="1" t="n">
        <v>45788</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44241-2021</t>
        </is>
      </c>
      <c r="B607" s="1" t="n">
        <v>44435</v>
      </c>
      <c r="C607" s="1" t="n">
        <v>45788</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44247-2021</t>
        </is>
      </c>
      <c r="B608" s="1" t="n">
        <v>44435</v>
      </c>
      <c r="C608" s="1" t="n">
        <v>45788</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46228-2021</t>
        </is>
      </c>
      <c r="B609" s="1" t="n">
        <v>44441</v>
      </c>
      <c r="C609" s="1" t="n">
        <v>45788</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46368-2021</t>
        </is>
      </c>
      <c r="B610" s="1" t="n">
        <v>44443</v>
      </c>
      <c r="C610" s="1" t="n">
        <v>45788</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46401-2021</t>
        </is>
      </c>
      <c r="B611" s="1" t="n">
        <v>44443</v>
      </c>
      <c r="C611" s="1" t="n">
        <v>45788</v>
      </c>
      <c r="D611" t="inlineStr">
        <is>
          <t>JÄMTLANDS LÄN</t>
        </is>
      </c>
      <c r="E611" t="inlineStr">
        <is>
          <t>RAGUNDA</t>
        </is>
      </c>
      <c r="G611" t="n">
        <v>7</v>
      </c>
      <c r="H611" t="n">
        <v>0</v>
      </c>
      <c r="I611" t="n">
        <v>0</v>
      </c>
      <c r="J611" t="n">
        <v>0</v>
      </c>
      <c r="K611" t="n">
        <v>0</v>
      </c>
      <c r="L611" t="n">
        <v>0</v>
      </c>
      <c r="M611" t="n">
        <v>0</v>
      </c>
      <c r="N611" t="n">
        <v>0</v>
      </c>
      <c r="O611" t="n">
        <v>0</v>
      </c>
      <c r="P611" t="n">
        <v>0</v>
      </c>
      <c r="Q611" t="n">
        <v>0</v>
      </c>
      <c r="R611" s="2" t="inlineStr"/>
    </row>
    <row r="612" ht="15" customHeight="1">
      <c r="A612" t="inlineStr">
        <is>
          <t>A 47548-2021</t>
        </is>
      </c>
      <c r="B612" s="1" t="n">
        <v>44448</v>
      </c>
      <c r="C612" s="1" t="n">
        <v>45788</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47546-2021</t>
        </is>
      </c>
      <c r="B613" s="1" t="n">
        <v>44448</v>
      </c>
      <c r="C613" s="1" t="n">
        <v>45788</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47996-2021</t>
        </is>
      </c>
      <c r="B614" s="1" t="n">
        <v>44448</v>
      </c>
      <c r="C614" s="1" t="n">
        <v>45788</v>
      </c>
      <c r="D614" t="inlineStr">
        <is>
          <t>JÄMTLANDS LÄN</t>
        </is>
      </c>
      <c r="E614" t="inlineStr">
        <is>
          <t>RAGUNDA</t>
        </is>
      </c>
      <c r="G614" t="n">
        <v>1.3</v>
      </c>
      <c r="H614" t="n">
        <v>0</v>
      </c>
      <c r="I614" t="n">
        <v>0</v>
      </c>
      <c r="J614" t="n">
        <v>0</v>
      </c>
      <c r="K614" t="n">
        <v>0</v>
      </c>
      <c r="L614" t="n">
        <v>0</v>
      </c>
      <c r="M614" t="n">
        <v>0</v>
      </c>
      <c r="N614" t="n">
        <v>0</v>
      </c>
      <c r="O614" t="n">
        <v>0</v>
      </c>
      <c r="P614" t="n">
        <v>0</v>
      </c>
      <c r="Q614" t="n">
        <v>0</v>
      </c>
      <c r="R614" s="2" t="inlineStr"/>
    </row>
    <row r="615" ht="15" customHeight="1">
      <c r="A615" t="inlineStr">
        <is>
          <t>A 48832-2021</t>
        </is>
      </c>
      <c r="B615" s="1" t="n">
        <v>44452</v>
      </c>
      <c r="C615" s="1" t="n">
        <v>45788</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49202-2021</t>
        </is>
      </c>
      <c r="B616" s="1" t="n">
        <v>44453</v>
      </c>
      <c r="C616" s="1" t="n">
        <v>45788</v>
      </c>
      <c r="D616" t="inlineStr">
        <is>
          <t>JÄMTLANDS LÄN</t>
        </is>
      </c>
      <c r="E616" t="inlineStr">
        <is>
          <t>RAGUNDA</t>
        </is>
      </c>
      <c r="G616" t="n">
        <v>23.4</v>
      </c>
      <c r="H616" t="n">
        <v>0</v>
      </c>
      <c r="I616" t="n">
        <v>0</v>
      </c>
      <c r="J616" t="n">
        <v>0</v>
      </c>
      <c r="K616" t="n">
        <v>0</v>
      </c>
      <c r="L616" t="n">
        <v>0</v>
      </c>
      <c r="M616" t="n">
        <v>0</v>
      </c>
      <c r="N616" t="n">
        <v>0</v>
      </c>
      <c r="O616" t="n">
        <v>0</v>
      </c>
      <c r="P616" t="n">
        <v>0</v>
      </c>
      <c r="Q616" t="n">
        <v>0</v>
      </c>
      <c r="R616" s="2" t="inlineStr"/>
    </row>
    <row r="617" ht="15" customHeight="1">
      <c r="A617" t="inlineStr">
        <is>
          <t>A 50168-2021</t>
        </is>
      </c>
      <c r="B617" s="1" t="n">
        <v>44457</v>
      </c>
      <c r="C617" s="1" t="n">
        <v>45788</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52334-2021</t>
        </is>
      </c>
      <c r="B618" s="1" t="n">
        <v>44464</v>
      </c>
      <c r="C618" s="1" t="n">
        <v>45788</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52333-2021</t>
        </is>
      </c>
      <c r="B619" s="1" t="n">
        <v>44464</v>
      </c>
      <c r="C619" s="1" t="n">
        <v>45788</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55701-2021</t>
        </is>
      </c>
      <c r="B620" s="1" t="n">
        <v>44475</v>
      </c>
      <c r="C620" s="1" t="n">
        <v>45788</v>
      </c>
      <c r="D620" t="inlineStr">
        <is>
          <t>JÄMTLANDS LÄN</t>
        </is>
      </c>
      <c r="E620" t="inlineStr">
        <is>
          <t>RAGUNDA</t>
        </is>
      </c>
      <c r="G620" t="n">
        <v>5.6</v>
      </c>
      <c r="H620" t="n">
        <v>0</v>
      </c>
      <c r="I620" t="n">
        <v>0</v>
      </c>
      <c r="J620" t="n">
        <v>0</v>
      </c>
      <c r="K620" t="n">
        <v>0</v>
      </c>
      <c r="L620" t="n">
        <v>0</v>
      </c>
      <c r="M620" t="n">
        <v>0</v>
      </c>
      <c r="N620" t="n">
        <v>0</v>
      </c>
      <c r="O620" t="n">
        <v>0</v>
      </c>
      <c r="P620" t="n">
        <v>0</v>
      </c>
      <c r="Q620" t="n">
        <v>0</v>
      </c>
      <c r="R620" s="2" t="inlineStr"/>
    </row>
    <row r="621" ht="15" customHeight="1">
      <c r="A621" t="inlineStr">
        <is>
          <t>A 55932-2021</t>
        </is>
      </c>
      <c r="B621" s="1" t="n">
        <v>44476</v>
      </c>
      <c r="C621" s="1" t="n">
        <v>45788</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56055-2021</t>
        </is>
      </c>
      <c r="B622" s="1" t="n">
        <v>44477</v>
      </c>
      <c r="C622" s="1" t="n">
        <v>45788</v>
      </c>
      <c r="D622" t="inlineStr">
        <is>
          <t>JÄMTLANDS LÄN</t>
        </is>
      </c>
      <c r="E622" t="inlineStr">
        <is>
          <t>RAGUNDA</t>
        </is>
      </c>
      <c r="G622" t="n">
        <v>3.9</v>
      </c>
      <c r="H622" t="n">
        <v>0</v>
      </c>
      <c r="I622" t="n">
        <v>0</v>
      </c>
      <c r="J622" t="n">
        <v>0</v>
      </c>
      <c r="K622" t="n">
        <v>0</v>
      </c>
      <c r="L622" t="n">
        <v>0</v>
      </c>
      <c r="M622" t="n">
        <v>0</v>
      </c>
      <c r="N622" t="n">
        <v>0</v>
      </c>
      <c r="O622" t="n">
        <v>0</v>
      </c>
      <c r="P622" t="n">
        <v>0</v>
      </c>
      <c r="Q622" t="n">
        <v>0</v>
      </c>
      <c r="R622" s="2" t="inlineStr"/>
    </row>
    <row r="623" ht="15" customHeight="1">
      <c r="A623" t="inlineStr">
        <is>
          <t>A 56594-2021</t>
        </is>
      </c>
      <c r="B623" s="1" t="n">
        <v>44480</v>
      </c>
      <c r="C623" s="1" t="n">
        <v>45788</v>
      </c>
      <c r="D623" t="inlineStr">
        <is>
          <t>JÄMTLANDS LÄN</t>
        </is>
      </c>
      <c r="E623" t="inlineStr">
        <is>
          <t>RAGUNDA</t>
        </is>
      </c>
      <c r="G623" t="n">
        <v>5.4</v>
      </c>
      <c r="H623" t="n">
        <v>0</v>
      </c>
      <c r="I623" t="n">
        <v>0</v>
      </c>
      <c r="J623" t="n">
        <v>0</v>
      </c>
      <c r="K623" t="n">
        <v>0</v>
      </c>
      <c r="L623" t="n">
        <v>0</v>
      </c>
      <c r="M623" t="n">
        <v>0</v>
      </c>
      <c r="N623" t="n">
        <v>0</v>
      </c>
      <c r="O623" t="n">
        <v>0</v>
      </c>
      <c r="P623" t="n">
        <v>0</v>
      </c>
      <c r="Q623" t="n">
        <v>0</v>
      </c>
      <c r="R623" s="2" t="inlineStr"/>
    </row>
    <row r="624" ht="15" customHeight="1">
      <c r="A624" t="inlineStr">
        <is>
          <t>A 57194-2021</t>
        </is>
      </c>
      <c r="B624" s="1" t="n">
        <v>44483</v>
      </c>
      <c r="C624" s="1" t="n">
        <v>45788</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58960-2021</t>
        </is>
      </c>
      <c r="B625" s="1" t="n">
        <v>44490</v>
      </c>
      <c r="C625" s="1" t="n">
        <v>45788</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58984-2021</t>
        </is>
      </c>
      <c r="B626" s="1" t="n">
        <v>44490</v>
      </c>
      <c r="C626" s="1" t="n">
        <v>45788</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59321-2021</t>
        </is>
      </c>
      <c r="B627" s="1" t="n">
        <v>44491</v>
      </c>
      <c r="C627" s="1" t="n">
        <v>45788</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59996-2021</t>
        </is>
      </c>
      <c r="B628" s="1" t="n">
        <v>44495</v>
      </c>
      <c r="C628" s="1" t="n">
        <v>45788</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60313-2021</t>
        </is>
      </c>
      <c r="B629" s="1" t="n">
        <v>44495</v>
      </c>
      <c r="C629" s="1" t="n">
        <v>45788</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60312-2021</t>
        </is>
      </c>
      <c r="B630" s="1" t="n">
        <v>44496</v>
      </c>
      <c r="C630" s="1" t="n">
        <v>45788</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60957-2021</t>
        </is>
      </c>
      <c r="B631" s="1" t="n">
        <v>44496</v>
      </c>
      <c r="C631" s="1" t="n">
        <v>45788</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61442-2021</t>
        </is>
      </c>
      <c r="B632" s="1" t="n">
        <v>44500</v>
      </c>
      <c r="C632" s="1" t="n">
        <v>45788</v>
      </c>
      <c r="D632" t="inlineStr">
        <is>
          <t>JÄMTLANDS LÄN</t>
        </is>
      </c>
      <c r="E632" t="inlineStr">
        <is>
          <t>RAGUNDA</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62956-2021</t>
        </is>
      </c>
      <c r="B633" s="1" t="n">
        <v>44504</v>
      </c>
      <c r="C633" s="1" t="n">
        <v>45788</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63169-2021</t>
        </is>
      </c>
      <c r="B634" s="1" t="n">
        <v>44505</v>
      </c>
      <c r="C634" s="1" t="n">
        <v>45788</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63168-2021</t>
        </is>
      </c>
      <c r="B635" s="1" t="n">
        <v>44505</v>
      </c>
      <c r="C635" s="1" t="n">
        <v>45788</v>
      </c>
      <c r="D635" t="inlineStr">
        <is>
          <t>JÄMTLANDS LÄN</t>
        </is>
      </c>
      <c r="E635" t="inlineStr">
        <is>
          <t>RAGUNDA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64511-2021</t>
        </is>
      </c>
      <c r="B636" s="1" t="n">
        <v>44511</v>
      </c>
      <c r="C636" s="1" t="n">
        <v>45788</v>
      </c>
      <c r="D636" t="inlineStr">
        <is>
          <t>JÄMTLANDS LÄN</t>
        </is>
      </c>
      <c r="E636" t="inlineStr">
        <is>
          <t>RAGUNDA</t>
        </is>
      </c>
      <c r="G636" t="n">
        <v>19.4</v>
      </c>
      <c r="H636" t="n">
        <v>0</v>
      </c>
      <c r="I636" t="n">
        <v>0</v>
      </c>
      <c r="J636" t="n">
        <v>0</v>
      </c>
      <c r="K636" t="n">
        <v>0</v>
      </c>
      <c r="L636" t="n">
        <v>0</v>
      </c>
      <c r="M636" t="n">
        <v>0</v>
      </c>
      <c r="N636" t="n">
        <v>0</v>
      </c>
      <c r="O636" t="n">
        <v>0</v>
      </c>
      <c r="P636" t="n">
        <v>0</v>
      </c>
      <c r="Q636" t="n">
        <v>0</v>
      </c>
      <c r="R636" s="2" t="inlineStr"/>
    </row>
    <row r="637" ht="15" customHeight="1">
      <c r="A637" t="inlineStr">
        <is>
          <t>A 64629-2021</t>
        </is>
      </c>
      <c r="B637" s="1" t="n">
        <v>44511</v>
      </c>
      <c r="C637" s="1" t="n">
        <v>45788</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64959-2021</t>
        </is>
      </c>
      <c r="B638" s="1" t="n">
        <v>44512</v>
      </c>
      <c r="C638" s="1" t="n">
        <v>45788</v>
      </c>
      <c r="D638" t="inlineStr">
        <is>
          <t>JÄMTLANDS LÄN</t>
        </is>
      </c>
      <c r="E638" t="inlineStr">
        <is>
          <t>RAGUNDA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65017-2021</t>
        </is>
      </c>
      <c r="B639" s="1" t="n">
        <v>44512</v>
      </c>
      <c r="C639" s="1" t="n">
        <v>45788</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65424-2021</t>
        </is>
      </c>
      <c r="B640" s="1" t="n">
        <v>44515</v>
      </c>
      <c r="C640" s="1" t="n">
        <v>45788</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66147-2021</t>
        </is>
      </c>
      <c r="B641" s="1" t="n">
        <v>44517</v>
      </c>
      <c r="C641" s="1" t="n">
        <v>45788</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66059-2021</t>
        </is>
      </c>
      <c r="B642" s="1" t="n">
        <v>44517</v>
      </c>
      <c r="C642" s="1" t="n">
        <v>45788</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66472-2021</t>
        </is>
      </c>
      <c r="B643" s="1" t="n">
        <v>44518</v>
      </c>
      <c r="C643" s="1" t="n">
        <v>45788</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45788</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66489-2021</t>
        </is>
      </c>
      <c r="B645" s="1" t="n">
        <v>44518</v>
      </c>
      <c r="C645" s="1" t="n">
        <v>45788</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66707-2021</t>
        </is>
      </c>
      <c r="B646" s="1" t="n">
        <v>44519</v>
      </c>
      <c r="C646" s="1" t="n">
        <v>45788</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66706-2021</t>
        </is>
      </c>
      <c r="B647" s="1" t="n">
        <v>44519</v>
      </c>
      <c r="C647" s="1" t="n">
        <v>45788</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66715-2021</t>
        </is>
      </c>
      <c r="B648" s="1" t="n">
        <v>44519</v>
      </c>
      <c r="C648" s="1" t="n">
        <v>45788</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69164-2021</t>
        </is>
      </c>
      <c r="B649" s="1" t="n">
        <v>44530</v>
      </c>
      <c r="C649" s="1" t="n">
        <v>45788</v>
      </c>
      <c r="D649" t="inlineStr">
        <is>
          <t>JÄMTLANDS LÄN</t>
        </is>
      </c>
      <c r="E649" t="inlineStr">
        <is>
          <t>RAGUNDA</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69316-2021</t>
        </is>
      </c>
      <c r="B650" s="1" t="n">
        <v>44530</v>
      </c>
      <c r="C650" s="1" t="n">
        <v>45788</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69153-2021</t>
        </is>
      </c>
      <c r="B651" s="1" t="n">
        <v>44530</v>
      </c>
      <c r="C651" s="1" t="n">
        <v>45788</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70609-2021</t>
        </is>
      </c>
      <c r="B652" s="1" t="n">
        <v>44537</v>
      </c>
      <c r="C652" s="1" t="n">
        <v>45788</v>
      </c>
      <c r="D652" t="inlineStr">
        <is>
          <t>JÄMTLANDS LÄN</t>
        </is>
      </c>
      <c r="E652" t="inlineStr">
        <is>
          <t>RAGUNDA</t>
        </is>
      </c>
      <c r="G652" t="n">
        <v>4.5</v>
      </c>
      <c r="H652" t="n">
        <v>0</v>
      </c>
      <c r="I652" t="n">
        <v>0</v>
      </c>
      <c r="J652" t="n">
        <v>0</v>
      </c>
      <c r="K652" t="n">
        <v>0</v>
      </c>
      <c r="L652" t="n">
        <v>0</v>
      </c>
      <c r="M652" t="n">
        <v>0</v>
      </c>
      <c r="N652" t="n">
        <v>0</v>
      </c>
      <c r="O652" t="n">
        <v>0</v>
      </c>
      <c r="P652" t="n">
        <v>0</v>
      </c>
      <c r="Q652" t="n">
        <v>0</v>
      </c>
      <c r="R652" s="2" t="inlineStr"/>
    </row>
    <row r="653" ht="15" customHeight="1">
      <c r="A653" t="inlineStr">
        <is>
          <t>A 71209-2021</t>
        </is>
      </c>
      <c r="B653" s="1" t="n">
        <v>44538</v>
      </c>
      <c r="C653" s="1" t="n">
        <v>45788</v>
      </c>
      <c r="D653" t="inlineStr">
        <is>
          <t>JÄMTLANDS LÄN</t>
        </is>
      </c>
      <c r="E653" t="inlineStr">
        <is>
          <t>RAGUNDA</t>
        </is>
      </c>
      <c r="G653" t="n">
        <v>8</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v>
      </c>
      <c r="C654" s="1" t="n">
        <v>45788</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891-2022</t>
        </is>
      </c>
      <c r="B655" s="1" t="n">
        <v>44571</v>
      </c>
      <c r="C655" s="1" t="n">
        <v>45788</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1540-2022</t>
        </is>
      </c>
      <c r="B656" s="1" t="n">
        <v>44573</v>
      </c>
      <c r="C656" s="1" t="n">
        <v>45788</v>
      </c>
      <c r="D656" t="inlineStr">
        <is>
          <t>JÄMTLANDS LÄN</t>
        </is>
      </c>
      <c r="E656" t="inlineStr">
        <is>
          <t>RAGUNDA</t>
        </is>
      </c>
      <c r="G656" t="n">
        <v>1.6</v>
      </c>
      <c r="H656" t="n">
        <v>0</v>
      </c>
      <c r="I656" t="n">
        <v>0</v>
      </c>
      <c r="J656" t="n">
        <v>0</v>
      </c>
      <c r="K656" t="n">
        <v>0</v>
      </c>
      <c r="L656" t="n">
        <v>0</v>
      </c>
      <c r="M656" t="n">
        <v>0</v>
      </c>
      <c r="N656" t="n">
        <v>0</v>
      </c>
      <c r="O656" t="n">
        <v>0</v>
      </c>
      <c r="P656" t="n">
        <v>0</v>
      </c>
      <c r="Q656" t="n">
        <v>0</v>
      </c>
      <c r="R656" s="2" t="inlineStr"/>
    </row>
    <row r="657" ht="15" customHeight="1">
      <c r="A657" t="inlineStr">
        <is>
          <t>A 1782-2022</t>
        </is>
      </c>
      <c r="B657" s="1" t="n">
        <v>44574</v>
      </c>
      <c r="C657" s="1" t="n">
        <v>45788</v>
      </c>
      <c r="D657" t="inlineStr">
        <is>
          <t>JÄMTLANDS LÄN</t>
        </is>
      </c>
      <c r="E657" t="inlineStr">
        <is>
          <t>RAGUNDA</t>
        </is>
      </c>
      <c r="G657" t="n">
        <v>3.7</v>
      </c>
      <c r="H657" t="n">
        <v>0</v>
      </c>
      <c r="I657" t="n">
        <v>0</v>
      </c>
      <c r="J657" t="n">
        <v>0</v>
      </c>
      <c r="K657" t="n">
        <v>0</v>
      </c>
      <c r="L657" t="n">
        <v>0</v>
      </c>
      <c r="M657" t="n">
        <v>0</v>
      </c>
      <c r="N657" t="n">
        <v>0</v>
      </c>
      <c r="O657" t="n">
        <v>0</v>
      </c>
      <c r="P657" t="n">
        <v>0</v>
      </c>
      <c r="Q657" t="n">
        <v>0</v>
      </c>
      <c r="R657" s="2" t="inlineStr"/>
    </row>
    <row r="658" ht="15" customHeight="1">
      <c r="A658" t="inlineStr">
        <is>
          <t>A 1858-2022</t>
        </is>
      </c>
      <c r="B658" s="1" t="n">
        <v>44574</v>
      </c>
      <c r="C658" s="1" t="n">
        <v>45788</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2336-2022</t>
        </is>
      </c>
      <c r="B659" s="1" t="n">
        <v>44578</v>
      </c>
      <c r="C659" s="1" t="n">
        <v>45788</v>
      </c>
      <c r="D659" t="inlineStr">
        <is>
          <t>JÄMTLANDS LÄN</t>
        </is>
      </c>
      <c r="E659" t="inlineStr">
        <is>
          <t>RAGUNDA</t>
        </is>
      </c>
      <c r="G659" t="n">
        <v>0.5</v>
      </c>
      <c r="H659" t="n">
        <v>0</v>
      </c>
      <c r="I659" t="n">
        <v>0</v>
      </c>
      <c r="J659" t="n">
        <v>0</v>
      </c>
      <c r="K659" t="n">
        <v>0</v>
      </c>
      <c r="L659" t="n">
        <v>0</v>
      </c>
      <c r="M659" t="n">
        <v>0</v>
      </c>
      <c r="N659" t="n">
        <v>0</v>
      </c>
      <c r="O659" t="n">
        <v>0</v>
      </c>
      <c r="P659" t="n">
        <v>0</v>
      </c>
      <c r="Q659" t="n">
        <v>0</v>
      </c>
      <c r="R659" s="2" t="inlineStr"/>
    </row>
    <row r="660" ht="15" customHeight="1">
      <c r="A660" t="inlineStr">
        <is>
          <t>A 2337-2022</t>
        </is>
      </c>
      <c r="B660" s="1" t="n">
        <v>44578</v>
      </c>
      <c r="C660" s="1" t="n">
        <v>45788</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2338-2022</t>
        </is>
      </c>
      <c r="B661" s="1" t="n">
        <v>44578</v>
      </c>
      <c r="C661" s="1" t="n">
        <v>45788</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2494-2022</t>
        </is>
      </c>
      <c r="B662" s="1" t="n">
        <v>44579</v>
      </c>
      <c r="C662" s="1" t="n">
        <v>45788</v>
      </c>
      <c r="D662" t="inlineStr">
        <is>
          <t>JÄMTLANDS LÄN</t>
        </is>
      </c>
      <c r="E662" t="inlineStr">
        <is>
          <t>RAGUNDA</t>
        </is>
      </c>
      <c r="G662" t="n">
        <v>0.6</v>
      </c>
      <c r="H662" t="n">
        <v>0</v>
      </c>
      <c r="I662" t="n">
        <v>0</v>
      </c>
      <c r="J662" t="n">
        <v>0</v>
      </c>
      <c r="K662" t="n">
        <v>0</v>
      </c>
      <c r="L662" t="n">
        <v>0</v>
      </c>
      <c r="M662" t="n">
        <v>0</v>
      </c>
      <c r="N662" t="n">
        <v>0</v>
      </c>
      <c r="O662" t="n">
        <v>0</v>
      </c>
      <c r="P662" t="n">
        <v>0</v>
      </c>
      <c r="Q662" t="n">
        <v>0</v>
      </c>
      <c r="R662" s="2" t="inlineStr"/>
    </row>
    <row r="663" ht="15" customHeight="1">
      <c r="A663" t="inlineStr">
        <is>
          <t>A 3796-2022</t>
        </is>
      </c>
      <c r="B663" s="1" t="n">
        <v>44586</v>
      </c>
      <c r="C663" s="1" t="n">
        <v>45788</v>
      </c>
      <c r="D663" t="inlineStr">
        <is>
          <t>JÄMTLANDS LÄN</t>
        </is>
      </c>
      <c r="E663" t="inlineStr">
        <is>
          <t>RAGUNDA</t>
        </is>
      </c>
      <c r="G663" t="n">
        <v>1.2</v>
      </c>
      <c r="H663" t="n">
        <v>0</v>
      </c>
      <c r="I663" t="n">
        <v>0</v>
      </c>
      <c r="J663" t="n">
        <v>0</v>
      </c>
      <c r="K663" t="n">
        <v>0</v>
      </c>
      <c r="L663" t="n">
        <v>0</v>
      </c>
      <c r="M663" t="n">
        <v>0</v>
      </c>
      <c r="N663" t="n">
        <v>0</v>
      </c>
      <c r="O663" t="n">
        <v>0</v>
      </c>
      <c r="P663" t="n">
        <v>0</v>
      </c>
      <c r="Q663" t="n">
        <v>0</v>
      </c>
      <c r="R663" s="2" t="inlineStr"/>
    </row>
    <row r="664" ht="15" customHeight="1">
      <c r="A664" t="inlineStr">
        <is>
          <t>A 4014-2022</t>
        </is>
      </c>
      <c r="B664" s="1" t="n">
        <v>44587</v>
      </c>
      <c r="C664" s="1" t="n">
        <v>45788</v>
      </c>
      <c r="D664" t="inlineStr">
        <is>
          <t>JÄMTLANDS LÄN</t>
        </is>
      </c>
      <c r="E664" t="inlineStr">
        <is>
          <t>RAGUNDA</t>
        </is>
      </c>
      <c r="G664" t="n">
        <v>3.6</v>
      </c>
      <c r="H664" t="n">
        <v>0</v>
      </c>
      <c r="I664" t="n">
        <v>0</v>
      </c>
      <c r="J664" t="n">
        <v>0</v>
      </c>
      <c r="K664" t="n">
        <v>0</v>
      </c>
      <c r="L664" t="n">
        <v>0</v>
      </c>
      <c r="M664" t="n">
        <v>0</v>
      </c>
      <c r="N664" t="n">
        <v>0</v>
      </c>
      <c r="O664" t="n">
        <v>0</v>
      </c>
      <c r="P664" t="n">
        <v>0</v>
      </c>
      <c r="Q664" t="n">
        <v>0</v>
      </c>
      <c r="R664" s="2" t="inlineStr"/>
    </row>
    <row r="665" ht="15" customHeight="1">
      <c r="A665" t="inlineStr">
        <is>
          <t>A 4015-2022</t>
        </is>
      </c>
      <c r="B665" s="1" t="n">
        <v>44587</v>
      </c>
      <c r="C665" s="1" t="n">
        <v>45788</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4878-2022</t>
        </is>
      </c>
      <c r="B666" s="1" t="n">
        <v>44593</v>
      </c>
      <c r="C666" s="1" t="n">
        <v>45788</v>
      </c>
      <c r="D666" t="inlineStr">
        <is>
          <t>JÄMTLANDS LÄN</t>
        </is>
      </c>
      <c r="E666" t="inlineStr">
        <is>
          <t>RAGUNDA</t>
        </is>
      </c>
      <c r="G666" t="n">
        <v>21.7</v>
      </c>
      <c r="H666" t="n">
        <v>0</v>
      </c>
      <c r="I666" t="n">
        <v>0</v>
      </c>
      <c r="J666" t="n">
        <v>0</v>
      </c>
      <c r="K666" t="n">
        <v>0</v>
      </c>
      <c r="L666" t="n">
        <v>0</v>
      </c>
      <c r="M666" t="n">
        <v>0</v>
      </c>
      <c r="N666" t="n">
        <v>0</v>
      </c>
      <c r="O666" t="n">
        <v>0</v>
      </c>
      <c r="P666" t="n">
        <v>0</v>
      </c>
      <c r="Q666" t="n">
        <v>0</v>
      </c>
      <c r="R666" s="2" t="inlineStr"/>
    </row>
    <row r="667" ht="15" customHeight="1">
      <c r="A667" t="inlineStr">
        <is>
          <t>A 5515-2022</t>
        </is>
      </c>
      <c r="B667" s="1" t="n">
        <v>44595</v>
      </c>
      <c r="C667" s="1" t="n">
        <v>45788</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5644-2022</t>
        </is>
      </c>
      <c r="B668" s="1" t="n">
        <v>44595</v>
      </c>
      <c r="C668" s="1" t="n">
        <v>45788</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5652-2022</t>
        </is>
      </c>
      <c r="B669" s="1" t="n">
        <v>44595</v>
      </c>
      <c r="C669" s="1" t="n">
        <v>45788</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6177-2022</t>
        </is>
      </c>
      <c r="B670" s="1" t="n">
        <v>44600</v>
      </c>
      <c r="C670" s="1" t="n">
        <v>45788</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6492-2022</t>
        </is>
      </c>
      <c r="B671" s="1" t="n">
        <v>44601</v>
      </c>
      <c r="C671" s="1" t="n">
        <v>45788</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6490-2022</t>
        </is>
      </c>
      <c r="B672" s="1" t="n">
        <v>44601</v>
      </c>
      <c r="C672" s="1" t="n">
        <v>45788</v>
      </c>
      <c r="D672" t="inlineStr">
        <is>
          <t>JÄMTLANDS LÄN</t>
        </is>
      </c>
      <c r="E672" t="inlineStr">
        <is>
          <t>RAGUNDA</t>
        </is>
      </c>
      <c r="G672" t="n">
        <v>3.8</v>
      </c>
      <c r="H672" t="n">
        <v>0</v>
      </c>
      <c r="I672" t="n">
        <v>0</v>
      </c>
      <c r="J672" t="n">
        <v>0</v>
      </c>
      <c r="K672" t="n">
        <v>0</v>
      </c>
      <c r="L672" t="n">
        <v>0</v>
      </c>
      <c r="M672" t="n">
        <v>0</v>
      </c>
      <c r="N672" t="n">
        <v>0</v>
      </c>
      <c r="O672" t="n">
        <v>0</v>
      </c>
      <c r="P672" t="n">
        <v>0</v>
      </c>
      <c r="Q672" t="n">
        <v>0</v>
      </c>
      <c r="R672" s="2" t="inlineStr"/>
    </row>
    <row r="673" ht="15" customHeight="1">
      <c r="A673" t="inlineStr">
        <is>
          <t>A 7448-2022</t>
        </is>
      </c>
      <c r="B673" s="1" t="n">
        <v>44606</v>
      </c>
      <c r="C673" s="1" t="n">
        <v>45788</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7668-2022</t>
        </is>
      </c>
      <c r="B674" s="1" t="n">
        <v>44607</v>
      </c>
      <c r="C674" s="1" t="n">
        <v>45788</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7695-2022</t>
        </is>
      </c>
      <c r="B675" s="1" t="n">
        <v>44607</v>
      </c>
      <c r="C675" s="1" t="n">
        <v>45788</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8231-2022</t>
        </is>
      </c>
      <c r="B676" s="1" t="n">
        <v>44609</v>
      </c>
      <c r="C676" s="1" t="n">
        <v>45788</v>
      </c>
      <c r="D676" t="inlineStr">
        <is>
          <t>JÄMTLANDS LÄN</t>
        </is>
      </c>
      <c r="E676" t="inlineStr">
        <is>
          <t>RAGUNDA</t>
        </is>
      </c>
      <c r="F676" t="inlineStr">
        <is>
          <t>SCA</t>
        </is>
      </c>
      <c r="G676" t="n">
        <v>24.1</v>
      </c>
      <c r="H676" t="n">
        <v>0</v>
      </c>
      <c r="I676" t="n">
        <v>0</v>
      </c>
      <c r="J676" t="n">
        <v>0</v>
      </c>
      <c r="K676" t="n">
        <v>0</v>
      </c>
      <c r="L676" t="n">
        <v>0</v>
      </c>
      <c r="M676" t="n">
        <v>0</v>
      </c>
      <c r="N676" t="n">
        <v>0</v>
      </c>
      <c r="O676" t="n">
        <v>0</v>
      </c>
      <c r="P676" t="n">
        <v>0</v>
      </c>
      <c r="Q676" t="n">
        <v>0</v>
      </c>
      <c r="R676" s="2" t="inlineStr"/>
    </row>
    <row r="677" ht="15" customHeight="1">
      <c r="A677" t="inlineStr">
        <is>
          <t>A 8237-2022</t>
        </is>
      </c>
      <c r="B677" s="1" t="n">
        <v>44609</v>
      </c>
      <c r="C677" s="1" t="n">
        <v>45788</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8795-2022</t>
        </is>
      </c>
      <c r="B678" s="1" t="n">
        <v>44614</v>
      </c>
      <c r="C678" s="1" t="n">
        <v>45788</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8808-2022</t>
        </is>
      </c>
      <c r="B679" s="1" t="n">
        <v>44614</v>
      </c>
      <c r="C679" s="1" t="n">
        <v>45788</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8802-2022</t>
        </is>
      </c>
      <c r="B680" s="1" t="n">
        <v>44614</v>
      </c>
      <c r="C680" s="1" t="n">
        <v>45788</v>
      </c>
      <c r="D680" t="inlineStr">
        <is>
          <t>JÄMTLANDS LÄN</t>
        </is>
      </c>
      <c r="E680" t="inlineStr">
        <is>
          <t>RAGUNDA</t>
        </is>
      </c>
      <c r="G680" t="n">
        <v>2.8</v>
      </c>
      <c r="H680" t="n">
        <v>0</v>
      </c>
      <c r="I680" t="n">
        <v>0</v>
      </c>
      <c r="J680" t="n">
        <v>0</v>
      </c>
      <c r="K680" t="n">
        <v>0</v>
      </c>
      <c r="L680" t="n">
        <v>0</v>
      </c>
      <c r="M680" t="n">
        <v>0</v>
      </c>
      <c r="N680" t="n">
        <v>0</v>
      </c>
      <c r="O680" t="n">
        <v>0</v>
      </c>
      <c r="P680" t="n">
        <v>0</v>
      </c>
      <c r="Q680" t="n">
        <v>0</v>
      </c>
      <c r="R680" s="2" t="inlineStr"/>
    </row>
    <row r="681" ht="15" customHeight="1">
      <c r="A681" t="inlineStr">
        <is>
          <t>A 8811-2022</t>
        </is>
      </c>
      <c r="B681" s="1" t="n">
        <v>44614</v>
      </c>
      <c r="C681" s="1" t="n">
        <v>45788</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8787-2022</t>
        </is>
      </c>
      <c r="B682" s="1" t="n">
        <v>44614</v>
      </c>
      <c r="C682" s="1" t="n">
        <v>45788</v>
      </c>
      <c r="D682" t="inlineStr">
        <is>
          <t>JÄMTLANDS LÄN</t>
        </is>
      </c>
      <c r="E682" t="inlineStr">
        <is>
          <t>RAGUNDA</t>
        </is>
      </c>
      <c r="G682" t="n">
        <v>6.4</v>
      </c>
      <c r="H682" t="n">
        <v>0</v>
      </c>
      <c r="I682" t="n">
        <v>0</v>
      </c>
      <c r="J682" t="n">
        <v>0</v>
      </c>
      <c r="K682" t="n">
        <v>0</v>
      </c>
      <c r="L682" t="n">
        <v>0</v>
      </c>
      <c r="M682" t="n">
        <v>0</v>
      </c>
      <c r="N682" t="n">
        <v>0</v>
      </c>
      <c r="O682" t="n">
        <v>0</v>
      </c>
      <c r="P682" t="n">
        <v>0</v>
      </c>
      <c r="Q682" t="n">
        <v>0</v>
      </c>
      <c r="R682" s="2" t="inlineStr"/>
    </row>
    <row r="683" ht="15" customHeight="1">
      <c r="A683" t="inlineStr">
        <is>
          <t>A 9187-2022</t>
        </is>
      </c>
      <c r="B683" s="1" t="n">
        <v>44615</v>
      </c>
      <c r="C683" s="1" t="n">
        <v>45788</v>
      </c>
      <c r="D683" t="inlineStr">
        <is>
          <t>JÄMTLANDS LÄN</t>
        </is>
      </c>
      <c r="E683" t="inlineStr">
        <is>
          <t>RAGUNDA</t>
        </is>
      </c>
      <c r="G683" t="n">
        <v>2</v>
      </c>
      <c r="H683" t="n">
        <v>0</v>
      </c>
      <c r="I683" t="n">
        <v>0</v>
      </c>
      <c r="J683" t="n">
        <v>0</v>
      </c>
      <c r="K683" t="n">
        <v>0</v>
      </c>
      <c r="L683" t="n">
        <v>0</v>
      </c>
      <c r="M683" t="n">
        <v>0</v>
      </c>
      <c r="N683" t="n">
        <v>0</v>
      </c>
      <c r="O683" t="n">
        <v>0</v>
      </c>
      <c r="P683" t="n">
        <v>0</v>
      </c>
      <c r="Q683" t="n">
        <v>0</v>
      </c>
      <c r="R683" s="2" t="inlineStr"/>
    </row>
    <row r="684" ht="15" customHeight="1">
      <c r="A684" t="inlineStr">
        <is>
          <t>A 9199-2022</t>
        </is>
      </c>
      <c r="B684" s="1" t="n">
        <v>44615</v>
      </c>
      <c r="C684" s="1" t="n">
        <v>45788</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9185-2022</t>
        </is>
      </c>
      <c r="B685" s="1" t="n">
        <v>44615</v>
      </c>
      <c r="C685" s="1" t="n">
        <v>45788</v>
      </c>
      <c r="D685" t="inlineStr">
        <is>
          <t>JÄMTLANDS LÄN</t>
        </is>
      </c>
      <c r="E685" t="inlineStr">
        <is>
          <t>RAGUNDA</t>
        </is>
      </c>
      <c r="G685" t="n">
        <v>1.1</v>
      </c>
      <c r="H685" t="n">
        <v>0</v>
      </c>
      <c r="I685" t="n">
        <v>0</v>
      </c>
      <c r="J685" t="n">
        <v>0</v>
      </c>
      <c r="K685" t="n">
        <v>0</v>
      </c>
      <c r="L685" t="n">
        <v>0</v>
      </c>
      <c r="M685" t="n">
        <v>0</v>
      </c>
      <c r="N685" t="n">
        <v>0</v>
      </c>
      <c r="O685" t="n">
        <v>0</v>
      </c>
      <c r="P685" t="n">
        <v>0</v>
      </c>
      <c r="Q685" t="n">
        <v>0</v>
      </c>
      <c r="R685" s="2" t="inlineStr"/>
    </row>
    <row r="686" ht="15" customHeight="1">
      <c r="A686" t="inlineStr">
        <is>
          <t>A 10120-2022</t>
        </is>
      </c>
      <c r="B686" s="1" t="n">
        <v>44621</v>
      </c>
      <c r="C686" s="1" t="n">
        <v>45788</v>
      </c>
      <c r="D686" t="inlineStr">
        <is>
          <t>JÄMTLANDS LÄN</t>
        </is>
      </c>
      <c r="E686" t="inlineStr">
        <is>
          <t>RAGUNDA</t>
        </is>
      </c>
      <c r="G686" t="n">
        <v>0.4</v>
      </c>
      <c r="H686" t="n">
        <v>0</v>
      </c>
      <c r="I686" t="n">
        <v>0</v>
      </c>
      <c r="J686" t="n">
        <v>0</v>
      </c>
      <c r="K686" t="n">
        <v>0</v>
      </c>
      <c r="L686" t="n">
        <v>0</v>
      </c>
      <c r="M686" t="n">
        <v>0</v>
      </c>
      <c r="N686" t="n">
        <v>0</v>
      </c>
      <c r="O686" t="n">
        <v>0</v>
      </c>
      <c r="P686" t="n">
        <v>0</v>
      </c>
      <c r="Q686" t="n">
        <v>0</v>
      </c>
      <c r="R686" s="2" t="inlineStr"/>
    </row>
    <row r="687" ht="15" customHeight="1">
      <c r="A687" t="inlineStr">
        <is>
          <t>A 10905-2022</t>
        </is>
      </c>
      <c r="B687" s="1" t="n">
        <v>44627</v>
      </c>
      <c r="C687" s="1" t="n">
        <v>45788</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10972-2022</t>
        </is>
      </c>
      <c r="B688" s="1" t="n">
        <v>44628</v>
      </c>
      <c r="C688" s="1" t="n">
        <v>45788</v>
      </c>
      <c r="D688" t="inlineStr">
        <is>
          <t>JÄMTLANDS LÄN</t>
        </is>
      </c>
      <c r="E688" t="inlineStr">
        <is>
          <t>RAGUNDA</t>
        </is>
      </c>
      <c r="G688" t="n">
        <v>9.5</v>
      </c>
      <c r="H688" t="n">
        <v>0</v>
      </c>
      <c r="I688" t="n">
        <v>0</v>
      </c>
      <c r="J688" t="n">
        <v>0</v>
      </c>
      <c r="K688" t="n">
        <v>0</v>
      </c>
      <c r="L688" t="n">
        <v>0</v>
      </c>
      <c r="M688" t="n">
        <v>0</v>
      </c>
      <c r="N688" t="n">
        <v>0</v>
      </c>
      <c r="O688" t="n">
        <v>0</v>
      </c>
      <c r="P688" t="n">
        <v>0</v>
      </c>
      <c r="Q688" t="n">
        <v>0</v>
      </c>
      <c r="R688" s="2" t="inlineStr"/>
    </row>
    <row r="689" ht="15" customHeight="1">
      <c r="A689" t="inlineStr">
        <is>
          <t>A 11217-2022</t>
        </is>
      </c>
      <c r="B689" s="1" t="n">
        <v>44629</v>
      </c>
      <c r="C689" s="1" t="n">
        <v>45788</v>
      </c>
      <c r="D689" t="inlineStr">
        <is>
          <t>JÄMTLANDS LÄN</t>
        </is>
      </c>
      <c r="E689" t="inlineStr">
        <is>
          <t>RAGUNDA</t>
        </is>
      </c>
      <c r="G689" t="n">
        <v>10.2</v>
      </c>
      <c r="H689" t="n">
        <v>0</v>
      </c>
      <c r="I689" t="n">
        <v>0</v>
      </c>
      <c r="J689" t="n">
        <v>0</v>
      </c>
      <c r="K689" t="n">
        <v>0</v>
      </c>
      <c r="L689" t="n">
        <v>0</v>
      </c>
      <c r="M689" t="n">
        <v>0</v>
      </c>
      <c r="N689" t="n">
        <v>0</v>
      </c>
      <c r="O689" t="n">
        <v>0</v>
      </c>
      <c r="P689" t="n">
        <v>0</v>
      </c>
      <c r="Q689" t="n">
        <v>0</v>
      </c>
      <c r="R689" s="2" t="inlineStr"/>
    </row>
    <row r="690" ht="15" customHeight="1">
      <c r="A690" t="inlineStr">
        <is>
          <t>A 11288-2022</t>
        </is>
      </c>
      <c r="B690" s="1" t="n">
        <v>44629</v>
      </c>
      <c r="C690" s="1" t="n">
        <v>45788</v>
      </c>
      <c r="D690" t="inlineStr">
        <is>
          <t>JÄMTLANDS LÄN</t>
        </is>
      </c>
      <c r="E690" t="inlineStr">
        <is>
          <t>RAGUNDA</t>
        </is>
      </c>
      <c r="G690" t="n">
        <v>4.9</v>
      </c>
      <c r="H690" t="n">
        <v>0</v>
      </c>
      <c r="I690" t="n">
        <v>0</v>
      </c>
      <c r="J690" t="n">
        <v>0</v>
      </c>
      <c r="K690" t="n">
        <v>0</v>
      </c>
      <c r="L690" t="n">
        <v>0</v>
      </c>
      <c r="M690" t="n">
        <v>0</v>
      </c>
      <c r="N690" t="n">
        <v>0</v>
      </c>
      <c r="O690" t="n">
        <v>0</v>
      </c>
      <c r="P690" t="n">
        <v>0</v>
      </c>
      <c r="Q690" t="n">
        <v>0</v>
      </c>
      <c r="R690" s="2" t="inlineStr"/>
    </row>
    <row r="691" ht="15" customHeight="1">
      <c r="A691" t="inlineStr">
        <is>
          <t>A 11487-2022</t>
        </is>
      </c>
      <c r="B691" s="1" t="n">
        <v>44630</v>
      </c>
      <c r="C691" s="1" t="n">
        <v>45788</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12024-2022</t>
        </is>
      </c>
      <c r="B692" s="1" t="n">
        <v>44635</v>
      </c>
      <c r="C692" s="1" t="n">
        <v>45788</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12559-2022</t>
        </is>
      </c>
      <c r="B693" s="1" t="n">
        <v>44638</v>
      </c>
      <c r="C693" s="1" t="n">
        <v>45788</v>
      </c>
      <c r="D693" t="inlineStr">
        <is>
          <t>JÄMTLANDS LÄN</t>
        </is>
      </c>
      <c r="E693" t="inlineStr">
        <is>
          <t>RAGUNDA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12773-2022</t>
        </is>
      </c>
      <c r="B694" s="1" t="n">
        <v>44641</v>
      </c>
      <c r="C694" s="1" t="n">
        <v>45788</v>
      </c>
      <c r="D694" t="inlineStr">
        <is>
          <t>JÄMTLANDS LÄN</t>
        </is>
      </c>
      <c r="E694" t="inlineStr">
        <is>
          <t>RAGUNDA</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45788</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13302-2022</t>
        </is>
      </c>
      <c r="B696" s="1" t="n">
        <v>44644</v>
      </c>
      <c r="C696" s="1" t="n">
        <v>45788</v>
      </c>
      <c r="D696" t="inlineStr">
        <is>
          <t>JÄMTLANDS LÄN</t>
        </is>
      </c>
      <c r="E696" t="inlineStr">
        <is>
          <t>RAGUNDA</t>
        </is>
      </c>
      <c r="F696" t="inlineStr">
        <is>
          <t>SCA</t>
        </is>
      </c>
      <c r="G696" t="n">
        <v>35.6</v>
      </c>
      <c r="H696" t="n">
        <v>0</v>
      </c>
      <c r="I696" t="n">
        <v>0</v>
      </c>
      <c r="J696" t="n">
        <v>0</v>
      </c>
      <c r="K696" t="n">
        <v>0</v>
      </c>
      <c r="L696" t="n">
        <v>0</v>
      </c>
      <c r="M696" t="n">
        <v>0</v>
      </c>
      <c r="N696" t="n">
        <v>0</v>
      </c>
      <c r="O696" t="n">
        <v>0</v>
      </c>
      <c r="P696" t="n">
        <v>0</v>
      </c>
      <c r="Q696" t="n">
        <v>0</v>
      </c>
      <c r="R696" s="2" t="inlineStr"/>
    </row>
    <row r="697" ht="15" customHeight="1">
      <c r="A697" t="inlineStr">
        <is>
          <t>A 13303-2022</t>
        </is>
      </c>
      <c r="B697" s="1" t="n">
        <v>44644</v>
      </c>
      <c r="C697" s="1" t="n">
        <v>45788</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13769-2022</t>
        </is>
      </c>
      <c r="B698" s="1" t="n">
        <v>44649</v>
      </c>
      <c r="C698" s="1" t="n">
        <v>45788</v>
      </c>
      <c r="D698" t="inlineStr">
        <is>
          <t>JÄMTLANDS LÄN</t>
        </is>
      </c>
      <c r="E698" t="inlineStr">
        <is>
          <t>RAGUNDA</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13767-2022</t>
        </is>
      </c>
      <c r="B699" s="1" t="n">
        <v>44649</v>
      </c>
      <c r="C699" s="1" t="n">
        <v>45788</v>
      </c>
      <c r="D699" t="inlineStr">
        <is>
          <t>JÄMTLANDS LÄN</t>
        </is>
      </c>
      <c r="E699" t="inlineStr">
        <is>
          <t>RAGUNDA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13768-2022</t>
        </is>
      </c>
      <c r="B700" s="1" t="n">
        <v>44649</v>
      </c>
      <c r="C700" s="1" t="n">
        <v>45788</v>
      </c>
      <c r="D700" t="inlineStr">
        <is>
          <t>JÄMTLANDS LÄN</t>
        </is>
      </c>
      <c r="E700" t="inlineStr">
        <is>
          <t>RAGUNDA</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13964-2022</t>
        </is>
      </c>
      <c r="B701" s="1" t="n">
        <v>44650</v>
      </c>
      <c r="C701" s="1" t="n">
        <v>45788</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13911-2022</t>
        </is>
      </c>
      <c r="B702" s="1" t="n">
        <v>44650</v>
      </c>
      <c r="C702" s="1" t="n">
        <v>45788</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14435-2022</t>
        </is>
      </c>
      <c r="B703" s="1" t="n">
        <v>44652</v>
      </c>
      <c r="C703" s="1" t="n">
        <v>45788</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14696-2022</t>
        </is>
      </c>
      <c r="B704" s="1" t="n">
        <v>44655</v>
      </c>
      <c r="C704" s="1" t="n">
        <v>45788</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14697-2022</t>
        </is>
      </c>
      <c r="B705" s="1" t="n">
        <v>44655</v>
      </c>
      <c r="C705" s="1" t="n">
        <v>45788</v>
      </c>
      <c r="D705" t="inlineStr">
        <is>
          <t>JÄMTLANDS LÄN</t>
        </is>
      </c>
      <c r="E705" t="inlineStr">
        <is>
          <t>RAGUNDA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14898-2022</t>
        </is>
      </c>
      <c r="B706" s="1" t="n">
        <v>44656</v>
      </c>
      <c r="C706" s="1" t="n">
        <v>45788</v>
      </c>
      <c r="D706" t="inlineStr">
        <is>
          <t>JÄMTLANDS LÄN</t>
        </is>
      </c>
      <c r="E706" t="inlineStr">
        <is>
          <t>RAGUNDA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14907-2022</t>
        </is>
      </c>
      <c r="B707" s="1" t="n">
        <v>44657</v>
      </c>
      <c r="C707" s="1" t="n">
        <v>45788</v>
      </c>
      <c r="D707" t="inlineStr">
        <is>
          <t>JÄMTLANDS LÄN</t>
        </is>
      </c>
      <c r="E707" t="inlineStr">
        <is>
          <t>RAGUNDA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14896-2022</t>
        </is>
      </c>
      <c r="B708" s="1" t="n">
        <v>44656</v>
      </c>
      <c r="C708" s="1" t="n">
        <v>45788</v>
      </c>
      <c r="D708" t="inlineStr">
        <is>
          <t>JÄMTLANDS LÄN</t>
        </is>
      </c>
      <c r="E708" t="inlineStr">
        <is>
          <t>RAGUNDA</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14906-2022</t>
        </is>
      </c>
      <c r="B709" s="1" t="n">
        <v>44657</v>
      </c>
      <c r="C709" s="1" t="n">
        <v>45788</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14905-2022</t>
        </is>
      </c>
      <c r="B710" s="1" t="n">
        <v>44657</v>
      </c>
      <c r="C710" s="1" t="n">
        <v>45788</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15024-2022</t>
        </is>
      </c>
      <c r="B711" s="1" t="n">
        <v>44657</v>
      </c>
      <c r="C711" s="1" t="n">
        <v>45788</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15664-2022</t>
        </is>
      </c>
      <c r="B712" s="1" t="n">
        <v>44662</v>
      </c>
      <c r="C712" s="1" t="n">
        <v>45788</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15808-2022</t>
        </is>
      </c>
      <c r="B713" s="1" t="n">
        <v>44663</v>
      </c>
      <c r="C713" s="1" t="n">
        <v>45788</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15969-2022</t>
        </is>
      </c>
      <c r="B714" s="1" t="n">
        <v>44665</v>
      </c>
      <c r="C714" s="1" t="n">
        <v>45788</v>
      </c>
      <c r="D714" t="inlineStr">
        <is>
          <t>JÄMTLANDS LÄN</t>
        </is>
      </c>
      <c r="E714" t="inlineStr">
        <is>
          <t>RAGUNDA</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16246-2022</t>
        </is>
      </c>
      <c r="B715" s="1" t="n">
        <v>44670</v>
      </c>
      <c r="C715" s="1" t="n">
        <v>45788</v>
      </c>
      <c r="D715" t="inlineStr">
        <is>
          <t>JÄMTLANDS LÄN</t>
        </is>
      </c>
      <c r="E715" t="inlineStr">
        <is>
          <t>RAGUNDA</t>
        </is>
      </c>
      <c r="G715" t="n">
        <v>4.1</v>
      </c>
      <c r="H715" t="n">
        <v>0</v>
      </c>
      <c r="I715" t="n">
        <v>0</v>
      </c>
      <c r="J715" t="n">
        <v>0</v>
      </c>
      <c r="K715" t="n">
        <v>0</v>
      </c>
      <c r="L715" t="n">
        <v>0</v>
      </c>
      <c r="M715" t="n">
        <v>0</v>
      </c>
      <c r="N715" t="n">
        <v>0</v>
      </c>
      <c r="O715" t="n">
        <v>0</v>
      </c>
      <c r="P715" t="n">
        <v>0</v>
      </c>
      <c r="Q715" t="n">
        <v>0</v>
      </c>
      <c r="R715" s="2" t="inlineStr"/>
    </row>
    <row r="716" ht="15" customHeight="1">
      <c r="A716" t="inlineStr">
        <is>
          <t>A 16250-2022</t>
        </is>
      </c>
      <c r="B716" s="1" t="n">
        <v>44670</v>
      </c>
      <c r="C716" s="1" t="n">
        <v>45788</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16361-2022</t>
        </is>
      </c>
      <c r="B717" s="1" t="n">
        <v>44670</v>
      </c>
      <c r="C717" s="1" t="n">
        <v>45788</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16460-2022</t>
        </is>
      </c>
      <c r="B718" s="1" t="n">
        <v>44671</v>
      </c>
      <c r="C718" s="1" t="n">
        <v>45788</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45788</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16676-2022</t>
        </is>
      </c>
      <c r="B720" s="1" t="n">
        <v>44673</v>
      </c>
      <c r="C720" s="1" t="n">
        <v>45788</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17058-2022</t>
        </is>
      </c>
      <c r="B721" s="1" t="n">
        <v>44677</v>
      </c>
      <c r="C721" s="1" t="n">
        <v>45788</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17573-2022</t>
        </is>
      </c>
      <c r="B722" s="1" t="n">
        <v>44679</v>
      </c>
      <c r="C722" s="1" t="n">
        <v>45788</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17730-2022</t>
        </is>
      </c>
      <c r="B723" s="1" t="n">
        <v>44680</v>
      </c>
      <c r="C723" s="1" t="n">
        <v>45788</v>
      </c>
      <c r="D723" t="inlineStr">
        <is>
          <t>JÄMTLANDS LÄN</t>
        </is>
      </c>
      <c r="E723" t="inlineStr">
        <is>
          <t>RAGUNDA</t>
        </is>
      </c>
      <c r="G723" t="n">
        <v>3.4</v>
      </c>
      <c r="H723" t="n">
        <v>0</v>
      </c>
      <c r="I723" t="n">
        <v>0</v>
      </c>
      <c r="J723" t="n">
        <v>0</v>
      </c>
      <c r="K723" t="n">
        <v>0</v>
      </c>
      <c r="L723" t="n">
        <v>0</v>
      </c>
      <c r="M723" t="n">
        <v>0</v>
      </c>
      <c r="N723" t="n">
        <v>0</v>
      </c>
      <c r="O723" t="n">
        <v>0</v>
      </c>
      <c r="P723" t="n">
        <v>0</v>
      </c>
      <c r="Q723" t="n">
        <v>0</v>
      </c>
      <c r="R723" s="2" t="inlineStr"/>
    </row>
    <row r="724" ht="15" customHeight="1">
      <c r="A724" t="inlineStr">
        <is>
          <t>A 17742-2022</t>
        </is>
      </c>
      <c r="B724" s="1" t="n">
        <v>44681</v>
      </c>
      <c r="C724" s="1" t="n">
        <v>45788</v>
      </c>
      <c r="D724" t="inlineStr">
        <is>
          <t>JÄMTLANDS LÄN</t>
        </is>
      </c>
      <c r="E724" t="inlineStr">
        <is>
          <t>RAGUNDA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18008-2022</t>
        </is>
      </c>
      <c r="B725" s="1" t="n">
        <v>44684</v>
      </c>
      <c r="C725" s="1" t="n">
        <v>45788</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18193-2022</t>
        </is>
      </c>
      <c r="B726" s="1" t="n">
        <v>44685</v>
      </c>
      <c r="C726" s="1" t="n">
        <v>45788</v>
      </c>
      <c r="D726" t="inlineStr">
        <is>
          <t>JÄMTLANDS LÄN</t>
        </is>
      </c>
      <c r="E726" t="inlineStr">
        <is>
          <t>RAGUNDA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18290-2022</t>
        </is>
      </c>
      <c r="B727" s="1" t="n">
        <v>44685</v>
      </c>
      <c r="C727" s="1" t="n">
        <v>45788</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18341-2022</t>
        </is>
      </c>
      <c r="B728" s="1" t="n">
        <v>44685</v>
      </c>
      <c r="C728" s="1" t="n">
        <v>45788</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row>
    <row r="729" ht="15" customHeight="1">
      <c r="A729" t="inlineStr">
        <is>
          <t>A 18375-2022</t>
        </is>
      </c>
      <c r="B729" s="1" t="n">
        <v>44685</v>
      </c>
      <c r="C729" s="1" t="n">
        <v>45788</v>
      </c>
      <c r="D729" t="inlineStr">
        <is>
          <t>JÄMTLANDS LÄN</t>
        </is>
      </c>
      <c r="E729" t="inlineStr">
        <is>
          <t>RAGUNDA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18548-2022</t>
        </is>
      </c>
      <c r="B730" s="1" t="n">
        <v>44687</v>
      </c>
      <c r="C730" s="1" t="n">
        <v>45788</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18974-2022</t>
        </is>
      </c>
      <c r="B731" s="1" t="n">
        <v>44690</v>
      </c>
      <c r="C731" s="1" t="n">
        <v>45788</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18980-2022</t>
        </is>
      </c>
      <c r="B732" s="1" t="n">
        <v>44690</v>
      </c>
      <c r="C732" s="1" t="n">
        <v>45788</v>
      </c>
      <c r="D732" t="inlineStr">
        <is>
          <t>JÄMTLANDS LÄN</t>
        </is>
      </c>
      <c r="E732" t="inlineStr">
        <is>
          <t>RAGUNDA</t>
        </is>
      </c>
      <c r="G732" t="n">
        <v>3.9</v>
      </c>
      <c r="H732" t="n">
        <v>0</v>
      </c>
      <c r="I732" t="n">
        <v>0</v>
      </c>
      <c r="J732" t="n">
        <v>0</v>
      </c>
      <c r="K732" t="n">
        <v>0</v>
      </c>
      <c r="L732" t="n">
        <v>0</v>
      </c>
      <c r="M732" t="n">
        <v>0</v>
      </c>
      <c r="N732" t="n">
        <v>0</v>
      </c>
      <c r="O732" t="n">
        <v>0</v>
      </c>
      <c r="P732" t="n">
        <v>0</v>
      </c>
      <c r="Q732" t="n">
        <v>0</v>
      </c>
      <c r="R732" s="2" t="inlineStr"/>
    </row>
    <row r="733" ht="15" customHeight="1">
      <c r="A733" t="inlineStr">
        <is>
          <t>A 19005-2022</t>
        </is>
      </c>
      <c r="B733" s="1" t="n">
        <v>44690</v>
      </c>
      <c r="C733" s="1" t="n">
        <v>45788</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19011-2022</t>
        </is>
      </c>
      <c r="B734" s="1" t="n">
        <v>44690</v>
      </c>
      <c r="C734" s="1" t="n">
        <v>45788</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19010-2022</t>
        </is>
      </c>
      <c r="B735" s="1" t="n">
        <v>44690</v>
      </c>
      <c r="C735" s="1" t="n">
        <v>45788</v>
      </c>
      <c r="D735" t="inlineStr">
        <is>
          <t>JÄMTLANDS LÄN</t>
        </is>
      </c>
      <c r="E735" t="inlineStr">
        <is>
          <t>RAGUNDA</t>
        </is>
      </c>
      <c r="F735" t="inlineStr">
        <is>
          <t>SCA</t>
        </is>
      </c>
      <c r="G735" t="n">
        <v>19.6</v>
      </c>
      <c r="H735" t="n">
        <v>0</v>
      </c>
      <c r="I735" t="n">
        <v>0</v>
      </c>
      <c r="J735" t="n">
        <v>0</v>
      </c>
      <c r="K735" t="n">
        <v>0</v>
      </c>
      <c r="L735" t="n">
        <v>0</v>
      </c>
      <c r="M735" t="n">
        <v>0</v>
      </c>
      <c r="N735" t="n">
        <v>0</v>
      </c>
      <c r="O735" t="n">
        <v>0</v>
      </c>
      <c r="P735" t="n">
        <v>0</v>
      </c>
      <c r="Q735" t="n">
        <v>0</v>
      </c>
      <c r="R735" s="2" t="inlineStr"/>
    </row>
    <row r="736" ht="15" customHeight="1">
      <c r="A736" t="inlineStr">
        <is>
          <t>A 19006-2022</t>
        </is>
      </c>
      <c r="B736" s="1" t="n">
        <v>44690</v>
      </c>
      <c r="C736" s="1" t="n">
        <v>45788</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19596-2022</t>
        </is>
      </c>
      <c r="B737" s="1" t="n">
        <v>44694</v>
      </c>
      <c r="C737" s="1" t="n">
        <v>45788</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19801-2022</t>
        </is>
      </c>
      <c r="B738" s="1" t="n">
        <v>44695</v>
      </c>
      <c r="C738" s="1" t="n">
        <v>45788</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19850-2022</t>
        </is>
      </c>
      <c r="B739" s="1" t="n">
        <v>44697</v>
      </c>
      <c r="C739" s="1" t="n">
        <v>45788</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20967-2022</t>
        </is>
      </c>
      <c r="B740" s="1" t="n">
        <v>44702</v>
      </c>
      <c r="C740" s="1" t="n">
        <v>45788</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20961-2022</t>
        </is>
      </c>
      <c r="B741" s="1" t="n">
        <v>44702</v>
      </c>
      <c r="C741" s="1" t="n">
        <v>45788</v>
      </c>
      <c r="D741" t="inlineStr">
        <is>
          <t>JÄMTLANDS LÄN</t>
        </is>
      </c>
      <c r="E741" t="inlineStr">
        <is>
          <t>RAGUNDA</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21194-2022</t>
        </is>
      </c>
      <c r="B742" s="1" t="n">
        <v>44705</v>
      </c>
      <c r="C742" s="1" t="n">
        <v>45788</v>
      </c>
      <c r="D742" t="inlineStr">
        <is>
          <t>JÄMTLANDS LÄN</t>
        </is>
      </c>
      <c r="E742" t="inlineStr">
        <is>
          <t>RAGUNDA</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21196-2022</t>
        </is>
      </c>
      <c r="B743" s="1" t="n">
        <v>44705</v>
      </c>
      <c r="C743" s="1" t="n">
        <v>45788</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21195-2022</t>
        </is>
      </c>
      <c r="B744" s="1" t="n">
        <v>44705</v>
      </c>
      <c r="C744" s="1" t="n">
        <v>45788</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21193-2022</t>
        </is>
      </c>
      <c r="B745" s="1" t="n">
        <v>44705</v>
      </c>
      <c r="C745" s="1" t="n">
        <v>45788</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21984-2022</t>
        </is>
      </c>
      <c r="B746" s="1" t="n">
        <v>44704</v>
      </c>
      <c r="C746" s="1" t="n">
        <v>45788</v>
      </c>
      <c r="D746" t="inlineStr">
        <is>
          <t>JÄMTLANDS LÄN</t>
        </is>
      </c>
      <c r="E746" t="inlineStr">
        <is>
          <t>RAGUNDA</t>
        </is>
      </c>
      <c r="G746" t="n">
        <v>0.5</v>
      </c>
      <c r="H746" t="n">
        <v>0</v>
      </c>
      <c r="I746" t="n">
        <v>0</v>
      </c>
      <c r="J746" t="n">
        <v>0</v>
      </c>
      <c r="K746" t="n">
        <v>0</v>
      </c>
      <c r="L746" t="n">
        <v>0</v>
      </c>
      <c r="M746" t="n">
        <v>0</v>
      </c>
      <c r="N746" t="n">
        <v>0</v>
      </c>
      <c r="O746" t="n">
        <v>0</v>
      </c>
      <c r="P746" t="n">
        <v>0</v>
      </c>
      <c r="Q746" t="n">
        <v>0</v>
      </c>
      <c r="R746" s="2" t="inlineStr"/>
    </row>
    <row r="747" ht="15" customHeight="1">
      <c r="A747" t="inlineStr">
        <is>
          <t>A 21413-2022</t>
        </is>
      </c>
      <c r="B747" s="1" t="n">
        <v>44705</v>
      </c>
      <c r="C747" s="1" t="n">
        <v>45788</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row>
    <row r="748" ht="15" customHeight="1">
      <c r="A748" t="inlineStr">
        <is>
          <t>A 21500-2022</t>
        </is>
      </c>
      <c r="B748" s="1" t="n">
        <v>44706</v>
      </c>
      <c r="C748" s="1" t="n">
        <v>45788</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22329-2022</t>
        </is>
      </c>
      <c r="B749" s="1" t="n">
        <v>44713</v>
      </c>
      <c r="C749" s="1" t="n">
        <v>45788</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22327-2022</t>
        </is>
      </c>
      <c r="B750" s="1" t="n">
        <v>44713</v>
      </c>
      <c r="C750" s="1" t="n">
        <v>45788</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22686-2022</t>
        </is>
      </c>
      <c r="B751" s="1" t="n">
        <v>44714</v>
      </c>
      <c r="C751" s="1" t="n">
        <v>45788</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22772-2022</t>
        </is>
      </c>
      <c r="B752" s="1" t="n">
        <v>44715</v>
      </c>
      <c r="C752" s="1" t="n">
        <v>45788</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22695-2022</t>
        </is>
      </c>
      <c r="B753" s="1" t="n">
        <v>44714</v>
      </c>
      <c r="C753" s="1" t="n">
        <v>45788</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22770-2022</t>
        </is>
      </c>
      <c r="B754" s="1" t="n">
        <v>44714</v>
      </c>
      <c r="C754" s="1" t="n">
        <v>45788</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23668-2022</t>
        </is>
      </c>
      <c r="B755" s="1" t="n">
        <v>44722</v>
      </c>
      <c r="C755" s="1" t="n">
        <v>45788</v>
      </c>
      <c r="D755" t="inlineStr">
        <is>
          <t>JÄMTLANDS LÄN</t>
        </is>
      </c>
      <c r="E755" t="inlineStr">
        <is>
          <t>RAGUNDA</t>
        </is>
      </c>
      <c r="G755" t="n">
        <v>3.9</v>
      </c>
      <c r="H755" t="n">
        <v>0</v>
      </c>
      <c r="I755" t="n">
        <v>0</v>
      </c>
      <c r="J755" t="n">
        <v>0</v>
      </c>
      <c r="K755" t="n">
        <v>0</v>
      </c>
      <c r="L755" t="n">
        <v>0</v>
      </c>
      <c r="M755" t="n">
        <v>0</v>
      </c>
      <c r="N755" t="n">
        <v>0</v>
      </c>
      <c r="O755" t="n">
        <v>0</v>
      </c>
      <c r="P755" t="n">
        <v>0</v>
      </c>
      <c r="Q755" t="n">
        <v>0</v>
      </c>
      <c r="R755" s="2" t="inlineStr"/>
    </row>
    <row r="756" ht="15" customHeight="1">
      <c r="A756" t="inlineStr">
        <is>
          <t>A 24359-2022</t>
        </is>
      </c>
      <c r="B756" s="1" t="n">
        <v>44725</v>
      </c>
      <c r="C756" s="1" t="n">
        <v>45788</v>
      </c>
      <c r="D756" t="inlineStr">
        <is>
          <t>JÄMTLANDS LÄN</t>
        </is>
      </c>
      <c r="E756" t="inlineStr">
        <is>
          <t>RAGUNDA</t>
        </is>
      </c>
      <c r="G756" t="n">
        <v>11.4</v>
      </c>
      <c r="H756" t="n">
        <v>0</v>
      </c>
      <c r="I756" t="n">
        <v>0</v>
      </c>
      <c r="J756" t="n">
        <v>0</v>
      </c>
      <c r="K756" t="n">
        <v>0</v>
      </c>
      <c r="L756" t="n">
        <v>0</v>
      </c>
      <c r="M756" t="n">
        <v>0</v>
      </c>
      <c r="N756" t="n">
        <v>0</v>
      </c>
      <c r="O756" t="n">
        <v>0</v>
      </c>
      <c r="P756" t="n">
        <v>0</v>
      </c>
      <c r="Q756" t="n">
        <v>0</v>
      </c>
      <c r="R756" s="2" t="inlineStr"/>
    </row>
    <row r="757" ht="15" customHeight="1">
      <c r="A757" t="inlineStr">
        <is>
          <t>A 24720-2022</t>
        </is>
      </c>
      <c r="B757" s="1" t="n">
        <v>44728</v>
      </c>
      <c r="C757" s="1" t="n">
        <v>45788</v>
      </c>
      <c r="D757" t="inlineStr">
        <is>
          <t>JÄMTLANDS LÄN</t>
        </is>
      </c>
      <c r="E757" t="inlineStr">
        <is>
          <t>RAGUNDA</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24741-2022</t>
        </is>
      </c>
      <c r="B758" s="1" t="n">
        <v>44727</v>
      </c>
      <c r="C758" s="1" t="n">
        <v>45788</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25028-2022</t>
        </is>
      </c>
      <c r="B759" s="1" t="n">
        <v>44729</v>
      </c>
      <c r="C759" s="1" t="n">
        <v>45788</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25027-2022</t>
        </is>
      </c>
      <c r="B760" s="1" t="n">
        <v>44729</v>
      </c>
      <c r="C760" s="1" t="n">
        <v>45788</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25253-2022</t>
        </is>
      </c>
      <c r="B761" s="1" t="n">
        <v>44730</v>
      </c>
      <c r="C761" s="1" t="n">
        <v>45788</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25342-2022</t>
        </is>
      </c>
      <c r="B762" s="1" t="n">
        <v>44732</v>
      </c>
      <c r="C762" s="1" t="n">
        <v>45788</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25433-2022</t>
        </is>
      </c>
      <c r="B763" s="1" t="n">
        <v>44732</v>
      </c>
      <c r="C763" s="1" t="n">
        <v>45788</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25962-2022</t>
        </is>
      </c>
      <c r="B764" s="1" t="n">
        <v>44734</v>
      </c>
      <c r="C764" s="1" t="n">
        <v>45788</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26122-2022</t>
        </is>
      </c>
      <c r="B765" s="1" t="n">
        <v>44735</v>
      </c>
      <c r="C765" s="1" t="n">
        <v>45788</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26123-2022</t>
        </is>
      </c>
      <c r="B766" s="1" t="n">
        <v>44735</v>
      </c>
      <c r="C766" s="1" t="n">
        <v>45788</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27291-2022</t>
        </is>
      </c>
      <c r="B767" s="1" t="n">
        <v>44742</v>
      </c>
      <c r="C767" s="1" t="n">
        <v>45788</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27302-2022</t>
        </is>
      </c>
      <c r="B768" s="1" t="n">
        <v>44741</v>
      </c>
      <c r="C768" s="1" t="n">
        <v>45788</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27292-2022</t>
        </is>
      </c>
      <c r="B769" s="1" t="n">
        <v>44742</v>
      </c>
      <c r="C769" s="1" t="n">
        <v>45788</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27777-2022</t>
        </is>
      </c>
      <c r="B770" s="1" t="n">
        <v>44743</v>
      </c>
      <c r="C770" s="1" t="n">
        <v>45788</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27939-2022</t>
        </is>
      </c>
      <c r="B771" s="1" t="n">
        <v>44744</v>
      </c>
      <c r="C771" s="1" t="n">
        <v>45788</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28081-2022</t>
        </is>
      </c>
      <c r="B772" s="1" t="n">
        <v>44746</v>
      </c>
      <c r="C772" s="1" t="n">
        <v>45788</v>
      </c>
      <c r="D772" t="inlineStr">
        <is>
          <t>JÄMTLANDS LÄN</t>
        </is>
      </c>
      <c r="E772" t="inlineStr">
        <is>
          <t>RAGUNDA</t>
        </is>
      </c>
      <c r="G772" t="n">
        <v>7</v>
      </c>
      <c r="H772" t="n">
        <v>0</v>
      </c>
      <c r="I772" t="n">
        <v>0</v>
      </c>
      <c r="J772" t="n">
        <v>0</v>
      </c>
      <c r="K772" t="n">
        <v>0</v>
      </c>
      <c r="L772" t="n">
        <v>0</v>
      </c>
      <c r="M772" t="n">
        <v>0</v>
      </c>
      <c r="N772" t="n">
        <v>0</v>
      </c>
      <c r="O772" t="n">
        <v>0</v>
      </c>
      <c r="P772" t="n">
        <v>0</v>
      </c>
      <c r="Q772" t="n">
        <v>0</v>
      </c>
      <c r="R772" s="2" t="inlineStr"/>
    </row>
    <row r="773" ht="15" customHeight="1">
      <c r="A773" t="inlineStr">
        <is>
          <t>A 28283-2022</t>
        </is>
      </c>
      <c r="B773" s="1" t="n">
        <v>44746</v>
      </c>
      <c r="C773" s="1" t="n">
        <v>45788</v>
      </c>
      <c r="D773" t="inlineStr">
        <is>
          <t>JÄMTLANDS LÄN</t>
        </is>
      </c>
      <c r="E773" t="inlineStr">
        <is>
          <t>RAGUNDA</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28277-2022</t>
        </is>
      </c>
      <c r="B774" s="1" t="n">
        <v>44747</v>
      </c>
      <c r="C774" s="1" t="n">
        <v>45788</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28292-2022</t>
        </is>
      </c>
      <c r="B775" s="1" t="n">
        <v>44747</v>
      </c>
      <c r="C775" s="1" t="n">
        <v>45788</v>
      </c>
      <c r="D775" t="inlineStr">
        <is>
          <t>JÄMTLANDS LÄN</t>
        </is>
      </c>
      <c r="E775" t="inlineStr">
        <is>
          <t>RAGUNDA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28737-2022</t>
        </is>
      </c>
      <c r="B776" s="1" t="n">
        <v>44749</v>
      </c>
      <c r="C776" s="1" t="n">
        <v>45788</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29537-2022</t>
        </is>
      </c>
      <c r="B777" s="1" t="n">
        <v>44754</v>
      </c>
      <c r="C777" s="1" t="n">
        <v>45788</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30609-2022</t>
        </is>
      </c>
      <c r="B778" s="1" t="n">
        <v>44761</v>
      </c>
      <c r="C778" s="1" t="n">
        <v>45788</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c r="U778">
        <f>HYPERLINK("https://klasma.github.io/Logging_2303/knärot/A 30609-2022 karta knärot.png", "A 30609-2022")</f>
        <v/>
      </c>
      <c r="V778">
        <f>HYPERLINK("https://klasma.github.io/Logging_2303/klagomål/A 30609-2022 FSC-klagomål.docx", "A 30609-2022")</f>
        <v/>
      </c>
      <c r="W778">
        <f>HYPERLINK("https://klasma.github.io/Logging_2303/klagomålsmail/A 30609-2022 FSC-klagomål mail.docx", "A 30609-2022")</f>
        <v/>
      </c>
      <c r="X778">
        <f>HYPERLINK("https://klasma.github.io/Logging_2303/tillsyn/A 30609-2022 tillsynsbegäran.docx", "A 30609-2022")</f>
        <v/>
      </c>
      <c r="Y778">
        <f>HYPERLINK("https://klasma.github.io/Logging_2303/tillsynsmail/A 30609-2022 tillsynsbegäran mail.docx", "A 30609-2022")</f>
        <v/>
      </c>
    </row>
    <row r="779" ht="15" customHeight="1">
      <c r="A779" t="inlineStr">
        <is>
          <t>A 30931-2022</t>
        </is>
      </c>
      <c r="B779" s="1" t="n">
        <v>44768</v>
      </c>
      <c r="C779" s="1" t="n">
        <v>45788</v>
      </c>
      <c r="D779" t="inlineStr">
        <is>
          <t>JÄMTLANDS LÄN</t>
        </is>
      </c>
      <c r="E779" t="inlineStr">
        <is>
          <t>RAGUNDA</t>
        </is>
      </c>
      <c r="G779" t="n">
        <v>6</v>
      </c>
      <c r="H779" t="n">
        <v>0</v>
      </c>
      <c r="I779" t="n">
        <v>0</v>
      </c>
      <c r="J779" t="n">
        <v>0</v>
      </c>
      <c r="K779" t="n">
        <v>0</v>
      </c>
      <c r="L779" t="n">
        <v>0</v>
      </c>
      <c r="M779" t="n">
        <v>0</v>
      </c>
      <c r="N779" t="n">
        <v>0</v>
      </c>
      <c r="O779" t="n">
        <v>0</v>
      </c>
      <c r="P779" t="n">
        <v>0</v>
      </c>
      <c r="Q779" t="n">
        <v>0</v>
      </c>
      <c r="R779" s="2" t="inlineStr"/>
    </row>
    <row r="780" ht="15" customHeight="1">
      <c r="A780" t="inlineStr">
        <is>
          <t>A 31436-2022</t>
        </is>
      </c>
      <c r="B780" s="1" t="n">
        <v>44774</v>
      </c>
      <c r="C780" s="1" t="n">
        <v>45788</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31484-2022</t>
        </is>
      </c>
      <c r="B781" s="1" t="n">
        <v>44775</v>
      </c>
      <c r="C781" s="1" t="n">
        <v>45788</v>
      </c>
      <c r="D781" t="inlineStr">
        <is>
          <t>JÄMTLANDS LÄN</t>
        </is>
      </c>
      <c r="E781" t="inlineStr">
        <is>
          <t>RAGUNDA</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31435-2022</t>
        </is>
      </c>
      <c r="B782" s="1" t="n">
        <v>44774</v>
      </c>
      <c r="C782" s="1" t="n">
        <v>45788</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31854-2022</t>
        </is>
      </c>
      <c r="B783" s="1" t="n">
        <v>44776</v>
      </c>
      <c r="C783" s="1" t="n">
        <v>45788</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31841-2022</t>
        </is>
      </c>
      <c r="B784" s="1" t="n">
        <v>44776</v>
      </c>
      <c r="C784" s="1" t="n">
        <v>45788</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31970-2022</t>
        </is>
      </c>
      <c r="B785" s="1" t="n">
        <v>44777</v>
      </c>
      <c r="C785" s="1" t="n">
        <v>45788</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31972-2022</t>
        </is>
      </c>
      <c r="B786" s="1" t="n">
        <v>44778</v>
      </c>
      <c r="C786" s="1" t="n">
        <v>45788</v>
      </c>
      <c r="D786" t="inlineStr">
        <is>
          <t>JÄMTLANDS LÄN</t>
        </is>
      </c>
      <c r="E786" t="inlineStr">
        <is>
          <t>RAGUNDA</t>
        </is>
      </c>
      <c r="F786" t="inlineStr">
        <is>
          <t>Naturvårdsverket</t>
        </is>
      </c>
      <c r="G786" t="n">
        <v>0.8</v>
      </c>
      <c r="H786" t="n">
        <v>0</v>
      </c>
      <c r="I786" t="n">
        <v>0</v>
      </c>
      <c r="J786" t="n">
        <v>0</v>
      </c>
      <c r="K786" t="n">
        <v>0</v>
      </c>
      <c r="L786" t="n">
        <v>0</v>
      </c>
      <c r="M786" t="n">
        <v>0</v>
      </c>
      <c r="N786" t="n">
        <v>0</v>
      </c>
      <c r="O786" t="n">
        <v>0</v>
      </c>
      <c r="P786" t="n">
        <v>0</v>
      </c>
      <c r="Q786" t="n">
        <v>0</v>
      </c>
      <c r="R786" s="2" t="inlineStr"/>
    </row>
    <row r="787" ht="15" customHeight="1">
      <c r="A787" t="inlineStr">
        <is>
          <t>A 32135-2022</t>
        </is>
      </c>
      <c r="B787" s="1" t="n">
        <v>44778</v>
      </c>
      <c r="C787" s="1" t="n">
        <v>45788</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32288-2022</t>
        </is>
      </c>
      <c r="B788" s="1" t="n">
        <v>44781</v>
      </c>
      <c r="C788" s="1" t="n">
        <v>45788</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32526-2022</t>
        </is>
      </c>
      <c r="B789" s="1" t="n">
        <v>44782</v>
      </c>
      <c r="C789" s="1" t="n">
        <v>45788</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32780-2022</t>
        </is>
      </c>
      <c r="B790" s="1" t="n">
        <v>44783</v>
      </c>
      <c r="C790" s="1" t="n">
        <v>45788</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32979-2022</t>
        </is>
      </c>
      <c r="B791" s="1" t="n">
        <v>44785</v>
      </c>
      <c r="C791" s="1" t="n">
        <v>45788</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32986-2022</t>
        </is>
      </c>
      <c r="B792" s="1" t="n">
        <v>44785</v>
      </c>
      <c r="C792" s="1" t="n">
        <v>45788</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33218-2022</t>
        </is>
      </c>
      <c r="B793" s="1" t="n">
        <v>44786</v>
      </c>
      <c r="C793" s="1" t="n">
        <v>45788</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33278-2022</t>
        </is>
      </c>
      <c r="B794" s="1" t="n">
        <v>44788</v>
      </c>
      <c r="C794" s="1" t="n">
        <v>45788</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33279-2022</t>
        </is>
      </c>
      <c r="B795" s="1" t="n">
        <v>44788</v>
      </c>
      <c r="C795" s="1" t="n">
        <v>45788</v>
      </c>
      <c r="D795" t="inlineStr">
        <is>
          <t>JÄMTLANDS LÄN</t>
        </is>
      </c>
      <c r="E795" t="inlineStr">
        <is>
          <t>RAGUNDA</t>
        </is>
      </c>
      <c r="G795" t="n">
        <v>17</v>
      </c>
      <c r="H795" t="n">
        <v>0</v>
      </c>
      <c r="I795" t="n">
        <v>0</v>
      </c>
      <c r="J795" t="n">
        <v>0</v>
      </c>
      <c r="K795" t="n">
        <v>0</v>
      </c>
      <c r="L795" t="n">
        <v>0</v>
      </c>
      <c r="M795" t="n">
        <v>0</v>
      </c>
      <c r="N795" t="n">
        <v>0</v>
      </c>
      <c r="O795" t="n">
        <v>0</v>
      </c>
      <c r="P795" t="n">
        <v>0</v>
      </c>
      <c r="Q795" t="n">
        <v>0</v>
      </c>
      <c r="R795" s="2" t="inlineStr"/>
    </row>
    <row r="796" ht="15" customHeight="1">
      <c r="A796" t="inlineStr">
        <is>
          <t>A 35018-2022</t>
        </is>
      </c>
      <c r="B796" s="1" t="n">
        <v>44797</v>
      </c>
      <c r="C796" s="1" t="n">
        <v>45788</v>
      </c>
      <c r="D796" t="inlineStr">
        <is>
          <t>JÄMTLANDS LÄN</t>
        </is>
      </c>
      <c r="E796" t="inlineStr">
        <is>
          <t>RAGUNDA</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35235-2022</t>
        </is>
      </c>
      <c r="B797" s="1" t="n">
        <v>44797</v>
      </c>
      <c r="C797" s="1" t="n">
        <v>45788</v>
      </c>
      <c r="D797" t="inlineStr">
        <is>
          <t>JÄMTLANDS LÄN</t>
        </is>
      </c>
      <c r="E797" t="inlineStr">
        <is>
          <t>RAGUNDA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35495-2022</t>
        </is>
      </c>
      <c r="B798" s="1" t="n">
        <v>44798</v>
      </c>
      <c r="C798" s="1" t="n">
        <v>45788</v>
      </c>
      <c r="D798" t="inlineStr">
        <is>
          <t>JÄMTLANDS LÄN</t>
        </is>
      </c>
      <c r="E798" t="inlineStr">
        <is>
          <t>RAGUNDA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35492-2022</t>
        </is>
      </c>
      <c r="B799" s="1" t="n">
        <v>44799</v>
      </c>
      <c r="C799" s="1" t="n">
        <v>45788</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35757-2022</t>
        </is>
      </c>
      <c r="B800" s="1" t="n">
        <v>44799</v>
      </c>
      <c r="C800" s="1" t="n">
        <v>45788</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35749-2022</t>
        </is>
      </c>
      <c r="B801" s="1" t="n">
        <v>44800</v>
      </c>
      <c r="C801" s="1" t="n">
        <v>45788</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35998-2022</t>
        </is>
      </c>
      <c r="B802" s="1" t="n">
        <v>44802</v>
      </c>
      <c r="C802" s="1" t="n">
        <v>45788</v>
      </c>
      <c r="D802" t="inlineStr">
        <is>
          <t>JÄMTLANDS LÄN</t>
        </is>
      </c>
      <c r="E802" t="inlineStr">
        <is>
          <t>RAGUNDA</t>
        </is>
      </c>
      <c r="G802" t="n">
        <v>25.4</v>
      </c>
      <c r="H802" t="n">
        <v>0</v>
      </c>
      <c r="I802" t="n">
        <v>0</v>
      </c>
      <c r="J802" t="n">
        <v>0</v>
      </c>
      <c r="K802" t="n">
        <v>0</v>
      </c>
      <c r="L802" t="n">
        <v>0</v>
      </c>
      <c r="M802" t="n">
        <v>0</v>
      </c>
      <c r="N802" t="n">
        <v>0</v>
      </c>
      <c r="O802" t="n">
        <v>0</v>
      </c>
      <c r="P802" t="n">
        <v>0</v>
      </c>
      <c r="Q802" t="n">
        <v>0</v>
      </c>
      <c r="R802" s="2" t="inlineStr"/>
    </row>
    <row r="803" ht="15" customHeight="1">
      <c r="A803" t="inlineStr">
        <is>
          <t>A 36084-2022</t>
        </is>
      </c>
      <c r="B803" s="1" t="n">
        <v>44802</v>
      </c>
      <c r="C803" s="1" t="n">
        <v>45788</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36106-2022</t>
        </is>
      </c>
      <c r="B804" s="1" t="n">
        <v>44803</v>
      </c>
      <c r="C804" s="1" t="n">
        <v>45788</v>
      </c>
      <c r="D804" t="inlineStr">
        <is>
          <t>JÄMTLANDS LÄN</t>
        </is>
      </c>
      <c r="E804" t="inlineStr">
        <is>
          <t>RAGUNDA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36375-2022</t>
        </is>
      </c>
      <c r="B805" s="1" t="n">
        <v>44804</v>
      </c>
      <c r="C805" s="1" t="n">
        <v>45788</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36612-2022</t>
        </is>
      </c>
      <c r="B806" s="1" t="n">
        <v>44804</v>
      </c>
      <c r="C806" s="1" t="n">
        <v>45788</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36692-2022</t>
        </is>
      </c>
      <c r="B807" s="1" t="n">
        <v>44804</v>
      </c>
      <c r="C807" s="1" t="n">
        <v>45788</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36696-2022</t>
        </is>
      </c>
      <c r="B808" s="1" t="n">
        <v>44805</v>
      </c>
      <c r="C808" s="1" t="n">
        <v>45788</v>
      </c>
      <c r="D808" t="inlineStr">
        <is>
          <t>JÄMTLANDS LÄN</t>
        </is>
      </c>
      <c r="E808" t="inlineStr">
        <is>
          <t>RAGUNDA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36922-2022</t>
        </is>
      </c>
      <c r="B809" s="1" t="n">
        <v>44806</v>
      </c>
      <c r="C809" s="1" t="n">
        <v>45788</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36941-2022</t>
        </is>
      </c>
      <c r="B810" s="1" t="n">
        <v>44805</v>
      </c>
      <c r="C810" s="1" t="n">
        <v>45788</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37324-2022</t>
        </is>
      </c>
      <c r="B811" s="1" t="n">
        <v>44806</v>
      </c>
      <c r="C811" s="1" t="n">
        <v>45788</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38426-2022</t>
        </is>
      </c>
      <c r="B812" s="1" t="n">
        <v>44812</v>
      </c>
      <c r="C812" s="1" t="n">
        <v>45788</v>
      </c>
      <c r="D812" t="inlineStr">
        <is>
          <t>JÄMTLANDS LÄN</t>
        </is>
      </c>
      <c r="E812" t="inlineStr">
        <is>
          <t>RAGUNDA</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38425-2022</t>
        </is>
      </c>
      <c r="B813" s="1" t="n">
        <v>44813</v>
      </c>
      <c r="C813" s="1" t="n">
        <v>45788</v>
      </c>
      <c r="D813" t="inlineStr">
        <is>
          <t>JÄMTLANDS LÄN</t>
        </is>
      </c>
      <c r="E813" t="inlineStr">
        <is>
          <t>RAGUNDA</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38683-2022</t>
        </is>
      </c>
      <c r="B814" s="1" t="n">
        <v>44813</v>
      </c>
      <c r="C814" s="1" t="n">
        <v>45788</v>
      </c>
      <c r="D814" t="inlineStr">
        <is>
          <t>JÄMTLANDS LÄN</t>
        </is>
      </c>
      <c r="E814" t="inlineStr">
        <is>
          <t>RAGUNDA</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38664-2022</t>
        </is>
      </c>
      <c r="B815" s="1" t="n">
        <v>44813</v>
      </c>
      <c r="C815" s="1" t="n">
        <v>45788</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38733-2022</t>
        </is>
      </c>
      <c r="B816" s="1" t="n">
        <v>44815</v>
      </c>
      <c r="C816" s="1" t="n">
        <v>45788</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39003-2022</t>
        </is>
      </c>
      <c r="B817" s="1" t="n">
        <v>44817</v>
      </c>
      <c r="C817" s="1" t="n">
        <v>45788</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39011-2022</t>
        </is>
      </c>
      <c r="B818" s="1" t="n">
        <v>44816</v>
      </c>
      <c r="C818" s="1" t="n">
        <v>45788</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39004-2022</t>
        </is>
      </c>
      <c r="B819" s="1" t="n">
        <v>44816</v>
      </c>
      <c r="C819" s="1" t="n">
        <v>45788</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39402-2022</t>
        </is>
      </c>
      <c r="B820" s="1" t="n">
        <v>44818</v>
      </c>
      <c r="C820" s="1" t="n">
        <v>45788</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39408-2022</t>
        </is>
      </c>
      <c r="B821" s="1" t="n">
        <v>44817</v>
      </c>
      <c r="C821" s="1" t="n">
        <v>45788</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39693-2022</t>
        </is>
      </c>
      <c r="B822" s="1" t="n">
        <v>44819</v>
      </c>
      <c r="C822" s="1" t="n">
        <v>45788</v>
      </c>
      <c r="D822" t="inlineStr">
        <is>
          <t>JÄMTLANDS LÄN</t>
        </is>
      </c>
      <c r="E822" t="inlineStr">
        <is>
          <t>RAGUNDA</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40200-2022</t>
        </is>
      </c>
      <c r="B823" s="1" t="n">
        <v>44818</v>
      </c>
      <c r="C823" s="1" t="n">
        <v>45788</v>
      </c>
      <c r="D823" t="inlineStr">
        <is>
          <t>JÄMTLANDS LÄN</t>
        </is>
      </c>
      <c r="E823" t="inlineStr">
        <is>
          <t>RAGUNDA</t>
        </is>
      </c>
      <c r="G823" t="n">
        <v>1.8</v>
      </c>
      <c r="H823" t="n">
        <v>0</v>
      </c>
      <c r="I823" t="n">
        <v>0</v>
      </c>
      <c r="J823" t="n">
        <v>0</v>
      </c>
      <c r="K823" t="n">
        <v>0</v>
      </c>
      <c r="L823" t="n">
        <v>0</v>
      </c>
      <c r="M823" t="n">
        <v>0</v>
      </c>
      <c r="N823" t="n">
        <v>0</v>
      </c>
      <c r="O823" t="n">
        <v>0</v>
      </c>
      <c r="P823" t="n">
        <v>0</v>
      </c>
      <c r="Q823" t="n">
        <v>0</v>
      </c>
      <c r="R823" s="2" t="inlineStr"/>
    </row>
    <row r="824" ht="15" customHeight="1">
      <c r="A824" t="inlineStr">
        <is>
          <t>A 39698-2022</t>
        </is>
      </c>
      <c r="B824" s="1" t="n">
        <v>44818</v>
      </c>
      <c r="C824" s="1" t="n">
        <v>45788</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40265-2022</t>
        </is>
      </c>
      <c r="B825" s="1" t="n">
        <v>44821</v>
      </c>
      <c r="C825" s="1" t="n">
        <v>45788</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45788</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40267-2022</t>
        </is>
      </c>
      <c r="B827" s="1" t="n">
        <v>44820</v>
      </c>
      <c r="C827" s="1" t="n">
        <v>45788</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40266-2022</t>
        </is>
      </c>
      <c r="B828" s="1" t="n">
        <v>44820</v>
      </c>
      <c r="C828" s="1" t="n">
        <v>45788</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40951-2022</t>
        </is>
      </c>
      <c r="B829" s="1" t="n">
        <v>44820</v>
      </c>
      <c r="C829" s="1" t="n">
        <v>45788</v>
      </c>
      <c r="D829" t="inlineStr">
        <is>
          <t>JÄMTLANDS LÄN</t>
        </is>
      </c>
      <c r="E829" t="inlineStr">
        <is>
          <t>RAGUNDA</t>
        </is>
      </c>
      <c r="G829" t="n">
        <v>3</v>
      </c>
      <c r="H829" t="n">
        <v>0</v>
      </c>
      <c r="I829" t="n">
        <v>0</v>
      </c>
      <c r="J829" t="n">
        <v>0</v>
      </c>
      <c r="K829" t="n">
        <v>0</v>
      </c>
      <c r="L829" t="n">
        <v>0</v>
      </c>
      <c r="M829" t="n">
        <v>0</v>
      </c>
      <c r="N829" t="n">
        <v>0</v>
      </c>
      <c r="O829" t="n">
        <v>0</v>
      </c>
      <c r="P829" t="n">
        <v>0</v>
      </c>
      <c r="Q829" t="n">
        <v>0</v>
      </c>
      <c r="R829" s="2" t="inlineStr"/>
    </row>
    <row r="830" ht="15" customHeight="1">
      <c r="A830" t="inlineStr">
        <is>
          <t>A 40436-2022</t>
        </is>
      </c>
      <c r="B830" s="1" t="n">
        <v>44823</v>
      </c>
      <c r="C830" s="1" t="n">
        <v>45788</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40612-2022</t>
        </is>
      </c>
      <c r="B831" s="1" t="n">
        <v>44824</v>
      </c>
      <c r="C831" s="1" t="n">
        <v>45788</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40978-2022</t>
        </is>
      </c>
      <c r="B832" s="1" t="n">
        <v>44823</v>
      </c>
      <c r="C832" s="1" t="n">
        <v>45788</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40829-2022</t>
        </is>
      </c>
      <c r="B833" s="1" t="n">
        <v>44825</v>
      </c>
      <c r="C833" s="1" t="n">
        <v>45788</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41180-2022</t>
        </is>
      </c>
      <c r="B834" s="1" t="n">
        <v>44825</v>
      </c>
      <c r="C834" s="1" t="n">
        <v>45788</v>
      </c>
      <c r="D834" t="inlineStr">
        <is>
          <t>JÄMTLANDS LÄN</t>
        </is>
      </c>
      <c r="E834" t="inlineStr">
        <is>
          <t>RAGUNDA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41179-2022</t>
        </is>
      </c>
      <c r="B835" s="1" t="n">
        <v>44825</v>
      </c>
      <c r="C835" s="1" t="n">
        <v>45788</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42267-2022</t>
        </is>
      </c>
      <c r="B836" s="1" t="n">
        <v>44830</v>
      </c>
      <c r="C836" s="1" t="n">
        <v>45788</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42266-2022</t>
        </is>
      </c>
      <c r="B837" s="1" t="n">
        <v>44831</v>
      </c>
      <c r="C837" s="1" t="n">
        <v>45788</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42652-2022</t>
        </is>
      </c>
      <c r="B838" s="1" t="n">
        <v>44832</v>
      </c>
      <c r="C838" s="1" t="n">
        <v>45788</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42644-2022</t>
        </is>
      </c>
      <c r="B839" s="1" t="n">
        <v>44831</v>
      </c>
      <c r="C839" s="1" t="n">
        <v>45788</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42655-2022</t>
        </is>
      </c>
      <c r="B840" s="1" t="n">
        <v>44831</v>
      </c>
      <c r="C840" s="1" t="n">
        <v>45788</v>
      </c>
      <c r="D840" t="inlineStr">
        <is>
          <t>JÄMTLANDS LÄN</t>
        </is>
      </c>
      <c r="E840" t="inlineStr">
        <is>
          <t>RAGUNDA</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42653-2022</t>
        </is>
      </c>
      <c r="B841" s="1" t="n">
        <v>44832</v>
      </c>
      <c r="C841" s="1" t="n">
        <v>45788</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42882-2022</t>
        </is>
      </c>
      <c r="B842" s="1" t="n">
        <v>44833</v>
      </c>
      <c r="C842" s="1" t="n">
        <v>45788</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42892-2022</t>
        </is>
      </c>
      <c r="B843" s="1" t="n">
        <v>44832</v>
      </c>
      <c r="C843" s="1" t="n">
        <v>45788</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42893-2022</t>
        </is>
      </c>
      <c r="B844" s="1" t="n">
        <v>44832</v>
      </c>
      <c r="C844" s="1" t="n">
        <v>45788</v>
      </c>
      <c r="D844" t="inlineStr">
        <is>
          <t>JÄMTLANDS LÄN</t>
        </is>
      </c>
      <c r="E844" t="inlineStr">
        <is>
          <t>RAGUNDA</t>
        </is>
      </c>
      <c r="F844" t="inlineStr">
        <is>
          <t>SCA</t>
        </is>
      </c>
      <c r="G844" t="n">
        <v>28.4</v>
      </c>
      <c r="H844" t="n">
        <v>0</v>
      </c>
      <c r="I844" t="n">
        <v>0</v>
      </c>
      <c r="J844" t="n">
        <v>0</v>
      </c>
      <c r="K844" t="n">
        <v>0</v>
      </c>
      <c r="L844" t="n">
        <v>0</v>
      </c>
      <c r="M844" t="n">
        <v>0</v>
      </c>
      <c r="N844" t="n">
        <v>0</v>
      </c>
      <c r="O844" t="n">
        <v>0</v>
      </c>
      <c r="P844" t="n">
        <v>0</v>
      </c>
      <c r="Q844" t="n">
        <v>0</v>
      </c>
      <c r="R844" s="2" t="inlineStr"/>
    </row>
    <row r="845" ht="15" customHeight="1">
      <c r="A845" t="inlineStr">
        <is>
          <t>A 42900-2022</t>
        </is>
      </c>
      <c r="B845" s="1" t="n">
        <v>44833</v>
      </c>
      <c r="C845" s="1" t="n">
        <v>45788</v>
      </c>
      <c r="D845" t="inlineStr">
        <is>
          <t>JÄMTLANDS LÄN</t>
        </is>
      </c>
      <c r="E845" t="inlineStr">
        <is>
          <t>RAGUNDA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42901-2022</t>
        </is>
      </c>
      <c r="B846" s="1" t="n">
        <v>44832</v>
      </c>
      <c r="C846" s="1" t="n">
        <v>45788</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43147-2022</t>
        </is>
      </c>
      <c r="B847" s="1" t="n">
        <v>44834</v>
      </c>
      <c r="C847" s="1" t="n">
        <v>45788</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43163-2022</t>
        </is>
      </c>
      <c r="B848" s="1" t="n">
        <v>44834</v>
      </c>
      <c r="C848" s="1" t="n">
        <v>45788</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43478-2022</t>
        </is>
      </c>
      <c r="B849" s="1" t="n">
        <v>44837</v>
      </c>
      <c r="C849" s="1" t="n">
        <v>45788</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43793-2022</t>
        </is>
      </c>
      <c r="B850" s="1" t="n">
        <v>44837</v>
      </c>
      <c r="C850" s="1" t="n">
        <v>45788</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43794-2022</t>
        </is>
      </c>
      <c r="B851" s="1" t="n">
        <v>44837</v>
      </c>
      <c r="C851" s="1" t="n">
        <v>45788</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44050-2022</t>
        </is>
      </c>
      <c r="B852" s="1" t="n">
        <v>44838</v>
      </c>
      <c r="C852" s="1" t="n">
        <v>45788</v>
      </c>
      <c r="D852" t="inlineStr">
        <is>
          <t>JÄMTLANDS LÄN</t>
        </is>
      </c>
      <c r="E852" t="inlineStr">
        <is>
          <t>RAGUNDA</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45788</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44600-2022</t>
        </is>
      </c>
      <c r="B854" s="1" t="n">
        <v>44839</v>
      </c>
      <c r="C854" s="1" t="n">
        <v>45788</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44767-2022</t>
        </is>
      </c>
      <c r="B855" s="1" t="n">
        <v>44840</v>
      </c>
      <c r="C855" s="1" t="n">
        <v>45788</v>
      </c>
      <c r="D855" t="inlineStr">
        <is>
          <t>JÄMTLANDS LÄN</t>
        </is>
      </c>
      <c r="E855" t="inlineStr">
        <is>
          <t>RAGUNDA</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44766-2022</t>
        </is>
      </c>
      <c r="B856" s="1" t="n">
        <v>44841</v>
      </c>
      <c r="C856" s="1" t="n">
        <v>45788</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45437-2022</t>
        </is>
      </c>
      <c r="B857" s="1" t="n">
        <v>44844</v>
      </c>
      <c r="C857" s="1" t="n">
        <v>45788</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45438-2022</t>
        </is>
      </c>
      <c r="B858" s="1" t="n">
        <v>44845</v>
      </c>
      <c r="C858" s="1" t="n">
        <v>45788</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45708-2022</t>
        </is>
      </c>
      <c r="B859" s="1" t="n">
        <v>44846</v>
      </c>
      <c r="C859" s="1" t="n">
        <v>45788</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45712-2022</t>
        </is>
      </c>
      <c r="B860" s="1" t="n">
        <v>44845</v>
      </c>
      <c r="C860" s="1" t="n">
        <v>45788</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45710-2022</t>
        </is>
      </c>
      <c r="B861" s="1" t="n">
        <v>44845</v>
      </c>
      <c r="C861" s="1" t="n">
        <v>45788</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45718-2022</t>
        </is>
      </c>
      <c r="B862" s="1" t="n">
        <v>44845</v>
      </c>
      <c r="C862" s="1" t="n">
        <v>45788</v>
      </c>
      <c r="D862" t="inlineStr">
        <is>
          <t>JÄMTLANDS LÄN</t>
        </is>
      </c>
      <c r="E862" t="inlineStr">
        <is>
          <t>RAGUNDA</t>
        </is>
      </c>
      <c r="F862" t="inlineStr">
        <is>
          <t>SCA</t>
        </is>
      </c>
      <c r="G862" t="n">
        <v>19.3</v>
      </c>
      <c r="H862" t="n">
        <v>0</v>
      </c>
      <c r="I862" t="n">
        <v>0</v>
      </c>
      <c r="J862" t="n">
        <v>0</v>
      </c>
      <c r="K862" t="n">
        <v>0</v>
      </c>
      <c r="L862" t="n">
        <v>0</v>
      </c>
      <c r="M862" t="n">
        <v>0</v>
      </c>
      <c r="N862" t="n">
        <v>0</v>
      </c>
      <c r="O862" t="n">
        <v>0</v>
      </c>
      <c r="P862" t="n">
        <v>0</v>
      </c>
      <c r="Q862" t="n">
        <v>0</v>
      </c>
      <c r="R862" s="2" t="inlineStr"/>
    </row>
    <row r="863" ht="15" customHeight="1">
      <c r="A863" t="inlineStr">
        <is>
          <t>A 45715-2022</t>
        </is>
      </c>
      <c r="B863" s="1" t="n">
        <v>44845</v>
      </c>
      <c r="C863" s="1" t="n">
        <v>45788</v>
      </c>
      <c r="D863" t="inlineStr">
        <is>
          <t>JÄMTLANDS LÄN</t>
        </is>
      </c>
      <c r="E863" t="inlineStr">
        <is>
          <t>RAGUNDA</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46047-2022</t>
        </is>
      </c>
      <c r="B864" s="1" t="n">
        <v>44847</v>
      </c>
      <c r="C864" s="1" t="n">
        <v>45788</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46040-2022</t>
        </is>
      </c>
      <c r="B865" s="1" t="n">
        <v>44847</v>
      </c>
      <c r="C865" s="1" t="n">
        <v>45788</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46050-2022</t>
        </is>
      </c>
      <c r="B866" s="1" t="n">
        <v>44846</v>
      </c>
      <c r="C866" s="1" t="n">
        <v>45788</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46049-2022</t>
        </is>
      </c>
      <c r="B867" s="1" t="n">
        <v>44847</v>
      </c>
      <c r="C867" s="1" t="n">
        <v>45788</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46048-2022</t>
        </is>
      </c>
      <c r="B868" s="1" t="n">
        <v>44846</v>
      </c>
      <c r="C868" s="1" t="n">
        <v>45788</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46991-2022</t>
        </is>
      </c>
      <c r="B869" s="1" t="n">
        <v>44852</v>
      </c>
      <c r="C869" s="1" t="n">
        <v>45788</v>
      </c>
      <c r="D869" t="inlineStr">
        <is>
          <t>JÄMTLANDS LÄN</t>
        </is>
      </c>
      <c r="E869" t="inlineStr">
        <is>
          <t>RAGUNDA</t>
        </is>
      </c>
      <c r="F869" t="inlineStr">
        <is>
          <t>SCA</t>
        </is>
      </c>
      <c r="G869" t="n">
        <v>17.3</v>
      </c>
      <c r="H869" t="n">
        <v>0</v>
      </c>
      <c r="I869" t="n">
        <v>0</v>
      </c>
      <c r="J869" t="n">
        <v>0</v>
      </c>
      <c r="K869" t="n">
        <v>0</v>
      </c>
      <c r="L869" t="n">
        <v>0</v>
      </c>
      <c r="M869" t="n">
        <v>0</v>
      </c>
      <c r="N869" t="n">
        <v>0</v>
      </c>
      <c r="O869" t="n">
        <v>0</v>
      </c>
      <c r="P869" t="n">
        <v>0</v>
      </c>
      <c r="Q869" t="n">
        <v>0</v>
      </c>
      <c r="R869" s="2" t="inlineStr"/>
    </row>
    <row r="870" ht="15" customHeight="1">
      <c r="A870" t="inlineStr">
        <is>
          <t>A 46992-2022</t>
        </is>
      </c>
      <c r="B870" s="1" t="n">
        <v>44852</v>
      </c>
      <c r="C870" s="1" t="n">
        <v>45788</v>
      </c>
      <c r="D870" t="inlineStr">
        <is>
          <t>JÄMTLANDS LÄN</t>
        </is>
      </c>
      <c r="E870" t="inlineStr">
        <is>
          <t>RAGUNDA</t>
        </is>
      </c>
      <c r="F870" t="inlineStr">
        <is>
          <t>SCA</t>
        </is>
      </c>
      <c r="G870" t="n">
        <v>26.4</v>
      </c>
      <c r="H870" t="n">
        <v>0</v>
      </c>
      <c r="I870" t="n">
        <v>0</v>
      </c>
      <c r="J870" t="n">
        <v>0</v>
      </c>
      <c r="K870" t="n">
        <v>0</v>
      </c>
      <c r="L870" t="n">
        <v>0</v>
      </c>
      <c r="M870" t="n">
        <v>0</v>
      </c>
      <c r="N870" t="n">
        <v>0</v>
      </c>
      <c r="O870" t="n">
        <v>0</v>
      </c>
      <c r="P870" t="n">
        <v>0</v>
      </c>
      <c r="Q870" t="n">
        <v>0</v>
      </c>
      <c r="R870" s="2" t="inlineStr"/>
    </row>
    <row r="871" ht="15" customHeight="1">
      <c r="A871" t="inlineStr">
        <is>
          <t>A 47262-2022</t>
        </is>
      </c>
      <c r="B871" s="1" t="n">
        <v>44852</v>
      </c>
      <c r="C871" s="1" t="n">
        <v>45788</v>
      </c>
      <c r="D871" t="inlineStr">
        <is>
          <t>JÄMTLANDS LÄN</t>
        </is>
      </c>
      <c r="E871" t="inlineStr">
        <is>
          <t>RAGUNDA</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47280-2022</t>
        </is>
      </c>
      <c r="B872" s="1" t="n">
        <v>44852</v>
      </c>
      <c r="C872" s="1" t="n">
        <v>45788</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47278-2022</t>
        </is>
      </c>
      <c r="B873" s="1" t="n">
        <v>44852</v>
      </c>
      <c r="C873" s="1" t="n">
        <v>45788</v>
      </c>
      <c r="D873" t="inlineStr">
        <is>
          <t>JÄMTLANDS LÄN</t>
        </is>
      </c>
      <c r="E873" t="inlineStr">
        <is>
          <t>RAGUNDA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47567-2022</t>
        </is>
      </c>
      <c r="B874" s="1" t="n">
        <v>44853</v>
      </c>
      <c r="C874" s="1" t="n">
        <v>45788</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47568-2022</t>
        </is>
      </c>
      <c r="B875" s="1" t="n">
        <v>44854</v>
      </c>
      <c r="C875" s="1" t="n">
        <v>45788</v>
      </c>
      <c r="D875" t="inlineStr">
        <is>
          <t>JÄMTLANDS LÄN</t>
        </is>
      </c>
      <c r="E875" t="inlineStr">
        <is>
          <t>RAGUNDA</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47801-2022</t>
        </is>
      </c>
      <c r="B876" s="1" t="n">
        <v>44854</v>
      </c>
      <c r="C876" s="1" t="n">
        <v>45788</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47803-2022</t>
        </is>
      </c>
      <c r="B877" s="1" t="n">
        <v>44855</v>
      </c>
      <c r="C877" s="1" t="n">
        <v>45788</v>
      </c>
      <c r="D877" t="inlineStr">
        <is>
          <t>JÄMTLANDS LÄN</t>
        </is>
      </c>
      <c r="E877" t="inlineStr">
        <is>
          <t>RAGUNDA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48060-2022</t>
        </is>
      </c>
      <c r="B878" s="1" t="n">
        <v>44856</v>
      </c>
      <c r="C878" s="1" t="n">
        <v>45788</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48055-2022</t>
        </is>
      </c>
      <c r="B879" s="1" t="n">
        <v>44856</v>
      </c>
      <c r="C879" s="1" t="n">
        <v>45788</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48058-2022</t>
        </is>
      </c>
      <c r="B880" s="1" t="n">
        <v>44856</v>
      </c>
      <c r="C880" s="1" t="n">
        <v>45788</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48066-2022</t>
        </is>
      </c>
      <c r="B881" s="1" t="n">
        <v>44855</v>
      </c>
      <c r="C881" s="1" t="n">
        <v>45788</v>
      </c>
      <c r="D881" t="inlineStr">
        <is>
          <t>JÄMTLANDS LÄN</t>
        </is>
      </c>
      <c r="E881" t="inlineStr">
        <is>
          <t>RAGUNDA</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48076-2022</t>
        </is>
      </c>
      <c r="B882" s="1" t="n">
        <v>44856</v>
      </c>
      <c r="C882" s="1" t="n">
        <v>45788</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48053-2022</t>
        </is>
      </c>
      <c r="B883" s="1" t="n">
        <v>44856</v>
      </c>
      <c r="C883" s="1" t="n">
        <v>45788</v>
      </c>
      <c r="D883" t="inlineStr">
        <is>
          <t>JÄMTLANDS LÄN</t>
        </is>
      </c>
      <c r="E883" t="inlineStr">
        <is>
          <t>RAGUNDA</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48075-2022</t>
        </is>
      </c>
      <c r="B884" s="1" t="n">
        <v>44855</v>
      </c>
      <c r="C884" s="1" t="n">
        <v>45788</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48086-2022</t>
        </is>
      </c>
      <c r="B885" s="1" t="n">
        <v>44856</v>
      </c>
      <c r="C885" s="1" t="n">
        <v>45788</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48085-2022</t>
        </is>
      </c>
      <c r="B886" s="1" t="n">
        <v>44855</v>
      </c>
      <c r="C886" s="1" t="n">
        <v>45788</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48536-2022</t>
        </is>
      </c>
      <c r="B887" s="1" t="n">
        <v>44858</v>
      </c>
      <c r="C887" s="1" t="n">
        <v>45788</v>
      </c>
      <c r="D887" t="inlineStr">
        <is>
          <t>JÄMTLANDS LÄN</t>
        </is>
      </c>
      <c r="E887" t="inlineStr">
        <is>
          <t>RAGUNDA</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48538-2022</t>
        </is>
      </c>
      <c r="B888" s="1" t="n">
        <v>44858</v>
      </c>
      <c r="C888" s="1" t="n">
        <v>45788</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48522-2022</t>
        </is>
      </c>
      <c r="B889" s="1" t="n">
        <v>44859</v>
      </c>
      <c r="C889" s="1" t="n">
        <v>45788</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48534-2022</t>
        </is>
      </c>
      <c r="B890" s="1" t="n">
        <v>44859</v>
      </c>
      <c r="C890" s="1" t="n">
        <v>45788</v>
      </c>
      <c r="D890" t="inlineStr">
        <is>
          <t>JÄMTLANDS LÄN</t>
        </is>
      </c>
      <c r="E890" t="inlineStr">
        <is>
          <t>RAGUNDA</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48938-2022</t>
        </is>
      </c>
      <c r="B891" s="1" t="n">
        <v>44860</v>
      </c>
      <c r="C891" s="1" t="n">
        <v>45788</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49183-2022</t>
        </is>
      </c>
      <c r="B892" s="1" t="n">
        <v>44860</v>
      </c>
      <c r="C892" s="1" t="n">
        <v>45788</v>
      </c>
      <c r="D892" t="inlineStr">
        <is>
          <t>JÄMTLANDS LÄN</t>
        </is>
      </c>
      <c r="E892" t="inlineStr">
        <is>
          <t>RAGUNDA</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49182-2022</t>
        </is>
      </c>
      <c r="B893" s="1" t="n">
        <v>44861</v>
      </c>
      <c r="C893" s="1" t="n">
        <v>45788</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49197-2022</t>
        </is>
      </c>
      <c r="B894" s="1" t="n">
        <v>44860</v>
      </c>
      <c r="C894" s="1" t="n">
        <v>45788</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49531-2022</t>
        </is>
      </c>
      <c r="B895" s="1" t="n">
        <v>44861</v>
      </c>
      <c r="C895" s="1" t="n">
        <v>45788</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49530-2022</t>
        </is>
      </c>
      <c r="B896" s="1" t="n">
        <v>44861</v>
      </c>
      <c r="C896" s="1" t="n">
        <v>45788</v>
      </c>
      <c r="D896" t="inlineStr">
        <is>
          <t>JÄMTLANDS LÄN</t>
        </is>
      </c>
      <c r="E896" t="inlineStr">
        <is>
          <t>RAGUNDA</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49544-2022</t>
        </is>
      </c>
      <c r="B897" s="1" t="n">
        <v>44862</v>
      </c>
      <c r="C897" s="1" t="n">
        <v>45788</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49543-2022</t>
        </is>
      </c>
      <c r="B898" s="1" t="n">
        <v>44862</v>
      </c>
      <c r="C898" s="1" t="n">
        <v>45788</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49844-2022</t>
        </is>
      </c>
      <c r="B899" s="1" t="n">
        <v>44863</v>
      </c>
      <c r="C899" s="1" t="n">
        <v>45788</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49904-2022</t>
        </is>
      </c>
      <c r="B900" s="1" t="n">
        <v>44864</v>
      </c>
      <c r="C900" s="1" t="n">
        <v>45788</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50087-2022</t>
        </is>
      </c>
      <c r="B901" s="1" t="n">
        <v>44865</v>
      </c>
      <c r="C901" s="1" t="n">
        <v>45788</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50649-2022</t>
        </is>
      </c>
      <c r="B902" s="1" t="n">
        <v>44866</v>
      </c>
      <c r="C902" s="1" t="n">
        <v>45788</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50682-2022</t>
        </is>
      </c>
      <c r="B903" s="1" t="n">
        <v>44866</v>
      </c>
      <c r="C903" s="1" t="n">
        <v>45788</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51012-2022</t>
        </is>
      </c>
      <c r="B904" s="1" t="n">
        <v>44867</v>
      </c>
      <c r="C904" s="1" t="n">
        <v>45788</v>
      </c>
      <c r="D904" t="inlineStr">
        <is>
          <t>JÄMTLANDS LÄN</t>
        </is>
      </c>
      <c r="E904" t="inlineStr">
        <is>
          <t>RAGUNDA</t>
        </is>
      </c>
      <c r="F904" t="inlineStr">
        <is>
          <t>Sveaskog</t>
        </is>
      </c>
      <c r="G904" t="n">
        <v>8.4</v>
      </c>
      <c r="H904" t="n">
        <v>0</v>
      </c>
      <c r="I904" t="n">
        <v>0</v>
      </c>
      <c r="J904" t="n">
        <v>0</v>
      </c>
      <c r="K904" t="n">
        <v>0</v>
      </c>
      <c r="L904" t="n">
        <v>0</v>
      </c>
      <c r="M904" t="n">
        <v>0</v>
      </c>
      <c r="N904" t="n">
        <v>0</v>
      </c>
      <c r="O904" t="n">
        <v>0</v>
      </c>
      <c r="P904" t="n">
        <v>0</v>
      </c>
      <c r="Q904" t="n">
        <v>0</v>
      </c>
      <c r="R904" s="2" t="inlineStr"/>
    </row>
    <row r="905" ht="15" customHeight="1">
      <c r="A905" t="inlineStr">
        <is>
          <t>A 51540-2022</t>
        </is>
      </c>
      <c r="B905" s="1" t="n">
        <v>44869</v>
      </c>
      <c r="C905" s="1" t="n">
        <v>45788</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45788</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51537-2022</t>
        </is>
      </c>
      <c r="B907" s="1" t="n">
        <v>44869</v>
      </c>
      <c r="C907" s="1" t="n">
        <v>45788</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52697-2022</t>
        </is>
      </c>
      <c r="B908" s="1" t="n">
        <v>44874</v>
      </c>
      <c r="C908" s="1" t="n">
        <v>45788</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52720-2022</t>
        </is>
      </c>
      <c r="B909" s="1" t="n">
        <v>44874</v>
      </c>
      <c r="C909" s="1" t="n">
        <v>45788</v>
      </c>
      <c r="D909" t="inlineStr">
        <is>
          <t>JÄMTLANDS LÄN</t>
        </is>
      </c>
      <c r="E909" t="inlineStr">
        <is>
          <t>RAGUNDA</t>
        </is>
      </c>
      <c r="F909" t="inlineStr">
        <is>
          <t>SCA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53287-2022</t>
        </is>
      </c>
      <c r="B910" s="1" t="n">
        <v>44876</v>
      </c>
      <c r="C910" s="1" t="n">
        <v>45788</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53288-2022</t>
        </is>
      </c>
      <c r="B911" s="1" t="n">
        <v>44876</v>
      </c>
      <c r="C911" s="1" t="n">
        <v>45788</v>
      </c>
      <c r="D911" t="inlineStr">
        <is>
          <t>JÄMTLANDS LÄN</t>
        </is>
      </c>
      <c r="E911" t="inlineStr">
        <is>
          <t>RAGUNDA</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53676-2022</t>
        </is>
      </c>
      <c r="B912" s="1" t="n">
        <v>44879</v>
      </c>
      <c r="C912" s="1" t="n">
        <v>45788</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53678-2022</t>
        </is>
      </c>
      <c r="B913" s="1" t="n">
        <v>44879</v>
      </c>
      <c r="C913" s="1" t="n">
        <v>45788</v>
      </c>
      <c r="D913" t="inlineStr">
        <is>
          <t>JÄMTLANDS LÄN</t>
        </is>
      </c>
      <c r="E913" t="inlineStr">
        <is>
          <t>RAGUNDA</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53677-2022</t>
        </is>
      </c>
      <c r="B914" s="1" t="n">
        <v>44879</v>
      </c>
      <c r="C914" s="1" t="n">
        <v>45788</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53674-2022</t>
        </is>
      </c>
      <c r="B915" s="1" t="n">
        <v>44879</v>
      </c>
      <c r="C915" s="1" t="n">
        <v>45788</v>
      </c>
      <c r="D915" t="inlineStr">
        <is>
          <t>JÄMTLANDS LÄN</t>
        </is>
      </c>
      <c r="E915" t="inlineStr">
        <is>
          <t>RAGUNDA</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53935-2022</t>
        </is>
      </c>
      <c r="B916" s="1" t="n">
        <v>44880</v>
      </c>
      <c r="C916" s="1" t="n">
        <v>45788</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53954-2022</t>
        </is>
      </c>
      <c r="B917" s="1" t="n">
        <v>44880</v>
      </c>
      <c r="C917" s="1" t="n">
        <v>45788</v>
      </c>
      <c r="D917" t="inlineStr">
        <is>
          <t>JÄMTLANDS LÄN</t>
        </is>
      </c>
      <c r="E917" t="inlineStr">
        <is>
          <t>RAGUNDA</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53951-2022</t>
        </is>
      </c>
      <c r="B918" s="1" t="n">
        <v>44880</v>
      </c>
      <c r="C918" s="1" t="n">
        <v>45788</v>
      </c>
      <c r="D918" t="inlineStr">
        <is>
          <t>JÄMTLANDS LÄN</t>
        </is>
      </c>
      <c r="E918" t="inlineStr">
        <is>
          <t>RAGUNDA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53952-2022</t>
        </is>
      </c>
      <c r="B919" s="1" t="n">
        <v>44880</v>
      </c>
      <c r="C919" s="1" t="n">
        <v>45788</v>
      </c>
      <c r="D919" t="inlineStr">
        <is>
          <t>JÄMTLANDS LÄN</t>
        </is>
      </c>
      <c r="E919" t="inlineStr">
        <is>
          <t>RAGUNDA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53958-2022</t>
        </is>
      </c>
      <c r="B920" s="1" t="n">
        <v>44880</v>
      </c>
      <c r="C920" s="1" t="n">
        <v>45788</v>
      </c>
      <c r="D920" t="inlineStr">
        <is>
          <t>JÄMTLANDS LÄN</t>
        </is>
      </c>
      <c r="E920" t="inlineStr">
        <is>
          <t>RAGUNDA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53937-2022</t>
        </is>
      </c>
      <c r="B921" s="1" t="n">
        <v>44880</v>
      </c>
      <c r="C921" s="1" t="n">
        <v>45788</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53955-2022</t>
        </is>
      </c>
      <c r="B922" s="1" t="n">
        <v>44880</v>
      </c>
      <c r="C922" s="1" t="n">
        <v>45788</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54244-2022</t>
        </is>
      </c>
      <c r="B923" s="1" t="n">
        <v>44881</v>
      </c>
      <c r="C923" s="1" t="n">
        <v>45788</v>
      </c>
      <c r="D923" t="inlineStr">
        <is>
          <t>JÄMTLANDS LÄN</t>
        </is>
      </c>
      <c r="E923" t="inlineStr">
        <is>
          <t>RAGUNDA</t>
        </is>
      </c>
      <c r="G923" t="n">
        <v>2.8</v>
      </c>
      <c r="H923" t="n">
        <v>0</v>
      </c>
      <c r="I923" t="n">
        <v>0</v>
      </c>
      <c r="J923" t="n">
        <v>0</v>
      </c>
      <c r="K923" t="n">
        <v>0</v>
      </c>
      <c r="L923" t="n">
        <v>0</v>
      </c>
      <c r="M923" t="n">
        <v>0</v>
      </c>
      <c r="N923" t="n">
        <v>0</v>
      </c>
      <c r="O923" t="n">
        <v>0</v>
      </c>
      <c r="P923" t="n">
        <v>0</v>
      </c>
      <c r="Q923" t="n">
        <v>0</v>
      </c>
      <c r="R923" s="2" t="inlineStr"/>
    </row>
    <row r="924" ht="15" customHeight="1">
      <c r="A924" t="inlineStr">
        <is>
          <t>A 54570-2022</t>
        </is>
      </c>
      <c r="B924" s="1" t="n">
        <v>44882</v>
      </c>
      <c r="C924" s="1" t="n">
        <v>45788</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54572-2022</t>
        </is>
      </c>
      <c r="B925" s="1" t="n">
        <v>44882</v>
      </c>
      <c r="C925" s="1" t="n">
        <v>45788</v>
      </c>
      <c r="D925" t="inlineStr">
        <is>
          <t>JÄMTLANDS LÄN</t>
        </is>
      </c>
      <c r="E925" t="inlineStr">
        <is>
          <t>RAGUNDA</t>
        </is>
      </c>
      <c r="G925" t="n">
        <v>10.1</v>
      </c>
      <c r="H925" t="n">
        <v>0</v>
      </c>
      <c r="I925" t="n">
        <v>0</v>
      </c>
      <c r="J925" t="n">
        <v>0</v>
      </c>
      <c r="K925" t="n">
        <v>0</v>
      </c>
      <c r="L925" t="n">
        <v>0</v>
      </c>
      <c r="M925" t="n">
        <v>0</v>
      </c>
      <c r="N925" t="n">
        <v>0</v>
      </c>
      <c r="O925" t="n">
        <v>0</v>
      </c>
      <c r="P925" t="n">
        <v>0</v>
      </c>
      <c r="Q925" t="n">
        <v>0</v>
      </c>
      <c r="R925" s="2" t="inlineStr"/>
    </row>
    <row r="926" ht="15" customHeight="1">
      <c r="A926" t="inlineStr">
        <is>
          <t>A 54836-2022</t>
        </is>
      </c>
      <c r="B926" s="1" t="n">
        <v>44883</v>
      </c>
      <c r="C926" s="1" t="n">
        <v>45788</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54835-2022</t>
        </is>
      </c>
      <c r="B927" s="1" t="n">
        <v>44883</v>
      </c>
      <c r="C927" s="1" t="n">
        <v>45788</v>
      </c>
      <c r="D927" t="inlineStr">
        <is>
          <t>JÄMTLANDS LÄN</t>
        </is>
      </c>
      <c r="E927" t="inlineStr">
        <is>
          <t>RAGUNDA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54830-2022</t>
        </is>
      </c>
      <c r="B928" s="1" t="n">
        <v>44883</v>
      </c>
      <c r="C928" s="1" t="n">
        <v>45788</v>
      </c>
      <c r="D928" t="inlineStr">
        <is>
          <t>JÄMTLANDS LÄN</t>
        </is>
      </c>
      <c r="E928" t="inlineStr">
        <is>
          <t>RAGUNDA</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54837-2022</t>
        </is>
      </c>
      <c r="B929" s="1" t="n">
        <v>44883</v>
      </c>
      <c r="C929" s="1" t="n">
        <v>45788</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54827-2022</t>
        </is>
      </c>
      <c r="B930" s="1" t="n">
        <v>44883</v>
      </c>
      <c r="C930" s="1" t="n">
        <v>45788</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55214-2022</t>
        </is>
      </c>
      <c r="B931" s="1" t="n">
        <v>44886</v>
      </c>
      <c r="C931" s="1" t="n">
        <v>45788</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55904-2022</t>
        </is>
      </c>
      <c r="B932" s="1" t="n">
        <v>44888</v>
      </c>
      <c r="C932" s="1" t="n">
        <v>45788</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56191-2022</t>
        </is>
      </c>
      <c r="B933" s="1" t="n">
        <v>44889</v>
      </c>
      <c r="C933" s="1" t="n">
        <v>45788</v>
      </c>
      <c r="D933" t="inlineStr">
        <is>
          <t>JÄMTLANDS LÄN</t>
        </is>
      </c>
      <c r="E933" t="inlineStr">
        <is>
          <t>RAGUNDA</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56186-2022</t>
        </is>
      </c>
      <c r="B934" s="1" t="n">
        <v>44889</v>
      </c>
      <c r="C934" s="1" t="n">
        <v>45788</v>
      </c>
      <c r="D934" t="inlineStr">
        <is>
          <t>JÄMTLANDS LÄN</t>
        </is>
      </c>
      <c r="E934" t="inlineStr">
        <is>
          <t>RAGUNDA</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56192-2022</t>
        </is>
      </c>
      <c r="B935" s="1" t="n">
        <v>44889</v>
      </c>
      <c r="C935" s="1" t="n">
        <v>45788</v>
      </c>
      <c r="D935" t="inlineStr">
        <is>
          <t>JÄMTLANDS LÄN</t>
        </is>
      </c>
      <c r="E935" t="inlineStr">
        <is>
          <t>RAGUNDA</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56193-2022</t>
        </is>
      </c>
      <c r="B936" s="1" t="n">
        <v>44889</v>
      </c>
      <c r="C936" s="1" t="n">
        <v>45788</v>
      </c>
      <c r="D936" t="inlineStr">
        <is>
          <t>JÄMTLANDS LÄN</t>
        </is>
      </c>
      <c r="E936" t="inlineStr">
        <is>
          <t>RAGUNDA</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45788</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56630-2022</t>
        </is>
      </c>
      <c r="B938" s="1" t="n">
        <v>44893</v>
      </c>
      <c r="C938" s="1" t="n">
        <v>45788</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56984-2022</t>
        </is>
      </c>
      <c r="B939" s="1" t="n">
        <v>44894</v>
      </c>
      <c r="C939" s="1" t="n">
        <v>45788</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58537-2022</t>
        </is>
      </c>
      <c r="B940" s="1" t="n">
        <v>44894</v>
      </c>
      <c r="C940" s="1" t="n">
        <v>45788</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57298-2022</t>
        </is>
      </c>
      <c r="B941" s="1" t="n">
        <v>44895</v>
      </c>
      <c r="C941" s="1" t="n">
        <v>45788</v>
      </c>
      <c r="D941" t="inlineStr">
        <is>
          <t>JÄMTLANDS LÄN</t>
        </is>
      </c>
      <c r="E941" t="inlineStr">
        <is>
          <t>RAGUNDA</t>
        </is>
      </c>
      <c r="F941" t="inlineStr">
        <is>
          <t>SCA</t>
        </is>
      </c>
      <c r="G941" t="n">
        <v>27.4</v>
      </c>
      <c r="H941" t="n">
        <v>0</v>
      </c>
      <c r="I941" t="n">
        <v>0</v>
      </c>
      <c r="J941" t="n">
        <v>0</v>
      </c>
      <c r="K941" t="n">
        <v>0</v>
      </c>
      <c r="L941" t="n">
        <v>0</v>
      </c>
      <c r="M941" t="n">
        <v>0</v>
      </c>
      <c r="N941" t="n">
        <v>0</v>
      </c>
      <c r="O941" t="n">
        <v>0</v>
      </c>
      <c r="P941" t="n">
        <v>0</v>
      </c>
      <c r="Q941" t="n">
        <v>0</v>
      </c>
      <c r="R941" s="2" t="inlineStr"/>
    </row>
    <row r="942" ht="15" customHeight="1">
      <c r="A942" t="inlineStr">
        <is>
          <t>A 59242-2022</t>
        </is>
      </c>
      <c r="B942" s="1" t="n">
        <v>44896</v>
      </c>
      <c r="C942" s="1" t="n">
        <v>45788</v>
      </c>
      <c r="D942" t="inlineStr">
        <is>
          <t>JÄMTLANDS LÄN</t>
        </is>
      </c>
      <c r="E942" t="inlineStr">
        <is>
          <t>RAGUNDA</t>
        </is>
      </c>
      <c r="G942" t="n">
        <v>4</v>
      </c>
      <c r="H942" t="n">
        <v>0</v>
      </c>
      <c r="I942" t="n">
        <v>0</v>
      </c>
      <c r="J942" t="n">
        <v>0</v>
      </c>
      <c r="K942" t="n">
        <v>0</v>
      </c>
      <c r="L942" t="n">
        <v>0</v>
      </c>
      <c r="M942" t="n">
        <v>0</v>
      </c>
      <c r="N942" t="n">
        <v>0</v>
      </c>
      <c r="O942" t="n">
        <v>0</v>
      </c>
      <c r="P942" t="n">
        <v>0</v>
      </c>
      <c r="Q942" t="n">
        <v>0</v>
      </c>
      <c r="R942" s="2" t="inlineStr"/>
    </row>
    <row r="943" ht="15" customHeight="1">
      <c r="A943" t="inlineStr">
        <is>
          <t>A 57599-2022</t>
        </is>
      </c>
      <c r="B943" s="1" t="n">
        <v>44897</v>
      </c>
      <c r="C943" s="1" t="n">
        <v>45788</v>
      </c>
      <c r="D943" t="inlineStr">
        <is>
          <t>JÄMTLANDS LÄN</t>
        </is>
      </c>
      <c r="E943" t="inlineStr">
        <is>
          <t>RAGUNDA</t>
        </is>
      </c>
      <c r="F943" t="inlineStr">
        <is>
          <t>SCA</t>
        </is>
      </c>
      <c r="G943" t="n">
        <v>16.8</v>
      </c>
      <c r="H943" t="n">
        <v>0</v>
      </c>
      <c r="I943" t="n">
        <v>0</v>
      </c>
      <c r="J943" t="n">
        <v>0</v>
      </c>
      <c r="K943" t="n">
        <v>0</v>
      </c>
      <c r="L943" t="n">
        <v>0</v>
      </c>
      <c r="M943" t="n">
        <v>0</v>
      </c>
      <c r="N943" t="n">
        <v>0</v>
      </c>
      <c r="O943" t="n">
        <v>0</v>
      </c>
      <c r="P943" t="n">
        <v>0</v>
      </c>
      <c r="Q943" t="n">
        <v>0</v>
      </c>
      <c r="R943" s="2" t="inlineStr"/>
    </row>
    <row r="944" ht="15" customHeight="1">
      <c r="A944" t="inlineStr">
        <is>
          <t>A 57839-2022</t>
        </is>
      </c>
      <c r="B944" s="1" t="n">
        <v>44897</v>
      </c>
      <c r="C944" s="1" t="n">
        <v>45788</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58194-2022</t>
        </is>
      </c>
      <c r="B945" s="1" t="n">
        <v>44900</v>
      </c>
      <c r="C945" s="1" t="n">
        <v>45788</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58193-2022</t>
        </is>
      </c>
      <c r="B946" s="1" t="n">
        <v>44900</v>
      </c>
      <c r="C946" s="1" t="n">
        <v>45788</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58442-2022</t>
        </is>
      </c>
      <c r="B947" s="1" t="n">
        <v>44901</v>
      </c>
      <c r="C947" s="1" t="n">
        <v>45788</v>
      </c>
      <c r="D947" t="inlineStr">
        <is>
          <t>JÄMTLANDS LÄN</t>
        </is>
      </c>
      <c r="E947" t="inlineStr">
        <is>
          <t>RAGUNDA</t>
        </is>
      </c>
      <c r="F947" t="inlineStr">
        <is>
          <t>SCA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45788</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58443-2022</t>
        </is>
      </c>
      <c r="B949" s="1" t="n">
        <v>44901</v>
      </c>
      <c r="C949" s="1" t="n">
        <v>45788</v>
      </c>
      <c r="D949" t="inlineStr">
        <is>
          <t>JÄMTLANDS LÄN</t>
        </is>
      </c>
      <c r="E949" t="inlineStr">
        <is>
          <t>RAGUNDA</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60225-2022</t>
        </is>
      </c>
      <c r="B950" s="1" t="n">
        <v>44903</v>
      </c>
      <c r="C950" s="1" t="n">
        <v>45788</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59044-2022</t>
        </is>
      </c>
      <c r="B951" s="1" t="n">
        <v>44903</v>
      </c>
      <c r="C951" s="1" t="n">
        <v>45788</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59368-2022</t>
        </is>
      </c>
      <c r="B952" s="1" t="n">
        <v>44904</v>
      </c>
      <c r="C952" s="1" t="n">
        <v>45788</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59911-2022</t>
        </is>
      </c>
      <c r="B953" s="1" t="n">
        <v>44909</v>
      </c>
      <c r="C953" s="1" t="n">
        <v>45788</v>
      </c>
      <c r="D953" t="inlineStr">
        <is>
          <t>JÄMTLANDS LÄN</t>
        </is>
      </c>
      <c r="E953" t="inlineStr">
        <is>
          <t>RAGUNDA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60177-2022</t>
        </is>
      </c>
      <c r="B954" s="1" t="n">
        <v>44909</v>
      </c>
      <c r="C954" s="1" t="n">
        <v>45788</v>
      </c>
      <c r="D954" t="inlineStr">
        <is>
          <t>JÄMTLANDS LÄN</t>
        </is>
      </c>
      <c r="E954" t="inlineStr">
        <is>
          <t>RAGUNDA</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60660-2022</t>
        </is>
      </c>
      <c r="B955" s="1" t="n">
        <v>44911</v>
      </c>
      <c r="C955" s="1" t="n">
        <v>45788</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60659-2022</t>
        </is>
      </c>
      <c r="B956" s="1" t="n">
        <v>44911</v>
      </c>
      <c r="C956" s="1" t="n">
        <v>45788</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60673-2022</t>
        </is>
      </c>
      <c r="B957" s="1" t="n">
        <v>44911</v>
      </c>
      <c r="C957" s="1" t="n">
        <v>45788</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60663-2022</t>
        </is>
      </c>
      <c r="B958" s="1" t="n">
        <v>44911</v>
      </c>
      <c r="C958" s="1" t="n">
        <v>45788</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60699-2022</t>
        </is>
      </c>
      <c r="B959" s="1" t="n">
        <v>44911</v>
      </c>
      <c r="C959" s="1" t="n">
        <v>45788</v>
      </c>
      <c r="D959" t="inlineStr">
        <is>
          <t>JÄMTLANDS LÄN</t>
        </is>
      </c>
      <c r="E959" t="inlineStr">
        <is>
          <t>RAGUNDA</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60739-2022</t>
        </is>
      </c>
      <c r="B960" s="1" t="n">
        <v>44913</v>
      </c>
      <c r="C960" s="1" t="n">
        <v>45788</v>
      </c>
      <c r="D960" t="inlineStr">
        <is>
          <t>JÄMTLANDS LÄN</t>
        </is>
      </c>
      <c r="E960" t="inlineStr">
        <is>
          <t>RAGUNDA</t>
        </is>
      </c>
      <c r="F960" t="inlineStr">
        <is>
          <t>Naturvårdsverket</t>
        </is>
      </c>
      <c r="G960" t="n">
        <v>6.6</v>
      </c>
      <c r="H960" t="n">
        <v>0</v>
      </c>
      <c r="I960" t="n">
        <v>0</v>
      </c>
      <c r="J960" t="n">
        <v>0</v>
      </c>
      <c r="K960" t="n">
        <v>0</v>
      </c>
      <c r="L960" t="n">
        <v>0</v>
      </c>
      <c r="M960" t="n">
        <v>0</v>
      </c>
      <c r="N960" t="n">
        <v>0</v>
      </c>
      <c r="O960" t="n">
        <v>0</v>
      </c>
      <c r="P960" t="n">
        <v>0</v>
      </c>
      <c r="Q960" t="n">
        <v>0</v>
      </c>
      <c r="R960" s="2" t="inlineStr"/>
    </row>
    <row r="961" ht="15" customHeight="1">
      <c r="A961" t="inlineStr">
        <is>
          <t>A 62011-2022</t>
        </is>
      </c>
      <c r="B961" s="1" t="n">
        <v>44914</v>
      </c>
      <c r="C961" s="1" t="n">
        <v>45788</v>
      </c>
      <c r="D961" t="inlineStr">
        <is>
          <t>JÄMTLANDS LÄN</t>
        </is>
      </c>
      <c r="E961" t="inlineStr">
        <is>
          <t>RAGUNDA</t>
        </is>
      </c>
      <c r="G961" t="n">
        <v>0.3</v>
      </c>
      <c r="H961" t="n">
        <v>0</v>
      </c>
      <c r="I961" t="n">
        <v>0</v>
      </c>
      <c r="J961" t="n">
        <v>0</v>
      </c>
      <c r="K961" t="n">
        <v>0</v>
      </c>
      <c r="L961" t="n">
        <v>0</v>
      </c>
      <c r="M961" t="n">
        <v>0</v>
      </c>
      <c r="N961" t="n">
        <v>0</v>
      </c>
      <c r="O961" t="n">
        <v>0</v>
      </c>
      <c r="P961" t="n">
        <v>0</v>
      </c>
      <c r="Q961" t="n">
        <v>0</v>
      </c>
      <c r="R961" s="2" t="inlineStr"/>
    </row>
    <row r="962" ht="15" customHeight="1">
      <c r="A962" t="inlineStr">
        <is>
          <t>A 61045-2022</t>
        </is>
      </c>
      <c r="B962" s="1" t="n">
        <v>44914</v>
      </c>
      <c r="C962" s="1" t="n">
        <v>45788</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61080-2022</t>
        </is>
      </c>
      <c r="B963" s="1" t="n">
        <v>44915</v>
      </c>
      <c r="C963" s="1" t="n">
        <v>45788</v>
      </c>
      <c r="D963" t="inlineStr">
        <is>
          <t>JÄMTLANDS LÄN</t>
        </is>
      </c>
      <c r="E963" t="inlineStr">
        <is>
          <t>RAGUNDA</t>
        </is>
      </c>
      <c r="G963" t="n">
        <v>3.4</v>
      </c>
      <c r="H963" t="n">
        <v>0</v>
      </c>
      <c r="I963" t="n">
        <v>0</v>
      </c>
      <c r="J963" t="n">
        <v>0</v>
      </c>
      <c r="K963" t="n">
        <v>0</v>
      </c>
      <c r="L963" t="n">
        <v>0</v>
      </c>
      <c r="M963" t="n">
        <v>0</v>
      </c>
      <c r="N963" t="n">
        <v>0</v>
      </c>
      <c r="O963" t="n">
        <v>0</v>
      </c>
      <c r="P963" t="n">
        <v>0</v>
      </c>
      <c r="Q963" t="n">
        <v>0</v>
      </c>
      <c r="R963" s="2" t="inlineStr"/>
    </row>
    <row r="964" ht="15" customHeight="1">
      <c r="A964" t="inlineStr">
        <is>
          <t>A 61400-2022</t>
        </is>
      </c>
      <c r="B964" s="1" t="n">
        <v>44915</v>
      </c>
      <c r="C964" s="1" t="n">
        <v>45788</v>
      </c>
      <c r="D964" t="inlineStr">
        <is>
          <t>JÄMTLANDS LÄN</t>
        </is>
      </c>
      <c r="E964" t="inlineStr">
        <is>
          <t>RAGUNDA</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61401-2022</t>
        </is>
      </c>
      <c r="B965" s="1" t="n">
        <v>44915</v>
      </c>
      <c r="C965" s="1" t="n">
        <v>45788</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62541-2022</t>
        </is>
      </c>
      <c r="B966" s="1" t="n">
        <v>44917</v>
      </c>
      <c r="C966" s="1" t="n">
        <v>45788</v>
      </c>
      <c r="D966" t="inlineStr">
        <is>
          <t>JÄMTLANDS LÄN</t>
        </is>
      </c>
      <c r="E966" t="inlineStr">
        <is>
          <t>RAGUNDA</t>
        </is>
      </c>
      <c r="G966" t="n">
        <v>2.6</v>
      </c>
      <c r="H966" t="n">
        <v>0</v>
      </c>
      <c r="I966" t="n">
        <v>0</v>
      </c>
      <c r="J966" t="n">
        <v>0</v>
      </c>
      <c r="K966" t="n">
        <v>0</v>
      </c>
      <c r="L966" t="n">
        <v>0</v>
      </c>
      <c r="M966" t="n">
        <v>0</v>
      </c>
      <c r="N966" t="n">
        <v>0</v>
      </c>
      <c r="O966" t="n">
        <v>0</v>
      </c>
      <c r="P966" t="n">
        <v>0</v>
      </c>
      <c r="Q966" t="n">
        <v>0</v>
      </c>
      <c r="R966" s="2" t="inlineStr"/>
    </row>
    <row r="967" ht="15" customHeight="1">
      <c r="A967" t="inlineStr">
        <is>
          <t>A 61934-2022</t>
        </is>
      </c>
      <c r="B967" s="1" t="n">
        <v>44917</v>
      </c>
      <c r="C967" s="1" t="n">
        <v>45788</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62081-2022</t>
        </is>
      </c>
      <c r="B968" s="1" t="n">
        <v>44918</v>
      </c>
      <c r="C968" s="1" t="n">
        <v>45788</v>
      </c>
      <c r="D968" t="inlineStr">
        <is>
          <t>JÄMTLANDS LÄN</t>
        </is>
      </c>
      <c r="E968" t="inlineStr">
        <is>
          <t>RAGUNDA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45788</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62407-2022</t>
        </is>
      </c>
      <c r="B970" s="1" t="n">
        <v>44923</v>
      </c>
      <c r="C970" s="1" t="n">
        <v>45788</v>
      </c>
      <c r="D970" t="inlineStr">
        <is>
          <t>JÄMTLANDS LÄN</t>
        </is>
      </c>
      <c r="E970" t="inlineStr">
        <is>
          <t>RAGUNDA</t>
        </is>
      </c>
      <c r="F970" t="inlineStr">
        <is>
          <t>SCA</t>
        </is>
      </c>
      <c r="G970" t="n">
        <v>53.6</v>
      </c>
      <c r="H970" t="n">
        <v>0</v>
      </c>
      <c r="I970" t="n">
        <v>0</v>
      </c>
      <c r="J970" t="n">
        <v>0</v>
      </c>
      <c r="K970" t="n">
        <v>0</v>
      </c>
      <c r="L970" t="n">
        <v>0</v>
      </c>
      <c r="M970" t="n">
        <v>0</v>
      </c>
      <c r="N970" t="n">
        <v>0</v>
      </c>
      <c r="O970" t="n">
        <v>0</v>
      </c>
      <c r="P970" t="n">
        <v>0</v>
      </c>
      <c r="Q970" t="n">
        <v>0</v>
      </c>
      <c r="R970" s="2" t="inlineStr"/>
    </row>
    <row r="971" ht="15" customHeight="1">
      <c r="A971" t="inlineStr">
        <is>
          <t>A 17-2023</t>
        </is>
      </c>
      <c r="B971" s="1" t="n">
        <v>44927</v>
      </c>
      <c r="C971" s="1" t="n">
        <v>45788</v>
      </c>
      <c r="D971" t="inlineStr">
        <is>
          <t>JÄMTLANDS LÄN</t>
        </is>
      </c>
      <c r="E971" t="inlineStr">
        <is>
          <t>RAGUNDA</t>
        </is>
      </c>
      <c r="F971" t="inlineStr">
        <is>
          <t>SCA</t>
        </is>
      </c>
      <c r="G971" t="n">
        <v>49.6</v>
      </c>
      <c r="H971" t="n">
        <v>0</v>
      </c>
      <c r="I971" t="n">
        <v>0</v>
      </c>
      <c r="J971" t="n">
        <v>0</v>
      </c>
      <c r="K971" t="n">
        <v>0</v>
      </c>
      <c r="L971" t="n">
        <v>0</v>
      </c>
      <c r="M971" t="n">
        <v>0</v>
      </c>
      <c r="N971" t="n">
        <v>0</v>
      </c>
      <c r="O971" t="n">
        <v>0</v>
      </c>
      <c r="P971" t="n">
        <v>0</v>
      </c>
      <c r="Q971" t="n">
        <v>0</v>
      </c>
      <c r="R971" s="2" t="inlineStr"/>
    </row>
    <row r="972" ht="15" customHeight="1">
      <c r="A972" t="inlineStr">
        <is>
          <t>A 462-2023</t>
        </is>
      </c>
      <c r="B972" s="1" t="n">
        <v>44929</v>
      </c>
      <c r="C972" s="1" t="n">
        <v>45788</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467-2023</t>
        </is>
      </c>
      <c r="B973" s="1" t="n">
        <v>44929</v>
      </c>
      <c r="C973" s="1" t="n">
        <v>45788</v>
      </c>
      <c r="D973" t="inlineStr">
        <is>
          <t>JÄMTLANDS LÄN</t>
        </is>
      </c>
      <c r="E973" t="inlineStr">
        <is>
          <t>RAGUNDA</t>
        </is>
      </c>
      <c r="G973" t="n">
        <v>2</v>
      </c>
      <c r="H973" t="n">
        <v>0</v>
      </c>
      <c r="I973" t="n">
        <v>0</v>
      </c>
      <c r="J973" t="n">
        <v>0</v>
      </c>
      <c r="K973" t="n">
        <v>0</v>
      </c>
      <c r="L973" t="n">
        <v>0</v>
      </c>
      <c r="M973" t="n">
        <v>0</v>
      </c>
      <c r="N973" t="n">
        <v>0</v>
      </c>
      <c r="O973" t="n">
        <v>0</v>
      </c>
      <c r="P973" t="n">
        <v>0</v>
      </c>
      <c r="Q973" t="n">
        <v>0</v>
      </c>
      <c r="R973" s="2" t="inlineStr"/>
    </row>
    <row r="974" ht="15" customHeight="1">
      <c r="A974" t="inlineStr">
        <is>
          <t>A 465-2023</t>
        </is>
      </c>
      <c r="B974" s="1" t="n">
        <v>44929</v>
      </c>
      <c r="C974" s="1" t="n">
        <v>45788</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464-2023</t>
        </is>
      </c>
      <c r="B975" s="1" t="n">
        <v>44929</v>
      </c>
      <c r="C975" s="1" t="n">
        <v>45788</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719-2023</t>
        </is>
      </c>
      <c r="B976" s="1" t="n">
        <v>44930</v>
      </c>
      <c r="C976" s="1" t="n">
        <v>45788</v>
      </c>
      <c r="D976" t="inlineStr">
        <is>
          <t>JÄMTLANDS LÄN</t>
        </is>
      </c>
      <c r="E976" t="inlineStr">
        <is>
          <t>RAGUNDA</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718-2023</t>
        </is>
      </c>
      <c r="B977" s="1" t="n">
        <v>44930</v>
      </c>
      <c r="C977" s="1" t="n">
        <v>45788</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934-2023</t>
        </is>
      </c>
      <c r="B978" s="1" t="n">
        <v>44932</v>
      </c>
      <c r="C978" s="1" t="n">
        <v>45788</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1876-2023</t>
        </is>
      </c>
      <c r="B979" s="1" t="n">
        <v>44938</v>
      </c>
      <c r="C979" s="1" t="n">
        <v>45788</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1870-2023</t>
        </is>
      </c>
      <c r="B980" s="1" t="n">
        <v>44938</v>
      </c>
      <c r="C980" s="1" t="n">
        <v>45788</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1871-2023</t>
        </is>
      </c>
      <c r="B981" s="1" t="n">
        <v>44938</v>
      </c>
      <c r="C981" s="1" t="n">
        <v>45788</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1875-2023</t>
        </is>
      </c>
      <c r="B982" s="1" t="n">
        <v>44938</v>
      </c>
      <c r="C982" s="1" t="n">
        <v>45788</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2117-2023</t>
        </is>
      </c>
      <c r="B983" s="1" t="n">
        <v>44939</v>
      </c>
      <c r="C983" s="1" t="n">
        <v>45788</v>
      </c>
      <c r="D983" t="inlineStr">
        <is>
          <t>JÄMTLANDS LÄN</t>
        </is>
      </c>
      <c r="E983" t="inlineStr">
        <is>
          <t>RAGUNDA</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2130-2023</t>
        </is>
      </c>
      <c r="B984" s="1" t="n">
        <v>44939</v>
      </c>
      <c r="C984" s="1" t="n">
        <v>45788</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2127-2023</t>
        </is>
      </c>
      <c r="B985" s="1" t="n">
        <v>44939</v>
      </c>
      <c r="C985" s="1" t="n">
        <v>45788</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2133-2023</t>
        </is>
      </c>
      <c r="B986" s="1" t="n">
        <v>44939</v>
      </c>
      <c r="C986" s="1" t="n">
        <v>45788</v>
      </c>
      <c r="D986" t="inlineStr">
        <is>
          <t>JÄMTLANDS LÄN</t>
        </is>
      </c>
      <c r="E986" t="inlineStr">
        <is>
          <t>RAGUNDA</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2401-2023</t>
        </is>
      </c>
      <c r="B987" s="1" t="n">
        <v>44942</v>
      </c>
      <c r="C987" s="1" t="n">
        <v>45788</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45788</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2402-2023</t>
        </is>
      </c>
      <c r="B989" s="1" t="n">
        <v>44942</v>
      </c>
      <c r="C989" s="1" t="n">
        <v>45788</v>
      </c>
      <c r="D989" t="inlineStr">
        <is>
          <t>JÄMTLANDS LÄN</t>
        </is>
      </c>
      <c r="E989" t="inlineStr">
        <is>
          <t>RAGUNDA</t>
        </is>
      </c>
      <c r="G989" t="n">
        <v>7.8</v>
      </c>
      <c r="H989" t="n">
        <v>0</v>
      </c>
      <c r="I989" t="n">
        <v>0</v>
      </c>
      <c r="J989" t="n">
        <v>0</v>
      </c>
      <c r="K989" t="n">
        <v>0</v>
      </c>
      <c r="L989" t="n">
        <v>0</v>
      </c>
      <c r="M989" t="n">
        <v>0</v>
      </c>
      <c r="N989" t="n">
        <v>0</v>
      </c>
      <c r="O989" t="n">
        <v>0</v>
      </c>
      <c r="P989" t="n">
        <v>0</v>
      </c>
      <c r="Q989" t="n">
        <v>0</v>
      </c>
      <c r="R989" s="2" t="inlineStr"/>
    </row>
    <row r="990" ht="15" customHeight="1">
      <c r="A990" t="inlineStr">
        <is>
          <t>A 2414-2023</t>
        </is>
      </c>
      <c r="B990" s="1" t="n">
        <v>44942</v>
      </c>
      <c r="C990" s="1" t="n">
        <v>45788</v>
      </c>
      <c r="D990" t="inlineStr">
        <is>
          <t>JÄMTLANDS LÄN</t>
        </is>
      </c>
      <c r="E990" t="inlineStr">
        <is>
          <t>RAGUNDA</t>
        </is>
      </c>
      <c r="F990" t="inlineStr">
        <is>
          <t>SCA</t>
        </is>
      </c>
      <c r="G990" t="n">
        <v>28.4</v>
      </c>
      <c r="H990" t="n">
        <v>0</v>
      </c>
      <c r="I990" t="n">
        <v>0</v>
      </c>
      <c r="J990" t="n">
        <v>0</v>
      </c>
      <c r="K990" t="n">
        <v>0</v>
      </c>
      <c r="L990" t="n">
        <v>0</v>
      </c>
      <c r="M990" t="n">
        <v>0</v>
      </c>
      <c r="N990" t="n">
        <v>0</v>
      </c>
      <c r="O990" t="n">
        <v>0</v>
      </c>
      <c r="P990" t="n">
        <v>0</v>
      </c>
      <c r="Q990" t="n">
        <v>0</v>
      </c>
      <c r="R990" s="2" t="inlineStr"/>
    </row>
    <row r="991" ht="15" customHeight="1">
      <c r="A991" t="inlineStr">
        <is>
          <t>A 2599-2023</t>
        </is>
      </c>
      <c r="B991" s="1" t="n">
        <v>44943</v>
      </c>
      <c r="C991" s="1" t="n">
        <v>45788</v>
      </c>
      <c r="D991" t="inlineStr">
        <is>
          <t>JÄMTLANDS LÄN</t>
        </is>
      </c>
      <c r="E991" t="inlineStr">
        <is>
          <t>RAGUNDA</t>
        </is>
      </c>
      <c r="F991" t="inlineStr">
        <is>
          <t>SCA</t>
        </is>
      </c>
      <c r="G991" t="n">
        <v>5.9</v>
      </c>
      <c r="H991" t="n">
        <v>0</v>
      </c>
      <c r="I991" t="n">
        <v>0</v>
      </c>
      <c r="J991" t="n">
        <v>0</v>
      </c>
      <c r="K991" t="n">
        <v>0</v>
      </c>
      <c r="L991" t="n">
        <v>0</v>
      </c>
      <c r="M991" t="n">
        <v>0</v>
      </c>
      <c r="N991" t="n">
        <v>0</v>
      </c>
      <c r="O991" t="n">
        <v>0</v>
      </c>
      <c r="P991" t="n">
        <v>0</v>
      </c>
      <c r="Q991" t="n">
        <v>0</v>
      </c>
      <c r="R991" s="2" t="inlineStr"/>
    </row>
    <row r="992" ht="15" customHeight="1">
      <c r="A992" t="inlineStr">
        <is>
          <t>A 2600-2023</t>
        </is>
      </c>
      <c r="B992" s="1" t="n">
        <v>44943</v>
      </c>
      <c r="C992" s="1" t="n">
        <v>45788</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2819-2023</t>
        </is>
      </c>
      <c r="B993" s="1" t="n">
        <v>44944</v>
      </c>
      <c r="C993" s="1" t="n">
        <v>45788</v>
      </c>
      <c r="D993" t="inlineStr">
        <is>
          <t>JÄMTLANDS LÄN</t>
        </is>
      </c>
      <c r="E993" t="inlineStr">
        <is>
          <t>RAGUNDA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3034-2023</t>
        </is>
      </c>
      <c r="B994" s="1" t="n">
        <v>44945</v>
      </c>
      <c r="C994" s="1" t="n">
        <v>45788</v>
      </c>
      <c r="D994" t="inlineStr">
        <is>
          <t>JÄMTLANDS LÄN</t>
        </is>
      </c>
      <c r="E994" t="inlineStr">
        <is>
          <t>RAGUNDA</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3242-2023</t>
        </is>
      </c>
      <c r="B995" s="1" t="n">
        <v>44946</v>
      </c>
      <c r="C995" s="1" t="n">
        <v>45788</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3243-2023</t>
        </is>
      </c>
      <c r="B996" s="1" t="n">
        <v>44946</v>
      </c>
      <c r="C996" s="1" t="n">
        <v>45788</v>
      </c>
      <c r="D996" t="inlineStr">
        <is>
          <t>JÄMTLANDS LÄN</t>
        </is>
      </c>
      <c r="E996" t="inlineStr">
        <is>
          <t>RAGUNDA</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45788</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4346-2023</t>
        </is>
      </c>
      <c r="B998" s="1" t="n">
        <v>44954</v>
      </c>
      <c r="C998" s="1" t="n">
        <v>45788</v>
      </c>
      <c r="D998" t="inlineStr">
        <is>
          <t>JÄMTLANDS LÄN</t>
        </is>
      </c>
      <c r="E998" t="inlineStr">
        <is>
          <t>RAGUNDA</t>
        </is>
      </c>
      <c r="F998" t="inlineStr">
        <is>
          <t>SCA</t>
        </is>
      </c>
      <c r="G998" t="n">
        <v>14.2</v>
      </c>
      <c r="H998" t="n">
        <v>0</v>
      </c>
      <c r="I998" t="n">
        <v>0</v>
      </c>
      <c r="J998" t="n">
        <v>0</v>
      </c>
      <c r="K998" t="n">
        <v>0</v>
      </c>
      <c r="L998" t="n">
        <v>0</v>
      </c>
      <c r="M998" t="n">
        <v>0</v>
      </c>
      <c r="N998" t="n">
        <v>0</v>
      </c>
      <c r="O998" t="n">
        <v>0</v>
      </c>
      <c r="P998" t="n">
        <v>0</v>
      </c>
      <c r="Q998" t="n">
        <v>0</v>
      </c>
      <c r="R998" s="2" t="inlineStr"/>
    </row>
    <row r="999" ht="15" customHeight="1">
      <c r="A999" t="inlineStr">
        <is>
          <t>A 4350-2023</t>
        </is>
      </c>
      <c r="B999" s="1" t="n">
        <v>44953</v>
      </c>
      <c r="C999" s="1" t="n">
        <v>45788</v>
      </c>
      <c r="D999" t="inlineStr">
        <is>
          <t>JÄMTLANDS LÄN</t>
        </is>
      </c>
      <c r="E999" t="inlineStr">
        <is>
          <t>RAGUNDA</t>
        </is>
      </c>
      <c r="F999" t="inlineStr">
        <is>
          <t>Naturvårdsverket</t>
        </is>
      </c>
      <c r="G999" t="n">
        <v>10.4</v>
      </c>
      <c r="H999" t="n">
        <v>0</v>
      </c>
      <c r="I999" t="n">
        <v>0</v>
      </c>
      <c r="J999" t="n">
        <v>0</v>
      </c>
      <c r="K999" t="n">
        <v>0</v>
      </c>
      <c r="L999" t="n">
        <v>0</v>
      </c>
      <c r="M999" t="n">
        <v>0</v>
      </c>
      <c r="N999" t="n">
        <v>0</v>
      </c>
      <c r="O999" t="n">
        <v>0</v>
      </c>
      <c r="P999" t="n">
        <v>0</v>
      </c>
      <c r="Q999" t="n">
        <v>0</v>
      </c>
      <c r="R999" s="2" t="inlineStr"/>
    </row>
    <row r="1000" ht="15" customHeight="1">
      <c r="A1000" t="inlineStr">
        <is>
          <t>A 4349-2023</t>
        </is>
      </c>
      <c r="B1000" s="1" t="n">
        <v>44954</v>
      </c>
      <c r="C1000" s="1" t="n">
        <v>45788</v>
      </c>
      <c r="D1000" t="inlineStr">
        <is>
          <t>JÄMTLANDS LÄN</t>
        </is>
      </c>
      <c r="E1000" t="inlineStr">
        <is>
          <t>RAGUNDA</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4622-2023</t>
        </is>
      </c>
      <c r="B1001" s="1" t="n">
        <v>44956</v>
      </c>
      <c r="C1001" s="1" t="n">
        <v>45788</v>
      </c>
      <c r="D1001" t="inlineStr">
        <is>
          <t>JÄMTLANDS LÄN</t>
        </is>
      </c>
      <c r="E1001" t="inlineStr">
        <is>
          <t>RAGUNDA</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4620-2023</t>
        </is>
      </c>
      <c r="B1002" s="1" t="n">
        <v>44956</v>
      </c>
      <c r="C1002" s="1" t="n">
        <v>45788</v>
      </c>
      <c r="D1002" t="inlineStr">
        <is>
          <t>JÄMTLANDS LÄN</t>
        </is>
      </c>
      <c r="E1002" t="inlineStr">
        <is>
          <t>RAGUNDA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4615-2023</t>
        </is>
      </c>
      <c r="B1003" s="1" t="n">
        <v>44956</v>
      </c>
      <c r="C1003" s="1" t="n">
        <v>45788</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4882-2023</t>
        </is>
      </c>
      <c r="B1004" s="1" t="n">
        <v>44957</v>
      </c>
      <c r="C1004" s="1" t="n">
        <v>45788</v>
      </c>
      <c r="D1004" t="inlineStr">
        <is>
          <t>JÄMTLANDS LÄN</t>
        </is>
      </c>
      <c r="E1004" t="inlineStr">
        <is>
          <t>RAGUNDA</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4874-2023</t>
        </is>
      </c>
      <c r="B1005" s="1" t="n">
        <v>44957</v>
      </c>
      <c r="C1005" s="1" t="n">
        <v>45788</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4879-2023</t>
        </is>
      </c>
      <c r="B1006" s="1" t="n">
        <v>44957</v>
      </c>
      <c r="C1006" s="1" t="n">
        <v>45788</v>
      </c>
      <c r="D1006" t="inlineStr">
        <is>
          <t>JÄMTLANDS LÄN</t>
        </is>
      </c>
      <c r="E1006" t="inlineStr">
        <is>
          <t>RAGUNDA</t>
        </is>
      </c>
      <c r="F1006" t="inlineStr">
        <is>
          <t>SCA</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5163-2023</t>
        </is>
      </c>
      <c r="B1007" s="1" t="n">
        <v>44958</v>
      </c>
      <c r="C1007" s="1" t="n">
        <v>45788</v>
      </c>
      <c r="D1007" t="inlineStr">
        <is>
          <t>JÄMTLANDS LÄN</t>
        </is>
      </c>
      <c r="E1007" t="inlineStr">
        <is>
          <t>RAGUNDA</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5815-2023</t>
        </is>
      </c>
      <c r="B1008" s="1" t="n">
        <v>44958</v>
      </c>
      <c r="C1008" s="1" t="n">
        <v>45788</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5148-2023</t>
        </is>
      </c>
      <c r="B1009" s="1" t="n">
        <v>44958</v>
      </c>
      <c r="C1009" s="1" t="n">
        <v>45788</v>
      </c>
      <c r="D1009" t="inlineStr">
        <is>
          <t>JÄMTLANDS LÄN</t>
        </is>
      </c>
      <c r="E1009" t="inlineStr">
        <is>
          <t>RAGUNDA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5164-2023</t>
        </is>
      </c>
      <c r="B1010" s="1" t="n">
        <v>44958</v>
      </c>
      <c r="C1010" s="1" t="n">
        <v>45788</v>
      </c>
      <c r="D1010" t="inlineStr">
        <is>
          <t>JÄMTLANDS LÄN</t>
        </is>
      </c>
      <c r="E1010" t="inlineStr">
        <is>
          <t>RAGUNDA</t>
        </is>
      </c>
      <c r="F1010" t="inlineStr">
        <is>
          <t>SCA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5175-2023</t>
        </is>
      </c>
      <c r="B1011" s="1" t="n">
        <v>44958</v>
      </c>
      <c r="C1011" s="1" t="n">
        <v>45788</v>
      </c>
      <c r="D1011" t="inlineStr">
        <is>
          <t>JÄMTLANDS LÄN</t>
        </is>
      </c>
      <c r="E1011" t="inlineStr">
        <is>
          <t>RAGUNDA</t>
        </is>
      </c>
      <c r="F1011" t="inlineStr">
        <is>
          <t>SCA</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5439-2023</t>
        </is>
      </c>
      <c r="B1012" s="1" t="n">
        <v>44959</v>
      </c>
      <c r="C1012" s="1" t="n">
        <v>45788</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5711-2023</t>
        </is>
      </c>
      <c r="B1013" s="1" t="n">
        <v>44960</v>
      </c>
      <c r="C1013" s="1" t="n">
        <v>45788</v>
      </c>
      <c r="D1013" t="inlineStr">
        <is>
          <t>JÄMTLANDS LÄN</t>
        </is>
      </c>
      <c r="E1013" t="inlineStr">
        <is>
          <t>RAGUNDA</t>
        </is>
      </c>
      <c r="F1013" t="inlineStr">
        <is>
          <t>SCA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45788</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6586-2023</t>
        </is>
      </c>
      <c r="B1015" s="1" t="n">
        <v>44963</v>
      </c>
      <c r="C1015" s="1" t="n">
        <v>45788</v>
      </c>
      <c r="D1015" t="inlineStr">
        <is>
          <t>JÄMTLANDS LÄN</t>
        </is>
      </c>
      <c r="E1015" t="inlineStr">
        <is>
          <t>RAGUNDA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6467-2023</t>
        </is>
      </c>
      <c r="B1016" s="1" t="n">
        <v>44965</v>
      </c>
      <c r="C1016" s="1" t="n">
        <v>45788</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6470-2023</t>
        </is>
      </c>
      <c r="B1017" s="1" t="n">
        <v>44965</v>
      </c>
      <c r="C1017" s="1" t="n">
        <v>45788</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45788</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6802-2023</t>
        </is>
      </c>
      <c r="B1019" s="1" t="n">
        <v>44966</v>
      </c>
      <c r="C1019" s="1" t="n">
        <v>45788</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6800-2023</t>
        </is>
      </c>
      <c r="B1020" s="1" t="n">
        <v>44966</v>
      </c>
      <c r="C1020" s="1" t="n">
        <v>45788</v>
      </c>
      <c r="D1020" t="inlineStr">
        <is>
          <t>JÄMTLANDS LÄN</t>
        </is>
      </c>
      <c r="E1020" t="inlineStr">
        <is>
          <t>RAGUNDA</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7019-2023</t>
        </is>
      </c>
      <c r="B1021" s="1" t="n">
        <v>44968</v>
      </c>
      <c r="C1021" s="1" t="n">
        <v>45788</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7021-2023</t>
        </is>
      </c>
      <c r="B1022" s="1" t="n">
        <v>44967</v>
      </c>
      <c r="C1022" s="1" t="n">
        <v>45788</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7520-2023</t>
        </is>
      </c>
      <c r="B1023" s="1" t="n">
        <v>44971</v>
      </c>
      <c r="C1023" s="1" t="n">
        <v>45788</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7521-2023</t>
        </is>
      </c>
      <c r="B1024" s="1" t="n">
        <v>44972</v>
      </c>
      <c r="C1024" s="1" t="n">
        <v>45788</v>
      </c>
      <c r="D1024" t="inlineStr">
        <is>
          <t>JÄMTLANDS LÄN</t>
        </is>
      </c>
      <c r="E1024" t="inlineStr">
        <is>
          <t>RAGUNDA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v>
      </c>
      <c r="C1025" s="1" t="n">
        <v>45788</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v>
      </c>
      <c r="C1026" s="1" t="n">
        <v>45788</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8403-2023</t>
        </is>
      </c>
      <c r="B1027" s="1" t="n">
        <v>44977</v>
      </c>
      <c r="C1027" s="1" t="n">
        <v>45788</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8678-2023</t>
        </is>
      </c>
      <c r="B1028" s="1" t="n">
        <v>44978</v>
      </c>
      <c r="C1028" s="1" t="n">
        <v>45788</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8679-2023</t>
        </is>
      </c>
      <c r="B1029" s="1" t="n">
        <v>44978</v>
      </c>
      <c r="C1029" s="1" t="n">
        <v>45788</v>
      </c>
      <c r="D1029" t="inlineStr">
        <is>
          <t>JÄMTLANDS LÄN</t>
        </is>
      </c>
      <c r="E1029" t="inlineStr">
        <is>
          <t>RAGUNDA</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8877-2023</t>
        </is>
      </c>
      <c r="B1030" s="1" t="n">
        <v>44978</v>
      </c>
      <c r="C1030" s="1" t="n">
        <v>45788</v>
      </c>
      <c r="D1030" t="inlineStr">
        <is>
          <t>JÄMTLANDS LÄN</t>
        </is>
      </c>
      <c r="E1030" t="inlineStr">
        <is>
          <t>RAGUNDA</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8878-2023</t>
        </is>
      </c>
      <c r="B1031" s="1" t="n">
        <v>44978</v>
      </c>
      <c r="C1031" s="1" t="n">
        <v>45788</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8876-2023</t>
        </is>
      </c>
      <c r="B1032" s="1" t="n">
        <v>44978</v>
      </c>
      <c r="C1032" s="1" t="n">
        <v>45788</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9084-2023</t>
        </is>
      </c>
      <c r="B1033" s="1" t="n">
        <v>44979</v>
      </c>
      <c r="C1033" s="1" t="n">
        <v>45788</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9082-2023</t>
        </is>
      </c>
      <c r="B1034" s="1" t="n">
        <v>44979</v>
      </c>
      <c r="C1034" s="1" t="n">
        <v>45788</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9100-2023</t>
        </is>
      </c>
      <c r="B1035" s="1" t="n">
        <v>44979</v>
      </c>
      <c r="C1035" s="1" t="n">
        <v>45788</v>
      </c>
      <c r="D1035" t="inlineStr">
        <is>
          <t>JÄMTLANDS LÄN</t>
        </is>
      </c>
      <c r="E1035" t="inlineStr">
        <is>
          <t>RAGUNDA</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9094-2023</t>
        </is>
      </c>
      <c r="B1036" s="1" t="n">
        <v>44979</v>
      </c>
      <c r="C1036" s="1" t="n">
        <v>45788</v>
      </c>
      <c r="D1036" t="inlineStr">
        <is>
          <t>JÄMTLANDS LÄN</t>
        </is>
      </c>
      <c r="E1036" t="inlineStr">
        <is>
          <t>RAGUNDA</t>
        </is>
      </c>
      <c r="F1036" t="inlineStr">
        <is>
          <t>SCA</t>
        </is>
      </c>
      <c r="G1036" t="n">
        <v>28.2</v>
      </c>
      <c r="H1036" t="n">
        <v>0</v>
      </c>
      <c r="I1036" t="n">
        <v>0</v>
      </c>
      <c r="J1036" t="n">
        <v>0</v>
      </c>
      <c r="K1036" t="n">
        <v>0</v>
      </c>
      <c r="L1036" t="n">
        <v>0</v>
      </c>
      <c r="M1036" t="n">
        <v>0</v>
      </c>
      <c r="N1036" t="n">
        <v>0</v>
      </c>
      <c r="O1036" t="n">
        <v>0</v>
      </c>
      <c r="P1036" t="n">
        <v>0</v>
      </c>
      <c r="Q1036" t="n">
        <v>0</v>
      </c>
      <c r="R1036" s="2" t="inlineStr"/>
    </row>
    <row r="1037" ht="15" customHeight="1">
      <c r="A1037" t="inlineStr">
        <is>
          <t>A 9346-2023</t>
        </is>
      </c>
      <c r="B1037" s="1" t="n">
        <v>44980</v>
      </c>
      <c r="C1037" s="1" t="n">
        <v>45788</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9360-2023</t>
        </is>
      </c>
      <c r="B1038" s="1" t="n">
        <v>44980</v>
      </c>
      <c r="C1038" s="1" t="n">
        <v>45788</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9339-2023</t>
        </is>
      </c>
      <c r="B1039" s="1" t="n">
        <v>44980</v>
      </c>
      <c r="C1039" s="1" t="n">
        <v>45788</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10706-2023</t>
        </is>
      </c>
      <c r="B1040" s="1" t="n">
        <v>44984</v>
      </c>
      <c r="C1040" s="1" t="n">
        <v>45788</v>
      </c>
      <c r="D1040" t="inlineStr">
        <is>
          <t>JÄMTLANDS LÄN</t>
        </is>
      </c>
      <c r="E1040" t="inlineStr">
        <is>
          <t>RAGUNDA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10092-2023</t>
        </is>
      </c>
      <c r="B1041" s="1" t="n">
        <v>44985</v>
      </c>
      <c r="C1041" s="1" t="n">
        <v>45788</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11093-2023</t>
        </is>
      </c>
      <c r="B1042" s="1" t="n">
        <v>44986</v>
      </c>
      <c r="C1042" s="1" t="n">
        <v>45788</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10550-2023</t>
        </is>
      </c>
      <c r="B1043" s="1" t="n">
        <v>44987</v>
      </c>
      <c r="C1043" s="1" t="n">
        <v>45788</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11048-2023</t>
        </is>
      </c>
      <c r="B1044" s="1" t="n">
        <v>44991</v>
      </c>
      <c r="C1044" s="1" t="n">
        <v>45788</v>
      </c>
      <c r="D1044" t="inlineStr">
        <is>
          <t>JÄMTLANDS LÄN</t>
        </is>
      </c>
      <c r="E1044" t="inlineStr">
        <is>
          <t>RAGUNDA</t>
        </is>
      </c>
      <c r="F1044" t="inlineStr">
        <is>
          <t>SCA</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11063-2023</t>
        </is>
      </c>
      <c r="B1045" s="1" t="n">
        <v>44991</v>
      </c>
      <c r="C1045" s="1" t="n">
        <v>45788</v>
      </c>
      <c r="D1045" t="inlineStr">
        <is>
          <t>JÄMTLANDS LÄN</t>
        </is>
      </c>
      <c r="E1045" t="inlineStr">
        <is>
          <t>RAGUNDA</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11062-2023</t>
        </is>
      </c>
      <c r="B1046" s="1" t="n">
        <v>44991</v>
      </c>
      <c r="C1046" s="1" t="n">
        <v>45788</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11603-2023</t>
        </is>
      </c>
      <c r="B1047" s="1" t="n">
        <v>44992</v>
      </c>
      <c r="C1047" s="1" t="n">
        <v>45788</v>
      </c>
      <c r="D1047" t="inlineStr">
        <is>
          <t>JÄMTLANDS LÄN</t>
        </is>
      </c>
      <c r="E1047" t="inlineStr">
        <is>
          <t>RAGUNDA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11556-2023</t>
        </is>
      </c>
      <c r="B1048" s="1" t="n">
        <v>44993</v>
      </c>
      <c r="C1048" s="1" t="n">
        <v>45788</v>
      </c>
      <c r="D1048" t="inlineStr">
        <is>
          <t>JÄMTLANDS LÄN</t>
        </is>
      </c>
      <c r="E1048" t="inlineStr">
        <is>
          <t>RAGUNDA</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11322-2023</t>
        </is>
      </c>
      <c r="B1049" s="1" t="n">
        <v>44993</v>
      </c>
      <c r="C1049" s="1" t="n">
        <v>45788</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11558-2023</t>
        </is>
      </c>
      <c r="B1050" s="1" t="n">
        <v>44993</v>
      </c>
      <c r="C1050" s="1" t="n">
        <v>45788</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11553-2023</t>
        </is>
      </c>
      <c r="B1051" s="1" t="n">
        <v>44993</v>
      </c>
      <c r="C1051" s="1" t="n">
        <v>45788</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11557-2023</t>
        </is>
      </c>
      <c r="B1052" s="1" t="n">
        <v>44993</v>
      </c>
      <c r="C1052" s="1" t="n">
        <v>45788</v>
      </c>
      <c r="D1052" t="inlineStr">
        <is>
          <t>JÄMTLANDS LÄN</t>
        </is>
      </c>
      <c r="E1052" t="inlineStr">
        <is>
          <t>RAGUNDA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11562-2023</t>
        </is>
      </c>
      <c r="B1053" s="1" t="n">
        <v>44993</v>
      </c>
      <c r="C1053" s="1" t="n">
        <v>45788</v>
      </c>
      <c r="D1053" t="inlineStr">
        <is>
          <t>JÄMTLANDS LÄN</t>
        </is>
      </c>
      <c r="E1053" t="inlineStr">
        <is>
          <t>RAGUNDA</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11834-2023</t>
        </is>
      </c>
      <c r="B1054" s="1" t="n">
        <v>44994</v>
      </c>
      <c r="C1054" s="1" t="n">
        <v>45788</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12055-2023</t>
        </is>
      </c>
      <c r="B1055" s="1" t="n">
        <v>44995</v>
      </c>
      <c r="C1055" s="1" t="n">
        <v>45788</v>
      </c>
      <c r="D1055" t="inlineStr">
        <is>
          <t>JÄMTLANDS LÄN</t>
        </is>
      </c>
      <c r="E1055" t="inlineStr">
        <is>
          <t>RAGUNDA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12051-2023</t>
        </is>
      </c>
      <c r="B1056" s="1" t="n">
        <v>44995</v>
      </c>
      <c r="C1056" s="1" t="n">
        <v>45788</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12040-2023</t>
        </is>
      </c>
      <c r="B1057" s="1" t="n">
        <v>44996</v>
      </c>
      <c r="C1057" s="1" t="n">
        <v>45788</v>
      </c>
      <c r="D1057" t="inlineStr">
        <is>
          <t>JÄMTLANDS LÄN</t>
        </is>
      </c>
      <c r="E1057" t="inlineStr">
        <is>
          <t>RAGUNDA</t>
        </is>
      </c>
      <c r="F1057" t="inlineStr">
        <is>
          <t>SCA</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12050-2023</t>
        </is>
      </c>
      <c r="B1058" s="1" t="n">
        <v>44996</v>
      </c>
      <c r="C1058" s="1" t="n">
        <v>45788</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44996</v>
      </c>
      <c r="C1059" s="1" t="n">
        <v>45788</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12523-2023</t>
        </is>
      </c>
      <c r="B1060" s="1" t="n">
        <v>45000</v>
      </c>
      <c r="C1060" s="1" t="n">
        <v>45788</v>
      </c>
      <c r="D1060" t="inlineStr">
        <is>
          <t>JÄMTLANDS LÄN</t>
        </is>
      </c>
      <c r="E1060" t="inlineStr">
        <is>
          <t>RAGUNDA</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12522-2023</t>
        </is>
      </c>
      <c r="B1061" s="1" t="n">
        <v>45000</v>
      </c>
      <c r="C1061" s="1" t="n">
        <v>45788</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12521-2023</t>
        </is>
      </c>
      <c r="B1062" s="1" t="n">
        <v>45000</v>
      </c>
      <c r="C1062" s="1" t="n">
        <v>45788</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12783-2023</t>
        </is>
      </c>
      <c r="B1063" s="1" t="n">
        <v>45000</v>
      </c>
      <c r="C1063" s="1" t="n">
        <v>45788</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12750-2023</t>
        </is>
      </c>
      <c r="B1064" s="1" t="n">
        <v>45000</v>
      </c>
      <c r="C1064" s="1" t="n">
        <v>45788</v>
      </c>
      <c r="D1064" t="inlineStr">
        <is>
          <t>JÄMTLANDS LÄN</t>
        </is>
      </c>
      <c r="E1064" t="inlineStr">
        <is>
          <t>RAGUNDA</t>
        </is>
      </c>
      <c r="F1064" t="inlineStr">
        <is>
          <t>Naturvårdsverket</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12995-2023</t>
        </is>
      </c>
      <c r="B1065" s="1" t="n">
        <v>45002</v>
      </c>
      <c r="C1065" s="1" t="n">
        <v>45788</v>
      </c>
      <c r="D1065" t="inlineStr">
        <is>
          <t>JÄMTLANDS LÄN</t>
        </is>
      </c>
      <c r="E1065" t="inlineStr">
        <is>
          <t>RAGUNDA</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13246-2023</t>
        </is>
      </c>
      <c r="B1066" s="1" t="n">
        <v>45002</v>
      </c>
      <c r="C1066" s="1" t="n">
        <v>45788</v>
      </c>
      <c r="D1066" t="inlineStr">
        <is>
          <t>JÄMTLANDS LÄN</t>
        </is>
      </c>
      <c r="E1066" t="inlineStr">
        <is>
          <t>RAGUNDA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13700-2023</t>
        </is>
      </c>
      <c r="B1067" s="1" t="n">
        <v>45006</v>
      </c>
      <c r="C1067" s="1" t="n">
        <v>45788</v>
      </c>
      <c r="D1067" t="inlineStr">
        <is>
          <t>JÄMTLANDS LÄN</t>
        </is>
      </c>
      <c r="E1067" t="inlineStr">
        <is>
          <t>RAGUNDA</t>
        </is>
      </c>
      <c r="F1067" t="inlineStr">
        <is>
          <t>SCA</t>
        </is>
      </c>
      <c r="G1067" t="n">
        <v>50.3</v>
      </c>
      <c r="H1067" t="n">
        <v>0</v>
      </c>
      <c r="I1067" t="n">
        <v>0</v>
      </c>
      <c r="J1067" t="n">
        <v>0</v>
      </c>
      <c r="K1067" t="n">
        <v>0</v>
      </c>
      <c r="L1067" t="n">
        <v>0</v>
      </c>
      <c r="M1067" t="n">
        <v>0</v>
      </c>
      <c r="N1067" t="n">
        <v>0</v>
      </c>
      <c r="O1067" t="n">
        <v>0</v>
      </c>
      <c r="P1067" t="n">
        <v>0</v>
      </c>
      <c r="Q1067" t="n">
        <v>0</v>
      </c>
      <c r="R1067" s="2" t="inlineStr"/>
    </row>
    <row r="1068" ht="15" customHeight="1">
      <c r="A1068" t="inlineStr">
        <is>
          <t>A 13917-2023</t>
        </is>
      </c>
      <c r="B1068" s="1" t="n">
        <v>45007</v>
      </c>
      <c r="C1068" s="1" t="n">
        <v>45788</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13900-2023</t>
        </is>
      </c>
      <c r="B1069" s="1" t="n">
        <v>45008</v>
      </c>
      <c r="C1069" s="1" t="n">
        <v>45788</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13898-2023</t>
        </is>
      </c>
      <c r="B1070" s="1" t="n">
        <v>45008</v>
      </c>
      <c r="C1070" s="1" t="n">
        <v>45788</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14179-2023</t>
        </is>
      </c>
      <c r="B1071" s="1" t="n">
        <v>45009</v>
      </c>
      <c r="C1071" s="1" t="n">
        <v>45788</v>
      </c>
      <c r="D1071" t="inlineStr">
        <is>
          <t>JÄMTLANDS LÄN</t>
        </is>
      </c>
      <c r="E1071" t="inlineStr">
        <is>
          <t>RAGUNDA</t>
        </is>
      </c>
      <c r="G1071" t="n">
        <v>33.8</v>
      </c>
      <c r="H1071" t="n">
        <v>0</v>
      </c>
      <c r="I1071" t="n">
        <v>0</v>
      </c>
      <c r="J1071" t="n">
        <v>0</v>
      </c>
      <c r="K1071" t="n">
        <v>0</v>
      </c>
      <c r="L1071" t="n">
        <v>0</v>
      </c>
      <c r="M1071" t="n">
        <v>0</v>
      </c>
      <c r="N1071" t="n">
        <v>0</v>
      </c>
      <c r="O1071" t="n">
        <v>0</v>
      </c>
      <c r="P1071" t="n">
        <v>0</v>
      </c>
      <c r="Q1071" t="n">
        <v>0</v>
      </c>
      <c r="R1071" s="2" t="inlineStr"/>
    </row>
    <row r="1072" ht="15" customHeight="1">
      <c r="A1072" t="inlineStr">
        <is>
          <t>A 14074-2023</t>
        </is>
      </c>
      <c r="B1072" s="1" t="n">
        <v>45009</v>
      </c>
      <c r="C1072" s="1" t="n">
        <v>45788</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14212-2023</t>
        </is>
      </c>
      <c r="B1073" s="1" t="n">
        <v>45009</v>
      </c>
      <c r="C1073" s="1" t="n">
        <v>45788</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14076-2023</t>
        </is>
      </c>
      <c r="B1074" s="1" t="n">
        <v>45009</v>
      </c>
      <c r="C1074" s="1" t="n">
        <v>45788</v>
      </c>
      <c r="D1074" t="inlineStr">
        <is>
          <t>JÄMTLANDS LÄN</t>
        </is>
      </c>
      <c r="E1074" t="inlineStr">
        <is>
          <t>RAGUNDA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14081-2023</t>
        </is>
      </c>
      <c r="B1075" s="1" t="n">
        <v>45009</v>
      </c>
      <c r="C1075" s="1" t="n">
        <v>45788</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14080-2023</t>
        </is>
      </c>
      <c r="B1076" s="1" t="n">
        <v>45009</v>
      </c>
      <c r="C1076" s="1" t="n">
        <v>45788</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14531-2023</t>
        </is>
      </c>
      <c r="B1077" s="1" t="n">
        <v>45013</v>
      </c>
      <c r="C1077" s="1" t="n">
        <v>45788</v>
      </c>
      <c r="D1077" t="inlineStr">
        <is>
          <t>JÄMTLANDS LÄN</t>
        </is>
      </c>
      <c r="E1077" t="inlineStr">
        <is>
          <t>RAGUNDA</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14869-2023</t>
        </is>
      </c>
      <c r="B1078" s="1" t="n">
        <v>45015</v>
      </c>
      <c r="C1078" s="1" t="n">
        <v>45788</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14868-2023</t>
        </is>
      </c>
      <c r="B1079" s="1" t="n">
        <v>45015</v>
      </c>
      <c r="C1079" s="1" t="n">
        <v>45788</v>
      </c>
      <c r="D1079" t="inlineStr">
        <is>
          <t>JÄMTLANDS LÄN</t>
        </is>
      </c>
      <c r="E1079" t="inlineStr">
        <is>
          <t>RAGUNDA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15078-2023</t>
        </is>
      </c>
      <c r="B1080" s="1" t="n">
        <v>45015</v>
      </c>
      <c r="C1080" s="1" t="n">
        <v>45788</v>
      </c>
      <c r="D1080" t="inlineStr">
        <is>
          <t>JÄMTLANDS LÄN</t>
        </is>
      </c>
      <c r="E1080" t="inlineStr">
        <is>
          <t>RAGUNDA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15077-2023</t>
        </is>
      </c>
      <c r="B1081" s="1" t="n">
        <v>45015</v>
      </c>
      <c r="C1081" s="1" t="n">
        <v>45788</v>
      </c>
      <c r="D1081" t="inlineStr">
        <is>
          <t>JÄMTLANDS LÄN</t>
        </is>
      </c>
      <c r="E1081" t="inlineStr">
        <is>
          <t>RAGUNDA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16364-2023</t>
        </is>
      </c>
      <c r="B1082" s="1" t="n">
        <v>45028</v>
      </c>
      <c r="C1082" s="1" t="n">
        <v>45788</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17248-2023</t>
        </is>
      </c>
      <c r="B1083" s="1" t="n">
        <v>45033</v>
      </c>
      <c r="C1083" s="1" t="n">
        <v>45788</v>
      </c>
      <c r="D1083" t="inlineStr">
        <is>
          <t>JÄMTLANDS LÄN</t>
        </is>
      </c>
      <c r="E1083" t="inlineStr">
        <is>
          <t>RAGUNDA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17207-2023</t>
        </is>
      </c>
      <c r="B1084" s="1" t="n">
        <v>45035</v>
      </c>
      <c r="C1084" s="1" t="n">
        <v>45788</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17206-2023</t>
        </is>
      </c>
      <c r="B1085" s="1" t="n">
        <v>45035</v>
      </c>
      <c r="C1085" s="1" t="n">
        <v>45788</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17559-2023</t>
        </is>
      </c>
      <c r="B1086" s="1" t="n">
        <v>45034</v>
      </c>
      <c r="C1086" s="1" t="n">
        <v>45788</v>
      </c>
      <c r="D1086" t="inlineStr">
        <is>
          <t>JÄMTLANDS LÄN</t>
        </is>
      </c>
      <c r="E1086" t="inlineStr">
        <is>
          <t>RAGUNDA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17864-2023</t>
        </is>
      </c>
      <c r="B1087" s="1" t="n">
        <v>45038</v>
      </c>
      <c r="C1087" s="1" t="n">
        <v>45788</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17863-2023</t>
        </is>
      </c>
      <c r="B1088" s="1" t="n">
        <v>45038</v>
      </c>
      <c r="C1088" s="1" t="n">
        <v>45788</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18159-2023</t>
        </is>
      </c>
      <c r="B1089" s="1" t="n">
        <v>45041</v>
      </c>
      <c r="C1089" s="1" t="n">
        <v>45788</v>
      </c>
      <c r="D1089" t="inlineStr">
        <is>
          <t>JÄMTLANDS LÄN</t>
        </is>
      </c>
      <c r="E1089" t="inlineStr">
        <is>
          <t>RAGUNDA</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18145-2023</t>
        </is>
      </c>
      <c r="B1090" s="1" t="n">
        <v>45041</v>
      </c>
      <c r="C1090" s="1" t="n">
        <v>45788</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18248-2023</t>
        </is>
      </c>
      <c r="B1091" s="1" t="n">
        <v>45040</v>
      </c>
      <c r="C1091" s="1" t="n">
        <v>45788</v>
      </c>
      <c r="D1091" t="inlineStr">
        <is>
          <t>JÄMTLANDS LÄN</t>
        </is>
      </c>
      <c r="E1091" t="inlineStr">
        <is>
          <t>RAGUNDA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18557-2023</t>
        </is>
      </c>
      <c r="B1092" s="1" t="n">
        <v>45043</v>
      </c>
      <c r="C1092" s="1" t="n">
        <v>45788</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18556-2023</t>
        </is>
      </c>
      <c r="B1093" s="1" t="n">
        <v>45043</v>
      </c>
      <c r="C1093" s="1" t="n">
        <v>45788</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18820-2023</t>
        </is>
      </c>
      <c r="B1094" s="1" t="n">
        <v>45042</v>
      </c>
      <c r="C1094" s="1" t="n">
        <v>45788</v>
      </c>
      <c r="D1094" t="inlineStr">
        <is>
          <t>JÄMTLANDS LÄN</t>
        </is>
      </c>
      <c r="E1094" t="inlineStr">
        <is>
          <t>RAGUNDA</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18984-2023</t>
        </is>
      </c>
      <c r="B1095" s="1" t="n">
        <v>45044</v>
      </c>
      <c r="C1095" s="1" t="n">
        <v>45788</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18995-2023</t>
        </is>
      </c>
      <c r="B1096" s="1" t="n">
        <v>45045</v>
      </c>
      <c r="C1096" s="1" t="n">
        <v>45788</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18996-2023</t>
        </is>
      </c>
      <c r="B1097" s="1" t="n">
        <v>45045</v>
      </c>
      <c r="C1097" s="1" t="n">
        <v>45788</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19242-2023</t>
        </is>
      </c>
      <c r="B1098" s="1" t="n">
        <v>45048</v>
      </c>
      <c r="C1098" s="1" t="n">
        <v>45788</v>
      </c>
      <c r="D1098" t="inlineStr">
        <is>
          <t>JÄMTLANDS LÄN</t>
        </is>
      </c>
      <c r="E1098" t="inlineStr">
        <is>
          <t>RAGUNDA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19246-2023</t>
        </is>
      </c>
      <c r="B1099" s="1" t="n">
        <v>45049</v>
      </c>
      <c r="C1099" s="1" t="n">
        <v>45788</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19438-2023</t>
        </is>
      </c>
      <c r="B1100" s="1" t="n">
        <v>45049</v>
      </c>
      <c r="C1100" s="1" t="n">
        <v>45788</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45051</v>
      </c>
      <c r="C1101" s="1" t="n">
        <v>45788</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19612-2023</t>
        </is>
      </c>
      <c r="B1102" s="1" t="n">
        <v>45051</v>
      </c>
      <c r="C1102" s="1" t="n">
        <v>45788</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19620-2023</t>
        </is>
      </c>
      <c r="B1103" s="1" t="n">
        <v>45050</v>
      </c>
      <c r="C1103" s="1" t="n">
        <v>45788</v>
      </c>
      <c r="D1103" t="inlineStr">
        <is>
          <t>JÄMTLANDS LÄN</t>
        </is>
      </c>
      <c r="E1103" t="inlineStr">
        <is>
          <t>RAGUNDA</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19865-2023</t>
        </is>
      </c>
      <c r="B1104" s="1" t="n">
        <v>45054</v>
      </c>
      <c r="C1104" s="1" t="n">
        <v>45788</v>
      </c>
      <c r="D1104" t="inlineStr">
        <is>
          <t>JÄMTLANDS LÄN</t>
        </is>
      </c>
      <c r="E1104" t="inlineStr">
        <is>
          <t>RAGUNDA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19866-2023</t>
        </is>
      </c>
      <c r="B1105" s="1" t="n">
        <v>45054</v>
      </c>
      <c r="C1105" s="1" t="n">
        <v>45788</v>
      </c>
      <c r="D1105" t="inlineStr">
        <is>
          <t>JÄMTLANDS LÄN</t>
        </is>
      </c>
      <c r="E1105" t="inlineStr">
        <is>
          <t>RAGUNDA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20079-2023</t>
        </is>
      </c>
      <c r="B1106" s="1" t="n">
        <v>45055</v>
      </c>
      <c r="C1106" s="1" t="n">
        <v>45788</v>
      </c>
      <c r="D1106" t="inlineStr">
        <is>
          <t>JÄMTLANDS LÄN</t>
        </is>
      </c>
      <c r="E1106" t="inlineStr">
        <is>
          <t>RAGUNDA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20088-2023</t>
        </is>
      </c>
      <c r="B1107" s="1" t="n">
        <v>45054</v>
      </c>
      <c r="C1107" s="1" t="n">
        <v>45788</v>
      </c>
      <c r="D1107" t="inlineStr">
        <is>
          <t>JÄMTLANDS LÄN</t>
        </is>
      </c>
      <c r="E1107" t="inlineStr">
        <is>
          <t>RAGUNDA</t>
        </is>
      </c>
      <c r="F1107" t="inlineStr">
        <is>
          <t>SCA</t>
        </is>
      </c>
      <c r="G1107" t="n">
        <v>23.4</v>
      </c>
      <c r="H1107" t="n">
        <v>0</v>
      </c>
      <c r="I1107" t="n">
        <v>0</v>
      </c>
      <c r="J1107" t="n">
        <v>0</v>
      </c>
      <c r="K1107" t="n">
        <v>0</v>
      </c>
      <c r="L1107" t="n">
        <v>0</v>
      </c>
      <c r="M1107" t="n">
        <v>0</v>
      </c>
      <c r="N1107" t="n">
        <v>0</v>
      </c>
      <c r="O1107" t="n">
        <v>0</v>
      </c>
      <c r="P1107" t="n">
        <v>0</v>
      </c>
      <c r="Q1107" t="n">
        <v>0</v>
      </c>
      <c r="R1107" s="2" t="inlineStr"/>
    </row>
    <row r="1108" ht="15" customHeight="1">
      <c r="A1108" t="inlineStr">
        <is>
          <t>A 20987-2023</t>
        </is>
      </c>
      <c r="B1108" s="1" t="n">
        <v>45056</v>
      </c>
      <c r="C1108" s="1" t="n">
        <v>45788</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20994-2023</t>
        </is>
      </c>
      <c r="B1109" s="1" t="n">
        <v>45056</v>
      </c>
      <c r="C1109" s="1" t="n">
        <v>45788</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20901-2023</t>
        </is>
      </c>
      <c r="B1110" s="1" t="n">
        <v>45060</v>
      </c>
      <c r="C1110" s="1" t="n">
        <v>45788</v>
      </c>
      <c r="D1110" t="inlineStr">
        <is>
          <t>JÄMTLANDS LÄN</t>
        </is>
      </c>
      <c r="E1110" t="inlineStr">
        <is>
          <t>RAGUNDA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21102-2023</t>
        </is>
      </c>
      <c r="B1111" s="1" t="n">
        <v>45062</v>
      </c>
      <c r="C1111" s="1" t="n">
        <v>45788</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21661-2023</t>
        </is>
      </c>
      <c r="B1112" s="1" t="n">
        <v>45063</v>
      </c>
      <c r="C1112" s="1" t="n">
        <v>45788</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21662-2023</t>
        </is>
      </c>
      <c r="B1113" s="1" t="n">
        <v>45063</v>
      </c>
      <c r="C1113" s="1" t="n">
        <v>45788</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21726-2023</t>
        </is>
      </c>
      <c r="B1114" s="1" t="n">
        <v>45065</v>
      </c>
      <c r="C1114" s="1" t="n">
        <v>45788</v>
      </c>
      <c r="D1114" t="inlineStr">
        <is>
          <t>JÄMTLANDS LÄN</t>
        </is>
      </c>
      <c r="E1114" t="inlineStr">
        <is>
          <t>RAGUNDA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22011-2023</t>
        </is>
      </c>
      <c r="B1115" s="1" t="n">
        <v>45068</v>
      </c>
      <c r="C1115" s="1" t="n">
        <v>45788</v>
      </c>
      <c r="D1115" t="inlineStr">
        <is>
          <t>JÄMTLANDS LÄN</t>
        </is>
      </c>
      <c r="E1115" t="inlineStr">
        <is>
          <t>RAGUNDA</t>
        </is>
      </c>
      <c r="F1115" t="inlineStr">
        <is>
          <t>SCA</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22569-2023</t>
        </is>
      </c>
      <c r="B1116" s="1" t="n">
        <v>45069</v>
      </c>
      <c r="C1116" s="1" t="n">
        <v>45788</v>
      </c>
      <c r="D1116" t="inlineStr">
        <is>
          <t>JÄMTLANDS LÄN</t>
        </is>
      </c>
      <c r="E1116" t="inlineStr">
        <is>
          <t>RAGUNDA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22479-2023</t>
        </is>
      </c>
      <c r="B1117" s="1" t="n">
        <v>45070</v>
      </c>
      <c r="C1117" s="1" t="n">
        <v>45788</v>
      </c>
      <c r="D1117" t="inlineStr">
        <is>
          <t>JÄMTLANDS LÄN</t>
        </is>
      </c>
      <c r="E1117" t="inlineStr">
        <is>
          <t>RAGUNDA</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23074-2023</t>
        </is>
      </c>
      <c r="B1118" s="1" t="n">
        <v>45070</v>
      </c>
      <c r="C1118" s="1" t="n">
        <v>45788</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23140-2023</t>
        </is>
      </c>
      <c r="B1119" s="1" t="n">
        <v>45070</v>
      </c>
      <c r="C1119" s="1" t="n">
        <v>45788</v>
      </c>
      <c r="D1119" t="inlineStr">
        <is>
          <t>JÄMTLANDS LÄN</t>
        </is>
      </c>
      <c r="E1119" t="inlineStr">
        <is>
          <t>RAGUNDA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45788</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22981-2023</t>
        </is>
      </c>
      <c r="B1121" s="1" t="n">
        <v>45073</v>
      </c>
      <c r="C1121" s="1" t="n">
        <v>45788</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23299-2023</t>
        </is>
      </c>
      <c r="B1122" s="1" t="n">
        <v>45076</v>
      </c>
      <c r="C1122" s="1" t="n">
        <v>45788</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23304-2023</t>
        </is>
      </c>
      <c r="B1123" s="1" t="n">
        <v>45076</v>
      </c>
      <c r="C1123" s="1" t="n">
        <v>45788</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23305-2023</t>
        </is>
      </c>
      <c r="B1124" s="1" t="n">
        <v>45076</v>
      </c>
      <c r="C1124" s="1" t="n">
        <v>45788</v>
      </c>
      <c r="D1124" t="inlineStr">
        <is>
          <t>JÄMTLANDS LÄN</t>
        </is>
      </c>
      <c r="E1124" t="inlineStr">
        <is>
          <t>RAGUNDA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23298-2023</t>
        </is>
      </c>
      <c r="B1125" s="1" t="n">
        <v>45076</v>
      </c>
      <c r="C1125" s="1" t="n">
        <v>45788</v>
      </c>
      <c r="D1125" t="inlineStr">
        <is>
          <t>JÄMTLANDS LÄN</t>
        </is>
      </c>
      <c r="E1125" t="inlineStr">
        <is>
          <t>RAGUNDA</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24861-2023</t>
        </is>
      </c>
      <c r="B1126" s="1" t="n">
        <v>45078</v>
      </c>
      <c r="C1126" s="1" t="n">
        <v>45788</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25086-2023</t>
        </is>
      </c>
      <c r="B1127" s="1" t="n">
        <v>45078</v>
      </c>
      <c r="C1127" s="1" t="n">
        <v>45788</v>
      </c>
      <c r="D1127" t="inlineStr">
        <is>
          <t>JÄMTLANDS LÄN</t>
        </is>
      </c>
      <c r="E1127" t="inlineStr">
        <is>
          <t>RAGUNDA</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25416-2023</t>
        </is>
      </c>
      <c r="B1128" s="1" t="n">
        <v>45078</v>
      </c>
      <c r="C1128" s="1" t="n">
        <v>45788</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24300-2023</t>
        </is>
      </c>
      <c r="B1129" s="1" t="n">
        <v>45079</v>
      </c>
      <c r="C1129" s="1" t="n">
        <v>45788</v>
      </c>
      <c r="D1129" t="inlineStr">
        <is>
          <t>JÄMTLANDS LÄN</t>
        </is>
      </c>
      <c r="E1129" t="inlineStr">
        <is>
          <t>RAGUNDA</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24821-2023</t>
        </is>
      </c>
      <c r="B1130" s="1" t="n">
        <v>45085</v>
      </c>
      <c r="C1130" s="1" t="n">
        <v>45788</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24822-2023</t>
        </is>
      </c>
      <c r="B1131" s="1" t="n">
        <v>45085</v>
      </c>
      <c r="C1131" s="1" t="n">
        <v>45788</v>
      </c>
      <c r="D1131" t="inlineStr">
        <is>
          <t>JÄMTLANDS LÄN</t>
        </is>
      </c>
      <c r="E1131" t="inlineStr">
        <is>
          <t>RAGUNDA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24820-2023</t>
        </is>
      </c>
      <c r="B1132" s="1" t="n">
        <v>45084</v>
      </c>
      <c r="C1132" s="1" t="n">
        <v>45788</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25892-2023</t>
        </is>
      </c>
      <c r="B1133" s="1" t="n">
        <v>45085</v>
      </c>
      <c r="C1133" s="1" t="n">
        <v>45788</v>
      </c>
      <c r="D1133" t="inlineStr">
        <is>
          <t>JÄMTLANDS LÄN</t>
        </is>
      </c>
      <c r="E1133" t="inlineStr">
        <is>
          <t>RAGUNDA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25332-2023</t>
        </is>
      </c>
      <c r="B1134" s="1" t="n">
        <v>45087</v>
      </c>
      <c r="C1134" s="1" t="n">
        <v>45788</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25304-2023</t>
        </is>
      </c>
      <c r="B1135" s="1" t="n">
        <v>45086</v>
      </c>
      <c r="C1135" s="1" t="n">
        <v>45788</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25430-2023</t>
        </is>
      </c>
      <c r="B1136" s="1" t="n">
        <v>45089</v>
      </c>
      <c r="C1136" s="1" t="n">
        <v>45788</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25669-2023</t>
        </is>
      </c>
      <c r="B1137" s="1" t="n">
        <v>45089</v>
      </c>
      <c r="C1137" s="1" t="n">
        <v>45788</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25666-2023</t>
        </is>
      </c>
      <c r="B1138" s="1" t="n">
        <v>45089</v>
      </c>
      <c r="C1138" s="1" t="n">
        <v>45788</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25670-2023</t>
        </is>
      </c>
      <c r="B1139" s="1" t="n">
        <v>45090</v>
      </c>
      <c r="C1139" s="1" t="n">
        <v>45788</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25708-2023</t>
        </is>
      </c>
      <c r="B1140" s="1" t="n">
        <v>45090</v>
      </c>
      <c r="C1140" s="1" t="n">
        <v>45788</v>
      </c>
      <c r="D1140" t="inlineStr">
        <is>
          <t>JÄMTLANDS LÄN</t>
        </is>
      </c>
      <c r="E1140" t="inlineStr">
        <is>
          <t>RAGUNDA</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26002-2023</t>
        </is>
      </c>
      <c r="B1141" s="1" t="n">
        <v>45091</v>
      </c>
      <c r="C1141" s="1" t="n">
        <v>45788</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26347-2023</t>
        </is>
      </c>
      <c r="B1142" s="1" t="n">
        <v>45091</v>
      </c>
      <c r="C1142" s="1" t="n">
        <v>45788</v>
      </c>
      <c r="D1142" t="inlineStr">
        <is>
          <t>JÄMTLANDS LÄN</t>
        </is>
      </c>
      <c r="E1142" t="inlineStr">
        <is>
          <t>RAGUNDA</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26455-2023</t>
        </is>
      </c>
      <c r="B1143" s="1" t="n">
        <v>45092</v>
      </c>
      <c r="C1143" s="1" t="n">
        <v>45788</v>
      </c>
      <c r="D1143" t="inlineStr">
        <is>
          <t>JÄMTLANDS LÄN</t>
        </is>
      </c>
      <c r="E1143" t="inlineStr">
        <is>
          <t>RAGUNDA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26644-2023</t>
        </is>
      </c>
      <c r="B1144" s="1" t="n">
        <v>45093</v>
      </c>
      <c r="C1144" s="1" t="n">
        <v>45788</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26646-2023</t>
        </is>
      </c>
      <c r="B1145" s="1" t="n">
        <v>45092</v>
      </c>
      <c r="C1145" s="1" t="n">
        <v>45788</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27091-2023</t>
        </is>
      </c>
      <c r="B1146" s="1" t="n">
        <v>45092</v>
      </c>
      <c r="C1146" s="1" t="n">
        <v>45788</v>
      </c>
      <c r="D1146" t="inlineStr">
        <is>
          <t>JÄMTLANDS LÄN</t>
        </is>
      </c>
      <c r="E1146" t="inlineStr">
        <is>
          <t>RAGUNDA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27085-2023</t>
        </is>
      </c>
      <c r="B1147" s="1" t="n">
        <v>45092</v>
      </c>
      <c r="C1147" s="1" t="n">
        <v>45788</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26991-2023</t>
        </is>
      </c>
      <c r="B1148" s="1" t="n">
        <v>45094</v>
      </c>
      <c r="C1148" s="1" t="n">
        <v>45788</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26995-2023</t>
        </is>
      </c>
      <c r="B1149" s="1" t="n">
        <v>45093</v>
      </c>
      <c r="C1149" s="1" t="n">
        <v>45788</v>
      </c>
      <c r="D1149" t="inlineStr">
        <is>
          <t>JÄMTLANDS LÄN</t>
        </is>
      </c>
      <c r="E1149" t="inlineStr">
        <is>
          <t>RAGUNDA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26993-2023</t>
        </is>
      </c>
      <c r="B1150" s="1" t="n">
        <v>45093</v>
      </c>
      <c r="C1150" s="1" t="n">
        <v>45788</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26994-2023</t>
        </is>
      </c>
      <c r="B1151" s="1" t="n">
        <v>45094</v>
      </c>
      <c r="C1151" s="1" t="n">
        <v>45788</v>
      </c>
      <c r="D1151" t="inlineStr">
        <is>
          <t>JÄMTLANDS LÄN</t>
        </is>
      </c>
      <c r="E1151" t="inlineStr">
        <is>
          <t>RAGUNDA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26992-2023</t>
        </is>
      </c>
      <c r="B1152" s="1" t="n">
        <v>45094</v>
      </c>
      <c r="C1152" s="1" t="n">
        <v>45788</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27373-2023</t>
        </is>
      </c>
      <c r="B1153" s="1" t="n">
        <v>45097</v>
      </c>
      <c r="C1153" s="1" t="n">
        <v>45788</v>
      </c>
      <c r="D1153" t="inlineStr">
        <is>
          <t>JÄMTLANDS LÄN</t>
        </is>
      </c>
      <c r="E1153" t="inlineStr">
        <is>
          <t>RAGUNDA</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27379-2023</t>
        </is>
      </c>
      <c r="B1154" s="1" t="n">
        <v>45097</v>
      </c>
      <c r="C1154" s="1" t="n">
        <v>45788</v>
      </c>
      <c r="D1154" t="inlineStr">
        <is>
          <t>JÄMTLANDS LÄN</t>
        </is>
      </c>
      <c r="E1154" t="inlineStr">
        <is>
          <t>RAGUNDA</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28685-2023</t>
        </is>
      </c>
      <c r="B1155" s="1" t="n">
        <v>45096</v>
      </c>
      <c r="C1155" s="1" t="n">
        <v>45788</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28806-2023</t>
        </is>
      </c>
      <c r="B1156" s="1" t="n">
        <v>45096</v>
      </c>
      <c r="C1156" s="1" t="n">
        <v>45788</v>
      </c>
      <c r="D1156" t="inlineStr">
        <is>
          <t>JÄMTLANDS LÄN</t>
        </is>
      </c>
      <c r="E1156" t="inlineStr">
        <is>
          <t>RAGUNDA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29775-2023</t>
        </is>
      </c>
      <c r="B1157" s="1" t="n">
        <v>45098</v>
      </c>
      <c r="C1157" s="1" t="n">
        <v>45788</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29766-2023</t>
        </is>
      </c>
      <c r="B1158" s="1" t="n">
        <v>45098</v>
      </c>
      <c r="C1158" s="1" t="n">
        <v>45788</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28352-2023</t>
        </is>
      </c>
      <c r="B1159" s="1" t="n">
        <v>45100</v>
      </c>
      <c r="C1159" s="1" t="n">
        <v>45788</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28351-2023</t>
        </is>
      </c>
      <c r="B1160" s="1" t="n">
        <v>45100</v>
      </c>
      <c r="C1160" s="1" t="n">
        <v>45788</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28742-2023</t>
        </is>
      </c>
      <c r="B1161" s="1" t="n">
        <v>45103</v>
      </c>
      <c r="C1161" s="1" t="n">
        <v>45788</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31135-2023</t>
        </is>
      </c>
      <c r="B1162" s="1" t="n">
        <v>45103</v>
      </c>
      <c r="C1162" s="1" t="n">
        <v>45788</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29053-2023</t>
        </is>
      </c>
      <c r="B1163" s="1" t="n">
        <v>45104</v>
      </c>
      <c r="C1163" s="1" t="n">
        <v>45788</v>
      </c>
      <c r="D1163" t="inlineStr">
        <is>
          <t>JÄMTLANDS LÄN</t>
        </is>
      </c>
      <c r="E1163" t="inlineStr">
        <is>
          <t>RAGUNDA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29319-2023</t>
        </is>
      </c>
      <c r="B1164" s="1" t="n">
        <v>45105</v>
      </c>
      <c r="C1164" s="1" t="n">
        <v>45788</v>
      </c>
      <c r="D1164" t="inlineStr">
        <is>
          <t>JÄMTLANDS LÄN</t>
        </is>
      </c>
      <c r="E1164" t="inlineStr">
        <is>
          <t>RAGUNDA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29940-2023</t>
        </is>
      </c>
      <c r="B1165" s="1" t="n">
        <v>45107</v>
      </c>
      <c r="C1165" s="1" t="n">
        <v>45788</v>
      </c>
      <c r="D1165" t="inlineStr">
        <is>
          <t>JÄMTLANDS LÄN</t>
        </is>
      </c>
      <c r="E1165" t="inlineStr">
        <is>
          <t>RAGUNDA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29939-2023</t>
        </is>
      </c>
      <c r="B1166" s="1" t="n">
        <v>45107</v>
      </c>
      <c r="C1166" s="1" t="n">
        <v>45788</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45112</v>
      </c>
      <c r="C1167" s="1" t="n">
        <v>45788</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32592-2023</t>
        </is>
      </c>
      <c r="B1168" s="1" t="n">
        <v>45111</v>
      </c>
      <c r="C1168" s="1" t="n">
        <v>45788</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30826-2023</t>
        </is>
      </c>
      <c r="B1169" s="1" t="n">
        <v>45112</v>
      </c>
      <c r="C1169" s="1" t="n">
        <v>45788</v>
      </c>
      <c r="D1169" t="inlineStr">
        <is>
          <t>JÄMTLANDS LÄN</t>
        </is>
      </c>
      <c r="E1169" t="inlineStr">
        <is>
          <t>RAGUNDA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30825-2023</t>
        </is>
      </c>
      <c r="B1170" s="1" t="n">
        <v>45113</v>
      </c>
      <c r="C1170" s="1" t="n">
        <v>45788</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45788</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30824-2023</t>
        </is>
      </c>
      <c r="B1172" s="1" t="n">
        <v>45113</v>
      </c>
      <c r="C1172" s="1" t="n">
        <v>45788</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31200-2023</t>
        </is>
      </c>
      <c r="B1173" s="1" t="n">
        <v>45114</v>
      </c>
      <c r="C1173" s="1" t="n">
        <v>45788</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31926-2023</t>
        </is>
      </c>
      <c r="B1174" s="1" t="n">
        <v>45119</v>
      </c>
      <c r="C1174" s="1" t="n">
        <v>45788</v>
      </c>
      <c r="D1174" t="inlineStr">
        <is>
          <t>JÄMTLANDS LÄN</t>
        </is>
      </c>
      <c r="E1174" t="inlineStr">
        <is>
          <t>RAGUNDA</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32207-2023</t>
        </is>
      </c>
      <c r="B1175" s="1" t="n">
        <v>45120</v>
      </c>
      <c r="C1175" s="1" t="n">
        <v>45788</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33615-2023</t>
        </is>
      </c>
      <c r="B1176" s="1" t="n">
        <v>45119</v>
      </c>
      <c r="C1176" s="1" t="n">
        <v>45788</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33621-2023</t>
        </is>
      </c>
      <c r="B1177" s="1" t="n">
        <v>45119</v>
      </c>
      <c r="C1177" s="1" t="n">
        <v>45788</v>
      </c>
      <c r="D1177" t="inlineStr">
        <is>
          <t>JÄMTLANDS LÄN</t>
        </is>
      </c>
      <c r="E1177" t="inlineStr">
        <is>
          <t>RAGUNDA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33035-2023</t>
        </is>
      </c>
      <c r="B1178" s="1" t="n">
        <v>45126</v>
      </c>
      <c r="C1178" s="1" t="n">
        <v>45788</v>
      </c>
      <c r="D1178" t="inlineStr">
        <is>
          <t>JÄMTLANDS LÄN</t>
        </is>
      </c>
      <c r="E1178" t="inlineStr">
        <is>
          <t>RAGUNDA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33047-2023</t>
        </is>
      </c>
      <c r="B1179" s="1" t="n">
        <v>45126</v>
      </c>
      <c r="C1179" s="1" t="n">
        <v>45788</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33038-2023</t>
        </is>
      </c>
      <c r="B1180" s="1" t="n">
        <v>45126</v>
      </c>
      <c r="C1180" s="1" t="n">
        <v>45788</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33046-2023</t>
        </is>
      </c>
      <c r="B1181" s="1" t="n">
        <v>45126</v>
      </c>
      <c r="C1181" s="1" t="n">
        <v>45788</v>
      </c>
      <c r="D1181" t="inlineStr">
        <is>
          <t>JÄMTLANDS LÄN</t>
        </is>
      </c>
      <c r="E1181" t="inlineStr">
        <is>
          <t>RAGUNDA</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33432-2023</t>
        </is>
      </c>
      <c r="B1182" s="1" t="n">
        <v>45128</v>
      </c>
      <c r="C1182" s="1" t="n">
        <v>45788</v>
      </c>
      <c r="D1182" t="inlineStr">
        <is>
          <t>JÄMTLANDS LÄN</t>
        </is>
      </c>
      <c r="E1182" t="inlineStr">
        <is>
          <t>RAGUNDA</t>
        </is>
      </c>
      <c r="F1182" t="inlineStr">
        <is>
          <t>SCA</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33589-2023</t>
        </is>
      </c>
      <c r="B1183" s="1" t="n">
        <v>45132</v>
      </c>
      <c r="C1183" s="1" t="n">
        <v>45788</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33588-2023</t>
        </is>
      </c>
      <c r="B1184" s="1" t="n">
        <v>45131</v>
      </c>
      <c r="C1184" s="1" t="n">
        <v>45788</v>
      </c>
      <c r="D1184" t="inlineStr">
        <is>
          <t>JÄMTLANDS LÄN</t>
        </is>
      </c>
      <c r="E1184" t="inlineStr">
        <is>
          <t>RAGUNDA</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33717-2023</t>
        </is>
      </c>
      <c r="B1185" s="1" t="n">
        <v>45132</v>
      </c>
      <c r="C1185" s="1" t="n">
        <v>45788</v>
      </c>
      <c r="D1185" t="inlineStr">
        <is>
          <t>JÄMTLANDS LÄN</t>
        </is>
      </c>
      <c r="E1185" t="inlineStr">
        <is>
          <t>RAGUNDA</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45788</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34322-2023</t>
        </is>
      </c>
      <c r="B1187" s="1" t="n">
        <v>45139</v>
      </c>
      <c r="C1187" s="1" t="n">
        <v>45788</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34321-2023</t>
        </is>
      </c>
      <c r="B1188" s="1" t="n">
        <v>45138</v>
      </c>
      <c r="C1188" s="1" t="n">
        <v>45788</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34323-2023</t>
        </is>
      </c>
      <c r="B1189" s="1" t="n">
        <v>45139</v>
      </c>
      <c r="C1189" s="1" t="n">
        <v>45788</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34483-2023</t>
        </is>
      </c>
      <c r="B1190" s="1" t="n">
        <v>45140</v>
      </c>
      <c r="C1190" s="1" t="n">
        <v>45788</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34689-2023</t>
        </is>
      </c>
      <c r="B1191" s="1" t="n">
        <v>45141</v>
      </c>
      <c r="C1191" s="1" t="n">
        <v>45788</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34691-2023</t>
        </is>
      </c>
      <c r="B1192" s="1" t="n">
        <v>45141</v>
      </c>
      <c r="C1192" s="1" t="n">
        <v>45788</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35009-2023</t>
        </is>
      </c>
      <c r="B1193" s="1" t="n">
        <v>45142</v>
      </c>
      <c r="C1193" s="1" t="n">
        <v>45788</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35272-2023</t>
        </is>
      </c>
      <c r="B1194" s="1" t="n">
        <v>45146</v>
      </c>
      <c r="C1194" s="1" t="n">
        <v>45788</v>
      </c>
      <c r="D1194" t="inlineStr">
        <is>
          <t>JÄMTLANDS LÄN</t>
        </is>
      </c>
      <c r="E1194" t="inlineStr">
        <is>
          <t>RAGUNDA</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35265-2023</t>
        </is>
      </c>
      <c r="B1195" s="1" t="n">
        <v>45146</v>
      </c>
      <c r="C1195" s="1" t="n">
        <v>45788</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35273-2023</t>
        </is>
      </c>
      <c r="B1196" s="1" t="n">
        <v>45146</v>
      </c>
      <c r="C1196" s="1" t="n">
        <v>45788</v>
      </c>
      <c r="D1196" t="inlineStr">
        <is>
          <t>JÄMTLANDS LÄN</t>
        </is>
      </c>
      <c r="E1196" t="inlineStr">
        <is>
          <t>RAGUNDA</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35274-2023</t>
        </is>
      </c>
      <c r="B1197" s="1" t="n">
        <v>45145</v>
      </c>
      <c r="C1197" s="1" t="n">
        <v>45788</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35565-2023</t>
        </is>
      </c>
      <c r="B1198" s="1" t="n">
        <v>45146</v>
      </c>
      <c r="C1198" s="1" t="n">
        <v>45788</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35912-2023</t>
        </is>
      </c>
      <c r="B1199" s="1" t="n">
        <v>45148</v>
      </c>
      <c r="C1199" s="1" t="n">
        <v>45788</v>
      </c>
      <c r="D1199" t="inlineStr">
        <is>
          <t>JÄMTLANDS LÄN</t>
        </is>
      </c>
      <c r="E1199" t="inlineStr">
        <is>
          <t>RAGUNDA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36046-2023</t>
        </is>
      </c>
      <c r="B1200" s="1" t="n">
        <v>45148</v>
      </c>
      <c r="C1200" s="1" t="n">
        <v>45788</v>
      </c>
      <c r="D1200" t="inlineStr">
        <is>
          <t>JÄMTLANDS LÄN</t>
        </is>
      </c>
      <c r="E1200" t="inlineStr">
        <is>
          <t>RAGUNDA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36206-2023</t>
        </is>
      </c>
      <c r="B1201" s="1" t="n">
        <v>45150</v>
      </c>
      <c r="C1201" s="1" t="n">
        <v>45788</v>
      </c>
      <c r="D1201" t="inlineStr">
        <is>
          <t>JÄMTLANDS LÄN</t>
        </is>
      </c>
      <c r="E1201" t="inlineStr">
        <is>
          <t>RAGUNDA</t>
        </is>
      </c>
      <c r="F1201" t="inlineStr">
        <is>
          <t>SCA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36227-2023</t>
        </is>
      </c>
      <c r="B1202" s="1" t="n">
        <v>45150</v>
      </c>
      <c r="C1202" s="1" t="n">
        <v>45788</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36212-2023</t>
        </is>
      </c>
      <c r="B1203" s="1" t="n">
        <v>45150</v>
      </c>
      <c r="C1203" s="1" t="n">
        <v>45788</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36213-2023</t>
        </is>
      </c>
      <c r="B1204" s="1" t="n">
        <v>45150</v>
      </c>
      <c r="C1204" s="1" t="n">
        <v>45788</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36226-2023</t>
        </is>
      </c>
      <c r="B1205" s="1" t="n">
        <v>45150</v>
      </c>
      <c r="C1205" s="1" t="n">
        <v>45788</v>
      </c>
      <c r="D1205" t="inlineStr">
        <is>
          <t>JÄMTLANDS LÄN</t>
        </is>
      </c>
      <c r="E1205" t="inlineStr">
        <is>
          <t>RAGUNDA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36371-2023</t>
        </is>
      </c>
      <c r="B1206" s="1" t="n">
        <v>45149</v>
      </c>
      <c r="C1206" s="1" t="n">
        <v>45788</v>
      </c>
      <c r="D1206" t="inlineStr">
        <is>
          <t>JÄMTLANDS LÄN</t>
        </is>
      </c>
      <c r="E1206" t="inlineStr">
        <is>
          <t>RAGUNDA</t>
        </is>
      </c>
      <c r="G1206" t="n">
        <v>25.7</v>
      </c>
      <c r="H1206" t="n">
        <v>0</v>
      </c>
      <c r="I1206" t="n">
        <v>0</v>
      </c>
      <c r="J1206" t="n">
        <v>0</v>
      </c>
      <c r="K1206" t="n">
        <v>0</v>
      </c>
      <c r="L1206" t="n">
        <v>0</v>
      </c>
      <c r="M1206" t="n">
        <v>0</v>
      </c>
      <c r="N1206" t="n">
        <v>0</v>
      </c>
      <c r="O1206" t="n">
        <v>0</v>
      </c>
      <c r="P1206" t="n">
        <v>0</v>
      </c>
      <c r="Q1206" t="n">
        <v>0</v>
      </c>
      <c r="R1206" s="2" t="inlineStr"/>
    </row>
    <row r="1207" ht="15" customHeight="1">
      <c r="A1207" t="inlineStr">
        <is>
          <t>A 36506-2023</t>
        </is>
      </c>
      <c r="B1207" s="1" t="n">
        <v>45153</v>
      </c>
      <c r="C1207" s="1" t="n">
        <v>45788</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36755-2023</t>
        </is>
      </c>
      <c r="B1208" s="1" t="n">
        <v>45153</v>
      </c>
      <c r="C1208" s="1" t="n">
        <v>45788</v>
      </c>
      <c r="D1208" t="inlineStr">
        <is>
          <t>JÄMTLANDS LÄN</t>
        </is>
      </c>
      <c r="E1208" t="inlineStr">
        <is>
          <t>RAGUNDA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36859-2023</t>
        </is>
      </c>
      <c r="B1209" s="1" t="n">
        <v>45153</v>
      </c>
      <c r="C1209" s="1" t="n">
        <v>45788</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36985-2023</t>
        </is>
      </c>
      <c r="B1210" s="1" t="n">
        <v>45155</v>
      </c>
      <c r="C1210" s="1" t="n">
        <v>45788</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36986-2023</t>
        </is>
      </c>
      <c r="B1211" s="1" t="n">
        <v>45155</v>
      </c>
      <c r="C1211" s="1" t="n">
        <v>45788</v>
      </c>
      <c r="D1211" t="inlineStr">
        <is>
          <t>JÄMTLANDS LÄN</t>
        </is>
      </c>
      <c r="E1211" t="inlineStr">
        <is>
          <t>RAGUNDA</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37251-2023</t>
        </is>
      </c>
      <c r="B1212" s="1" t="n">
        <v>45156</v>
      </c>
      <c r="C1212" s="1" t="n">
        <v>45788</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37480-2023</t>
        </is>
      </c>
      <c r="B1213" s="1" t="n">
        <v>45156</v>
      </c>
      <c r="C1213" s="1" t="n">
        <v>45788</v>
      </c>
      <c r="D1213" t="inlineStr">
        <is>
          <t>JÄMTLANDS LÄN</t>
        </is>
      </c>
      <c r="E1213" t="inlineStr">
        <is>
          <t>RAGUNDA</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37479-2023</t>
        </is>
      </c>
      <c r="B1214" s="1" t="n">
        <v>45156</v>
      </c>
      <c r="C1214" s="1" t="n">
        <v>45788</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37536-2023</t>
        </is>
      </c>
      <c r="B1215" s="1" t="n">
        <v>45159</v>
      </c>
      <c r="C1215" s="1" t="n">
        <v>45788</v>
      </c>
      <c r="D1215" t="inlineStr">
        <is>
          <t>JÄMTLANDS LÄN</t>
        </is>
      </c>
      <c r="E1215" t="inlineStr">
        <is>
          <t>RAGUNDA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37544-2023</t>
        </is>
      </c>
      <c r="B1216" s="1" t="n">
        <v>45159</v>
      </c>
      <c r="C1216" s="1" t="n">
        <v>45788</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37543-2023</t>
        </is>
      </c>
      <c r="B1217" s="1" t="n">
        <v>45159</v>
      </c>
      <c r="C1217" s="1" t="n">
        <v>45788</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37795-2023</t>
        </is>
      </c>
      <c r="B1218" s="1" t="n">
        <v>45160</v>
      </c>
      <c r="C1218" s="1" t="n">
        <v>45788</v>
      </c>
      <c r="D1218" t="inlineStr">
        <is>
          <t>JÄMTLANDS LÄN</t>
        </is>
      </c>
      <c r="E1218" t="inlineStr">
        <is>
          <t>RAGUNDA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37805-2023</t>
        </is>
      </c>
      <c r="B1219" s="1" t="n">
        <v>45160</v>
      </c>
      <c r="C1219" s="1" t="n">
        <v>45788</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37804-2023</t>
        </is>
      </c>
      <c r="B1220" s="1" t="n">
        <v>45160</v>
      </c>
      <c r="C1220" s="1" t="n">
        <v>45788</v>
      </c>
      <c r="D1220" t="inlineStr">
        <is>
          <t>JÄMTLANDS LÄN</t>
        </is>
      </c>
      <c r="E1220" t="inlineStr">
        <is>
          <t>RAGUNDA</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39070-2023</t>
        </is>
      </c>
      <c r="B1221" s="1" t="n">
        <v>45164</v>
      </c>
      <c r="C1221" s="1" t="n">
        <v>45788</v>
      </c>
      <c r="D1221" t="inlineStr">
        <is>
          <t>JÄMTLANDS LÄN</t>
        </is>
      </c>
      <c r="E1221" t="inlineStr">
        <is>
          <t>RAGUNDA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39076-2023</t>
        </is>
      </c>
      <c r="B1222" s="1" t="n">
        <v>45163</v>
      </c>
      <c r="C1222" s="1" t="n">
        <v>45788</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39478-2023</t>
        </is>
      </c>
      <c r="B1223" s="1" t="n">
        <v>45166</v>
      </c>
      <c r="C1223" s="1" t="n">
        <v>45788</v>
      </c>
      <c r="D1223" t="inlineStr">
        <is>
          <t>JÄMTLANDS LÄN</t>
        </is>
      </c>
      <c r="E1223" t="inlineStr">
        <is>
          <t>RAGUNDA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39482-2023</t>
        </is>
      </c>
      <c r="B1224" s="1" t="n">
        <v>45167</v>
      </c>
      <c r="C1224" s="1" t="n">
        <v>45788</v>
      </c>
      <c r="D1224" t="inlineStr">
        <is>
          <t>JÄMTLANDS LÄN</t>
        </is>
      </c>
      <c r="E1224" t="inlineStr">
        <is>
          <t>RAGUNDA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39487-2023</t>
        </is>
      </c>
      <c r="B1225" s="1" t="n">
        <v>45167</v>
      </c>
      <c r="C1225" s="1" t="n">
        <v>45788</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39489-2023</t>
        </is>
      </c>
      <c r="B1226" s="1" t="n">
        <v>45166</v>
      </c>
      <c r="C1226" s="1" t="n">
        <v>45788</v>
      </c>
      <c r="D1226" t="inlineStr">
        <is>
          <t>JÄMTLANDS LÄN</t>
        </is>
      </c>
      <c r="E1226" t="inlineStr">
        <is>
          <t>RAGUNDA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39488-2023</t>
        </is>
      </c>
      <c r="B1227" s="1" t="n">
        <v>45166</v>
      </c>
      <c r="C1227" s="1" t="n">
        <v>45788</v>
      </c>
      <c r="D1227" t="inlineStr">
        <is>
          <t>JÄMTLANDS LÄN</t>
        </is>
      </c>
      <c r="E1227" t="inlineStr">
        <is>
          <t>RAGUNDA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39481-2023</t>
        </is>
      </c>
      <c r="B1228" s="1" t="n">
        <v>45167</v>
      </c>
      <c r="C1228" s="1" t="n">
        <v>45788</v>
      </c>
      <c r="D1228" t="inlineStr">
        <is>
          <t>JÄMTLANDS LÄN</t>
        </is>
      </c>
      <c r="E1228" t="inlineStr">
        <is>
          <t>RAGUNDA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39820-2023</t>
        </is>
      </c>
      <c r="B1229" s="1" t="n">
        <v>45167</v>
      </c>
      <c r="C1229" s="1" t="n">
        <v>45788</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40801-2023</t>
        </is>
      </c>
      <c r="B1230" s="1" t="n">
        <v>45170</v>
      </c>
      <c r="C1230" s="1" t="n">
        <v>45788</v>
      </c>
      <c r="D1230" t="inlineStr">
        <is>
          <t>JÄMTLANDS LÄN</t>
        </is>
      </c>
      <c r="E1230" t="inlineStr">
        <is>
          <t>RAGUNDA</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40800-2023</t>
        </is>
      </c>
      <c r="B1231" s="1" t="n">
        <v>45171</v>
      </c>
      <c r="C1231" s="1" t="n">
        <v>45788</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41413-2023</t>
        </is>
      </c>
      <c r="B1232" s="1" t="n">
        <v>45175</v>
      </c>
      <c r="C1232" s="1" t="n">
        <v>45788</v>
      </c>
      <c r="D1232" t="inlineStr">
        <is>
          <t>JÄMTLANDS LÄN</t>
        </is>
      </c>
      <c r="E1232" t="inlineStr">
        <is>
          <t>RAGUNDA</t>
        </is>
      </c>
      <c r="F1232" t="inlineStr">
        <is>
          <t>SCA</t>
        </is>
      </c>
      <c r="G1232" t="n">
        <v>40.6</v>
      </c>
      <c r="H1232" t="n">
        <v>0</v>
      </c>
      <c r="I1232" t="n">
        <v>0</v>
      </c>
      <c r="J1232" t="n">
        <v>0</v>
      </c>
      <c r="K1232" t="n">
        <v>0</v>
      </c>
      <c r="L1232" t="n">
        <v>0</v>
      </c>
      <c r="M1232" t="n">
        <v>0</v>
      </c>
      <c r="N1232" t="n">
        <v>0</v>
      </c>
      <c r="O1232" t="n">
        <v>0</v>
      </c>
      <c r="P1232" t="n">
        <v>0</v>
      </c>
      <c r="Q1232" t="n">
        <v>0</v>
      </c>
      <c r="R1232" s="2" t="inlineStr"/>
    </row>
    <row r="1233" ht="15" customHeight="1">
      <c r="A1233" t="inlineStr">
        <is>
          <t>A 41402-2023</t>
        </is>
      </c>
      <c r="B1233" s="1" t="n">
        <v>45175</v>
      </c>
      <c r="C1233" s="1" t="n">
        <v>45788</v>
      </c>
      <c r="D1233" t="inlineStr">
        <is>
          <t>JÄMTLANDS LÄN</t>
        </is>
      </c>
      <c r="E1233" t="inlineStr">
        <is>
          <t>RAGUNDA</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42295-2023</t>
        </is>
      </c>
      <c r="B1234" s="1" t="n">
        <v>45175</v>
      </c>
      <c r="C1234" s="1" t="n">
        <v>45788</v>
      </c>
      <c r="D1234" t="inlineStr">
        <is>
          <t>JÄMTLANDS LÄN</t>
        </is>
      </c>
      <c r="E1234" t="inlineStr">
        <is>
          <t>RAGUNDA</t>
        </is>
      </c>
      <c r="F1234" t="inlineStr">
        <is>
          <t>Kommuner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41656-2023</t>
        </is>
      </c>
      <c r="B1235" s="1" t="n">
        <v>45175</v>
      </c>
      <c r="C1235" s="1" t="n">
        <v>45788</v>
      </c>
      <c r="D1235" t="inlineStr">
        <is>
          <t>JÄMTLANDS LÄN</t>
        </is>
      </c>
      <c r="E1235" t="inlineStr">
        <is>
          <t>RAGUNDA</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41693-2023</t>
        </is>
      </c>
      <c r="B1236" s="1" t="n">
        <v>45176</v>
      </c>
      <c r="C1236" s="1" t="n">
        <v>45788</v>
      </c>
      <c r="D1236" t="inlineStr">
        <is>
          <t>JÄMTLANDS LÄN</t>
        </is>
      </c>
      <c r="E1236" t="inlineStr">
        <is>
          <t>RAGUNDA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41766-2023</t>
        </is>
      </c>
      <c r="B1237" s="1" t="n">
        <v>45176</v>
      </c>
      <c r="C1237" s="1" t="n">
        <v>45788</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41905-2023</t>
        </is>
      </c>
      <c r="B1238" s="1" t="n">
        <v>45176</v>
      </c>
      <c r="C1238" s="1" t="n">
        <v>45788</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42149-2023</t>
        </is>
      </c>
      <c r="B1239" s="1" t="n">
        <v>45177</v>
      </c>
      <c r="C1239" s="1" t="n">
        <v>45788</v>
      </c>
      <c r="D1239" t="inlineStr">
        <is>
          <t>JÄMTLANDS LÄN</t>
        </is>
      </c>
      <c r="E1239" t="inlineStr">
        <is>
          <t>RAGUNDA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42510-2023</t>
        </is>
      </c>
      <c r="B1240" s="1" t="n">
        <v>45181</v>
      </c>
      <c r="C1240" s="1" t="n">
        <v>45788</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42509-2023</t>
        </is>
      </c>
      <c r="B1241" s="1" t="n">
        <v>45180</v>
      </c>
      <c r="C1241" s="1" t="n">
        <v>45788</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42508-2023</t>
        </is>
      </c>
      <c r="B1242" s="1" t="n">
        <v>45181</v>
      </c>
      <c r="C1242" s="1" t="n">
        <v>45788</v>
      </c>
      <c r="D1242" t="inlineStr">
        <is>
          <t>JÄMTLANDS LÄN</t>
        </is>
      </c>
      <c r="E1242" t="inlineStr">
        <is>
          <t>RAGUNDA</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43607-2023</t>
        </is>
      </c>
      <c r="B1243" s="1" t="n">
        <v>45181</v>
      </c>
      <c r="C1243" s="1" t="n">
        <v>45788</v>
      </c>
      <c r="D1243" t="inlineStr">
        <is>
          <t>JÄMTLANDS LÄN</t>
        </is>
      </c>
      <c r="E1243" t="inlineStr">
        <is>
          <t>RAGUNDA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43102-2023</t>
        </is>
      </c>
      <c r="B1244" s="1" t="n">
        <v>45182</v>
      </c>
      <c r="C1244" s="1" t="n">
        <v>45788</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43122-2023</t>
        </is>
      </c>
      <c r="B1245" s="1" t="n">
        <v>45183</v>
      </c>
      <c r="C1245" s="1" t="n">
        <v>45788</v>
      </c>
      <c r="D1245" t="inlineStr">
        <is>
          <t>JÄMTLANDS LÄN</t>
        </is>
      </c>
      <c r="E1245" t="inlineStr">
        <is>
          <t>RAGUNDA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43132-2023</t>
        </is>
      </c>
      <c r="B1246" s="1" t="n">
        <v>45182</v>
      </c>
      <c r="C1246" s="1" t="n">
        <v>45788</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43926-2023</t>
        </is>
      </c>
      <c r="B1247" s="1" t="n">
        <v>45182</v>
      </c>
      <c r="C1247" s="1" t="n">
        <v>45788</v>
      </c>
      <c r="D1247" t="inlineStr">
        <is>
          <t>JÄMTLANDS LÄN</t>
        </is>
      </c>
      <c r="E1247" t="inlineStr">
        <is>
          <t>RAGUNDA</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43405-2023</t>
        </is>
      </c>
      <c r="B1248" s="1" t="n">
        <v>45184</v>
      </c>
      <c r="C1248" s="1" t="n">
        <v>45788</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43409-2023</t>
        </is>
      </c>
      <c r="B1249" s="1" t="n">
        <v>45184</v>
      </c>
      <c r="C1249" s="1" t="n">
        <v>45788</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44630-2023</t>
        </is>
      </c>
      <c r="B1250" s="1" t="n">
        <v>45184</v>
      </c>
      <c r="C1250" s="1" t="n">
        <v>45788</v>
      </c>
      <c r="D1250" t="inlineStr">
        <is>
          <t>JÄMTLANDS LÄN</t>
        </is>
      </c>
      <c r="E1250" t="inlineStr">
        <is>
          <t>RAGUNDA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45788</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45257-2023</t>
        </is>
      </c>
      <c r="B1252" s="1" t="n">
        <v>45187</v>
      </c>
      <c r="C1252" s="1" t="n">
        <v>45788</v>
      </c>
      <c r="D1252" t="inlineStr">
        <is>
          <t>JÄMTLANDS LÄN</t>
        </is>
      </c>
      <c r="E1252" t="inlineStr">
        <is>
          <t>RAGUNDA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45253-2023</t>
        </is>
      </c>
      <c r="B1253" s="1" t="n">
        <v>45187</v>
      </c>
      <c r="C1253" s="1" t="n">
        <v>45788</v>
      </c>
      <c r="D1253" t="inlineStr">
        <is>
          <t>JÄMTLANDS LÄN</t>
        </is>
      </c>
      <c r="E1253" t="inlineStr">
        <is>
          <t>RAGUNDA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44987-2023</t>
        </is>
      </c>
      <c r="B1254" s="1" t="n">
        <v>45191</v>
      </c>
      <c r="C1254" s="1" t="n">
        <v>45788</v>
      </c>
      <c r="D1254" t="inlineStr">
        <is>
          <t>JÄMTLANDS LÄN</t>
        </is>
      </c>
      <c r="E1254" t="inlineStr">
        <is>
          <t>RAGUNDA</t>
        </is>
      </c>
      <c r="F1254" t="inlineStr">
        <is>
          <t>SCA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44999-2023</t>
        </is>
      </c>
      <c r="B1255" s="1" t="n">
        <v>45191</v>
      </c>
      <c r="C1255" s="1" t="n">
        <v>45788</v>
      </c>
      <c r="D1255" t="inlineStr">
        <is>
          <t>JÄMTLANDS LÄN</t>
        </is>
      </c>
      <c r="E1255" t="inlineStr">
        <is>
          <t>RAGUNDA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44980-2023</t>
        </is>
      </c>
      <c r="B1256" s="1" t="n">
        <v>45190</v>
      </c>
      <c r="C1256" s="1" t="n">
        <v>45788</v>
      </c>
      <c r="D1256" t="inlineStr">
        <is>
          <t>JÄMTLANDS LÄN</t>
        </is>
      </c>
      <c r="E1256" t="inlineStr">
        <is>
          <t>RAGUNDA</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44988-2023</t>
        </is>
      </c>
      <c r="B1257" s="1" t="n">
        <v>45190</v>
      </c>
      <c r="C1257" s="1" t="n">
        <v>45788</v>
      </c>
      <c r="D1257" t="inlineStr">
        <is>
          <t>JÄMTLANDS LÄN</t>
        </is>
      </c>
      <c r="E1257" t="inlineStr">
        <is>
          <t>RAGUNDA</t>
        </is>
      </c>
      <c r="F1257" t="inlineStr">
        <is>
          <t>SCA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44996-2023</t>
        </is>
      </c>
      <c r="B1258" s="1" t="n">
        <v>45191</v>
      </c>
      <c r="C1258" s="1" t="n">
        <v>45788</v>
      </c>
      <c r="D1258" t="inlineStr">
        <is>
          <t>JÄMTLANDS LÄN</t>
        </is>
      </c>
      <c r="E1258" t="inlineStr">
        <is>
          <t>RAGUNDA</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45020-2023</t>
        </is>
      </c>
      <c r="B1259" s="1" t="n">
        <v>45191</v>
      </c>
      <c r="C1259" s="1" t="n">
        <v>45788</v>
      </c>
      <c r="D1259" t="inlineStr">
        <is>
          <t>JÄMTLANDS LÄN</t>
        </is>
      </c>
      <c r="E1259" t="inlineStr">
        <is>
          <t>RAGUNDA</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44997-2023</t>
        </is>
      </c>
      <c r="B1260" s="1" t="n">
        <v>45191</v>
      </c>
      <c r="C1260" s="1" t="n">
        <v>45788</v>
      </c>
      <c r="D1260" t="inlineStr">
        <is>
          <t>JÄMTLANDS LÄN</t>
        </is>
      </c>
      <c r="E1260" t="inlineStr">
        <is>
          <t>RAGUNDA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45336-2023</t>
        </is>
      </c>
      <c r="B1261" s="1" t="n">
        <v>45192</v>
      </c>
      <c r="C1261" s="1" t="n">
        <v>45788</v>
      </c>
      <c r="D1261" t="inlineStr">
        <is>
          <t>JÄMTLANDS LÄN</t>
        </is>
      </c>
      <c r="E1261" t="inlineStr">
        <is>
          <t>RAGUNDA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45335-2023</t>
        </is>
      </c>
      <c r="B1262" s="1" t="n">
        <v>45191</v>
      </c>
      <c r="C1262" s="1" t="n">
        <v>45788</v>
      </c>
      <c r="D1262" t="inlineStr">
        <is>
          <t>JÄMTLANDS LÄN</t>
        </is>
      </c>
      <c r="E1262" t="inlineStr">
        <is>
          <t>RAGUNDA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45338-2023</t>
        </is>
      </c>
      <c r="B1263" s="1" t="n">
        <v>45192</v>
      </c>
      <c r="C1263" s="1" t="n">
        <v>45788</v>
      </c>
      <c r="D1263" t="inlineStr">
        <is>
          <t>JÄMTLANDS LÄN</t>
        </is>
      </c>
      <c r="E1263" t="inlineStr">
        <is>
          <t>RAGUNDA</t>
        </is>
      </c>
      <c r="F1263" t="inlineStr">
        <is>
          <t>SCA</t>
        </is>
      </c>
      <c r="G1263" t="n">
        <v>23.4</v>
      </c>
      <c r="H1263" t="n">
        <v>0</v>
      </c>
      <c r="I1263" t="n">
        <v>0</v>
      </c>
      <c r="J1263" t="n">
        <v>0</v>
      </c>
      <c r="K1263" t="n">
        <v>0</v>
      </c>
      <c r="L1263" t="n">
        <v>0</v>
      </c>
      <c r="M1263" t="n">
        <v>0</v>
      </c>
      <c r="N1263" t="n">
        <v>0</v>
      </c>
      <c r="O1263" t="n">
        <v>0</v>
      </c>
      <c r="P1263" t="n">
        <v>0</v>
      </c>
      <c r="Q1263" t="n">
        <v>0</v>
      </c>
      <c r="R1263" s="2" t="inlineStr"/>
    </row>
    <row r="1264" ht="15" customHeight="1">
      <c r="A1264" t="inlineStr">
        <is>
          <t>A 45953-2023</t>
        </is>
      </c>
      <c r="B1264" s="1" t="n">
        <v>45196</v>
      </c>
      <c r="C1264" s="1" t="n">
        <v>45788</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45974-2023</t>
        </is>
      </c>
      <c r="B1265" s="1" t="n">
        <v>45196</v>
      </c>
      <c r="C1265" s="1" t="n">
        <v>45788</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45954-2023</t>
        </is>
      </c>
      <c r="B1266" s="1" t="n">
        <v>45196</v>
      </c>
      <c r="C1266" s="1" t="n">
        <v>45788</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45952-2023</t>
        </is>
      </c>
      <c r="B1267" s="1" t="n">
        <v>45195</v>
      </c>
      <c r="C1267" s="1" t="n">
        <v>45788</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45955-2023</t>
        </is>
      </c>
      <c r="B1268" s="1" t="n">
        <v>45196</v>
      </c>
      <c r="C1268" s="1" t="n">
        <v>45788</v>
      </c>
      <c r="D1268" t="inlineStr">
        <is>
          <t>JÄMTLANDS LÄN</t>
        </is>
      </c>
      <c r="E1268" t="inlineStr">
        <is>
          <t>RAGUNDA</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47319-2023</t>
        </is>
      </c>
      <c r="B1269" s="1" t="n">
        <v>45196</v>
      </c>
      <c r="C1269" s="1" t="n">
        <v>45788</v>
      </c>
      <c r="D1269" t="inlineStr">
        <is>
          <t>JÄMTLANDS LÄN</t>
        </is>
      </c>
      <c r="E1269" t="inlineStr">
        <is>
          <t>RAGUNDA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46536-2023</t>
        </is>
      </c>
      <c r="B1270" s="1" t="n">
        <v>45198</v>
      </c>
      <c r="C1270" s="1" t="n">
        <v>45788</v>
      </c>
      <c r="D1270" t="inlineStr">
        <is>
          <t>JÄMTLANDS LÄN</t>
        </is>
      </c>
      <c r="E1270" t="inlineStr">
        <is>
          <t>RAGUNDA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46549-2023</t>
        </is>
      </c>
      <c r="B1271" s="1" t="n">
        <v>45198</v>
      </c>
      <c r="C1271" s="1" t="n">
        <v>45788</v>
      </c>
      <c r="D1271" t="inlineStr">
        <is>
          <t>JÄMTLANDS LÄN</t>
        </is>
      </c>
      <c r="E1271" t="inlineStr">
        <is>
          <t>RAGUNDA</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46537-2023</t>
        </is>
      </c>
      <c r="B1272" s="1" t="n">
        <v>45197</v>
      </c>
      <c r="C1272" s="1" t="n">
        <v>45788</v>
      </c>
      <c r="D1272" t="inlineStr">
        <is>
          <t>JÄMTLANDS LÄN</t>
        </is>
      </c>
      <c r="E1272" t="inlineStr">
        <is>
          <t>RAGUNDA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46546-2023</t>
        </is>
      </c>
      <c r="B1273" s="1" t="n">
        <v>45198</v>
      </c>
      <c r="C1273" s="1" t="n">
        <v>45788</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47444-2023</t>
        </is>
      </c>
      <c r="B1274" s="1" t="n">
        <v>45197</v>
      </c>
      <c r="C1274" s="1" t="n">
        <v>45788</v>
      </c>
      <c r="D1274" t="inlineStr">
        <is>
          <t>JÄMTLANDS LÄN</t>
        </is>
      </c>
      <c r="E1274" t="inlineStr">
        <is>
          <t>RAGUNDA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46817-2023</t>
        </is>
      </c>
      <c r="B1275" s="1" t="n">
        <v>45199</v>
      </c>
      <c r="C1275" s="1" t="n">
        <v>45788</v>
      </c>
      <c r="D1275" t="inlineStr">
        <is>
          <t>JÄMTLANDS LÄN</t>
        </is>
      </c>
      <c r="E1275" t="inlineStr">
        <is>
          <t>RAGUNDA</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46806-2023</t>
        </is>
      </c>
      <c r="B1276" s="1" t="n">
        <v>45199</v>
      </c>
      <c r="C1276" s="1" t="n">
        <v>45788</v>
      </c>
      <c r="D1276" t="inlineStr">
        <is>
          <t>JÄMTLANDS LÄN</t>
        </is>
      </c>
      <c r="E1276" t="inlineStr">
        <is>
          <t>RAGUNDA</t>
        </is>
      </c>
      <c r="F1276" t="inlineStr">
        <is>
          <t>SCA</t>
        </is>
      </c>
      <c r="G1276" t="n">
        <v>39.8</v>
      </c>
      <c r="H1276" t="n">
        <v>0</v>
      </c>
      <c r="I1276" t="n">
        <v>0</v>
      </c>
      <c r="J1276" t="n">
        <v>0</v>
      </c>
      <c r="K1276" t="n">
        <v>0</v>
      </c>
      <c r="L1276" t="n">
        <v>0</v>
      </c>
      <c r="M1276" t="n">
        <v>0</v>
      </c>
      <c r="N1276" t="n">
        <v>0</v>
      </c>
      <c r="O1276" t="n">
        <v>0</v>
      </c>
      <c r="P1276" t="n">
        <v>0</v>
      </c>
      <c r="Q1276" t="n">
        <v>0</v>
      </c>
      <c r="R1276" s="2" t="inlineStr"/>
    </row>
    <row r="1277" ht="15" customHeight="1">
      <c r="A1277" t="inlineStr">
        <is>
          <t>A 47168-2023</t>
        </is>
      </c>
      <c r="B1277" s="1" t="n">
        <v>45201</v>
      </c>
      <c r="C1277" s="1" t="n">
        <v>45788</v>
      </c>
      <c r="D1277" t="inlineStr">
        <is>
          <t>JÄMTLANDS LÄN</t>
        </is>
      </c>
      <c r="E1277" t="inlineStr">
        <is>
          <t>RAGUNDA</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47173-2023</t>
        </is>
      </c>
      <c r="B1278" s="1" t="n">
        <v>45202</v>
      </c>
      <c r="C1278" s="1" t="n">
        <v>45788</v>
      </c>
      <c r="D1278" t="inlineStr">
        <is>
          <t>JÄMTLANDS LÄN</t>
        </is>
      </c>
      <c r="E1278" t="inlineStr">
        <is>
          <t>RAGUNDA</t>
        </is>
      </c>
      <c r="F1278" t="inlineStr">
        <is>
          <t>SCA</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48065-2023</t>
        </is>
      </c>
      <c r="B1279" s="1" t="n">
        <v>45205</v>
      </c>
      <c r="C1279" s="1" t="n">
        <v>45788</v>
      </c>
      <c r="D1279" t="inlineStr">
        <is>
          <t>JÄMTLANDS LÄN</t>
        </is>
      </c>
      <c r="E1279" t="inlineStr">
        <is>
          <t>RAGUNDA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48066-2023</t>
        </is>
      </c>
      <c r="B1280" s="1" t="n">
        <v>45205</v>
      </c>
      <c r="C1280" s="1" t="n">
        <v>45788</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48421-2023</t>
        </is>
      </c>
      <c r="B1281" s="1" t="n">
        <v>45205</v>
      </c>
      <c r="C1281" s="1" t="n">
        <v>45788</v>
      </c>
      <c r="D1281" t="inlineStr">
        <is>
          <t>JÄMTLANDS LÄN</t>
        </is>
      </c>
      <c r="E1281" t="inlineStr">
        <is>
          <t>RAGUNDA</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48469-2023</t>
        </is>
      </c>
      <c r="B1282" s="1" t="n">
        <v>45207</v>
      </c>
      <c r="C1282" s="1" t="n">
        <v>45788</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50160-2023</t>
        </is>
      </c>
      <c r="B1283" s="1" t="n">
        <v>45208</v>
      </c>
      <c r="C1283" s="1" t="n">
        <v>45788</v>
      </c>
      <c r="D1283" t="inlineStr">
        <is>
          <t>JÄMTLANDS LÄN</t>
        </is>
      </c>
      <c r="E1283" t="inlineStr">
        <is>
          <t>RAGUNDA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50157-2023</t>
        </is>
      </c>
      <c r="B1284" s="1" t="n">
        <v>45208</v>
      </c>
      <c r="C1284" s="1" t="n">
        <v>45788</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50658-2023</t>
        </is>
      </c>
      <c r="B1285" s="1" t="n">
        <v>45210</v>
      </c>
      <c r="C1285" s="1" t="n">
        <v>45788</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50650-2023</t>
        </is>
      </c>
      <c r="B1286" s="1" t="n">
        <v>45210</v>
      </c>
      <c r="C1286" s="1" t="n">
        <v>45788</v>
      </c>
      <c r="D1286" t="inlineStr">
        <is>
          <t>JÄMTLANDS LÄN</t>
        </is>
      </c>
      <c r="E1286" t="inlineStr">
        <is>
          <t>RAGUNDA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49650-2023</t>
        </is>
      </c>
      <c r="B1287" s="1" t="n">
        <v>45212</v>
      </c>
      <c r="C1287" s="1" t="n">
        <v>45788</v>
      </c>
      <c r="D1287" t="inlineStr">
        <is>
          <t>JÄMTLANDS LÄN</t>
        </is>
      </c>
      <c r="E1287" t="inlineStr">
        <is>
          <t>RAGUNDA</t>
        </is>
      </c>
      <c r="F1287" t="inlineStr">
        <is>
          <t>SCA</t>
        </is>
      </c>
      <c r="G1287" t="n">
        <v>19.8</v>
      </c>
      <c r="H1287" t="n">
        <v>0</v>
      </c>
      <c r="I1287" t="n">
        <v>0</v>
      </c>
      <c r="J1287" t="n">
        <v>0</v>
      </c>
      <c r="K1287" t="n">
        <v>0</v>
      </c>
      <c r="L1287" t="n">
        <v>0</v>
      </c>
      <c r="M1287" t="n">
        <v>0</v>
      </c>
      <c r="N1287" t="n">
        <v>0</v>
      </c>
      <c r="O1287" t="n">
        <v>0</v>
      </c>
      <c r="P1287" t="n">
        <v>0</v>
      </c>
      <c r="Q1287" t="n">
        <v>0</v>
      </c>
      <c r="R1287" s="2" t="inlineStr"/>
    </row>
    <row r="1288" ht="15" customHeight="1">
      <c r="A1288" t="inlineStr">
        <is>
          <t>A 49648-2023</t>
        </is>
      </c>
      <c r="B1288" s="1" t="n">
        <v>45212</v>
      </c>
      <c r="C1288" s="1" t="n">
        <v>45788</v>
      </c>
      <c r="D1288" t="inlineStr">
        <is>
          <t>JÄMTLANDS LÄN</t>
        </is>
      </c>
      <c r="E1288" t="inlineStr">
        <is>
          <t>RAGUNDA</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49659-2023</t>
        </is>
      </c>
      <c r="B1289" s="1" t="n">
        <v>45212</v>
      </c>
      <c r="C1289" s="1" t="n">
        <v>45788</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50211-2023</t>
        </is>
      </c>
      <c r="B1290" s="1" t="n">
        <v>45216</v>
      </c>
      <c r="C1290" s="1" t="n">
        <v>45788</v>
      </c>
      <c r="D1290" t="inlineStr">
        <is>
          <t>JÄMTLANDS LÄN</t>
        </is>
      </c>
      <c r="E1290" t="inlineStr">
        <is>
          <t>RAGUNDA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51503-2023</t>
        </is>
      </c>
      <c r="B1291" s="1" t="n">
        <v>45215</v>
      </c>
      <c r="C1291" s="1" t="n">
        <v>45788</v>
      </c>
      <c r="D1291" t="inlineStr">
        <is>
          <t>JÄMTLANDS LÄN</t>
        </is>
      </c>
      <c r="E1291" t="inlineStr">
        <is>
          <t>RAGUNDA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51646-2023</t>
        </is>
      </c>
      <c r="B1292" s="1" t="n">
        <v>45215</v>
      </c>
      <c r="C1292" s="1" t="n">
        <v>45788</v>
      </c>
      <c r="D1292" t="inlineStr">
        <is>
          <t>JÄMTLANDS LÄN</t>
        </is>
      </c>
      <c r="E1292" t="inlineStr">
        <is>
          <t>RAGUNDA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50486-2023</t>
        </is>
      </c>
      <c r="B1293" s="1" t="n">
        <v>45217</v>
      </c>
      <c r="C1293" s="1" t="n">
        <v>45788</v>
      </c>
      <c r="D1293" t="inlineStr">
        <is>
          <t>JÄMTLANDS LÄN</t>
        </is>
      </c>
      <c r="E1293" t="inlineStr">
        <is>
          <t>RAGUNDA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50485-2023</t>
        </is>
      </c>
      <c r="B1294" s="1" t="n">
        <v>45217</v>
      </c>
      <c r="C1294" s="1" t="n">
        <v>45788</v>
      </c>
      <c r="D1294" t="inlineStr">
        <is>
          <t>JÄMTLANDS LÄN</t>
        </is>
      </c>
      <c r="E1294" t="inlineStr">
        <is>
          <t>RAGUNDA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50487-2023</t>
        </is>
      </c>
      <c r="B1295" s="1" t="n">
        <v>45217</v>
      </c>
      <c r="C1295" s="1" t="n">
        <v>45788</v>
      </c>
      <c r="D1295" t="inlineStr">
        <is>
          <t>JÄMTLANDS LÄN</t>
        </is>
      </c>
      <c r="E1295" t="inlineStr">
        <is>
          <t>RAGUNDA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50483-2023</t>
        </is>
      </c>
      <c r="B1296" s="1" t="n">
        <v>45217</v>
      </c>
      <c r="C1296" s="1" t="n">
        <v>45788</v>
      </c>
      <c r="D1296" t="inlineStr">
        <is>
          <t>JÄMTLANDS LÄN</t>
        </is>
      </c>
      <c r="E1296" t="inlineStr">
        <is>
          <t>RAGUNDA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50484-2023</t>
        </is>
      </c>
      <c r="B1297" s="1" t="n">
        <v>45217</v>
      </c>
      <c r="C1297" s="1" t="n">
        <v>45788</v>
      </c>
      <c r="D1297" t="inlineStr">
        <is>
          <t>JÄMTLANDS LÄN</t>
        </is>
      </c>
      <c r="E1297" t="inlineStr">
        <is>
          <t>RAGUNDA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50831-2023</t>
        </is>
      </c>
      <c r="B1298" s="1" t="n">
        <v>45217</v>
      </c>
      <c r="C1298" s="1" t="n">
        <v>45788</v>
      </c>
      <c r="D1298" t="inlineStr">
        <is>
          <t>JÄMTLANDS LÄN</t>
        </is>
      </c>
      <c r="E1298" t="inlineStr">
        <is>
          <t>RAGUNDA</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50832-2023</t>
        </is>
      </c>
      <c r="B1299" s="1" t="n">
        <v>45218</v>
      </c>
      <c r="C1299" s="1" t="n">
        <v>45788</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50848-2023</t>
        </is>
      </c>
      <c r="B1300" s="1" t="n">
        <v>45217</v>
      </c>
      <c r="C1300" s="1" t="n">
        <v>45788</v>
      </c>
      <c r="D1300" t="inlineStr">
        <is>
          <t>JÄMTLANDS LÄN</t>
        </is>
      </c>
      <c r="E1300" t="inlineStr">
        <is>
          <t>RAGUNDA</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52195-2023</t>
        </is>
      </c>
      <c r="B1301" s="1" t="n">
        <v>45217</v>
      </c>
      <c r="C1301" s="1" t="n">
        <v>45788</v>
      </c>
      <c r="D1301" t="inlineStr">
        <is>
          <t>JÄMTLANDS LÄN</t>
        </is>
      </c>
      <c r="E1301" t="inlineStr">
        <is>
          <t>RAGUNDA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50847-2023</t>
        </is>
      </c>
      <c r="B1302" s="1" t="n">
        <v>45217</v>
      </c>
      <c r="C1302" s="1" t="n">
        <v>45788</v>
      </c>
      <c r="D1302" t="inlineStr">
        <is>
          <t>JÄMTLANDS LÄN</t>
        </is>
      </c>
      <c r="E1302" t="inlineStr">
        <is>
          <t>RAGUNDA</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52550-2023</t>
        </is>
      </c>
      <c r="B1303" s="1" t="n">
        <v>45218</v>
      </c>
      <c r="C1303" s="1" t="n">
        <v>45788</v>
      </c>
      <c r="D1303" t="inlineStr">
        <is>
          <t>JÄMTLANDS LÄN</t>
        </is>
      </c>
      <c r="E1303" t="inlineStr">
        <is>
          <t>RAGUNDA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52544-2023</t>
        </is>
      </c>
      <c r="B1304" s="1" t="n">
        <v>45218</v>
      </c>
      <c r="C1304" s="1" t="n">
        <v>45788</v>
      </c>
      <c r="D1304" t="inlineStr">
        <is>
          <t>JÄMTLANDS LÄN</t>
        </is>
      </c>
      <c r="E1304" t="inlineStr">
        <is>
          <t>RAGUNDA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52631-2023</t>
        </is>
      </c>
      <c r="B1305" s="1" t="n">
        <v>45219</v>
      </c>
      <c r="C1305" s="1" t="n">
        <v>45788</v>
      </c>
      <c r="D1305" t="inlineStr">
        <is>
          <t>JÄMTLANDS LÄN</t>
        </is>
      </c>
      <c r="E1305" t="inlineStr">
        <is>
          <t>RAGUNDA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52622-2023</t>
        </is>
      </c>
      <c r="B1306" s="1" t="n">
        <v>45219</v>
      </c>
      <c r="C1306" s="1" t="n">
        <v>45788</v>
      </c>
      <c r="D1306" t="inlineStr">
        <is>
          <t>JÄMTLANDS LÄN</t>
        </is>
      </c>
      <c r="E1306" t="inlineStr">
        <is>
          <t>RAGUNDA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51435-2023</t>
        </is>
      </c>
      <c r="B1307" s="1" t="n">
        <v>45220</v>
      </c>
      <c r="C1307" s="1" t="n">
        <v>45788</v>
      </c>
      <c r="D1307" t="inlineStr">
        <is>
          <t>JÄMTLANDS LÄN</t>
        </is>
      </c>
      <c r="E1307" t="inlineStr">
        <is>
          <t>RAGUNDA</t>
        </is>
      </c>
      <c r="F1307" t="inlineStr">
        <is>
          <t>SCA</t>
        </is>
      </c>
      <c r="G1307" t="n">
        <v>39.6</v>
      </c>
      <c r="H1307" t="n">
        <v>0</v>
      </c>
      <c r="I1307" t="n">
        <v>0</v>
      </c>
      <c r="J1307" t="n">
        <v>0</v>
      </c>
      <c r="K1307" t="n">
        <v>0</v>
      </c>
      <c r="L1307" t="n">
        <v>0</v>
      </c>
      <c r="M1307" t="n">
        <v>0</v>
      </c>
      <c r="N1307" t="n">
        <v>0</v>
      </c>
      <c r="O1307" t="n">
        <v>0</v>
      </c>
      <c r="P1307" t="n">
        <v>0</v>
      </c>
      <c r="Q1307" t="n">
        <v>0</v>
      </c>
      <c r="R1307" s="2" t="inlineStr"/>
    </row>
    <row r="1308" ht="15" customHeight="1">
      <c r="A1308" t="inlineStr">
        <is>
          <t>A 51209-2023</t>
        </is>
      </c>
      <c r="B1308" s="1" t="n">
        <v>45219</v>
      </c>
      <c r="C1308" s="1" t="n">
        <v>45788</v>
      </c>
      <c r="D1308" t="inlineStr">
        <is>
          <t>JÄMTLANDS LÄN</t>
        </is>
      </c>
      <c r="E1308" t="inlineStr">
        <is>
          <t>RAGUNDA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51807-2023</t>
        </is>
      </c>
      <c r="B1309" s="1" t="n">
        <v>45223</v>
      </c>
      <c r="C1309" s="1" t="n">
        <v>45788</v>
      </c>
      <c r="D1309" t="inlineStr">
        <is>
          <t>JÄMTLANDS LÄN</t>
        </is>
      </c>
      <c r="E1309" t="inlineStr">
        <is>
          <t>RAGUNDA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52878-2023</t>
        </is>
      </c>
      <c r="B1310" s="1" t="n">
        <v>45222</v>
      </c>
      <c r="C1310" s="1" t="n">
        <v>45788</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53019-2023</t>
        </is>
      </c>
      <c r="B1311" s="1" t="n">
        <v>45222</v>
      </c>
      <c r="C1311" s="1" t="n">
        <v>45788</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45788</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53860-2023</t>
        </is>
      </c>
      <c r="B1313" s="1" t="n">
        <v>45224</v>
      </c>
      <c r="C1313" s="1" t="n">
        <v>45788</v>
      </c>
      <c r="D1313" t="inlineStr">
        <is>
          <t>JÄMTLANDS LÄN</t>
        </is>
      </c>
      <c r="E1313" t="inlineStr">
        <is>
          <t>RAGUNDA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53847-2023</t>
        </is>
      </c>
      <c r="B1314" s="1" t="n">
        <v>45224</v>
      </c>
      <c r="C1314" s="1" t="n">
        <v>45788</v>
      </c>
      <c r="D1314" t="inlineStr">
        <is>
          <t>JÄMTLANDS LÄN</t>
        </is>
      </c>
      <c r="E1314" t="inlineStr">
        <is>
          <t>RAGUNDA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53455-2023</t>
        </is>
      </c>
      <c r="B1315" s="1" t="n">
        <v>45230</v>
      </c>
      <c r="C1315" s="1" t="n">
        <v>45788</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53762-2023</t>
        </is>
      </c>
      <c r="B1316" s="1" t="n">
        <v>45231</v>
      </c>
      <c r="C1316" s="1" t="n">
        <v>45788</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53766-2023</t>
        </is>
      </c>
      <c r="B1317" s="1" t="n">
        <v>45231</v>
      </c>
      <c r="C1317" s="1" t="n">
        <v>45788</v>
      </c>
      <c r="D1317" t="inlineStr">
        <is>
          <t>JÄMTLANDS LÄN</t>
        </is>
      </c>
      <c r="E1317" t="inlineStr">
        <is>
          <t>RAGUNDA</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53769-2023</t>
        </is>
      </c>
      <c r="B1318" s="1" t="n">
        <v>45230</v>
      </c>
      <c r="C1318" s="1" t="n">
        <v>45788</v>
      </c>
      <c r="D1318" t="inlineStr">
        <is>
          <t>JÄMTLANDS LÄN</t>
        </is>
      </c>
      <c r="E1318" t="inlineStr">
        <is>
          <t>RAGUNDA</t>
        </is>
      </c>
      <c r="F1318" t="inlineStr">
        <is>
          <t>SCA</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55250-2023</t>
        </is>
      </c>
      <c r="B1319" s="1" t="n">
        <v>45231</v>
      </c>
      <c r="C1319" s="1" t="n">
        <v>45788</v>
      </c>
      <c r="D1319" t="inlineStr">
        <is>
          <t>JÄMTLANDS LÄN</t>
        </is>
      </c>
      <c r="E1319" t="inlineStr">
        <is>
          <t>RAGUNDA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54322-2023</t>
        </is>
      </c>
      <c r="B1320" s="1" t="n">
        <v>45232</v>
      </c>
      <c r="C1320" s="1" t="n">
        <v>45788</v>
      </c>
      <c r="D1320" t="inlineStr">
        <is>
          <t>JÄMTLANDS LÄN</t>
        </is>
      </c>
      <c r="E1320" t="inlineStr">
        <is>
          <t>RAGUNDA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54321-2023</t>
        </is>
      </c>
      <c r="B1321" s="1" t="n">
        <v>45232</v>
      </c>
      <c r="C1321" s="1" t="n">
        <v>45788</v>
      </c>
      <c r="D1321" t="inlineStr">
        <is>
          <t>JÄMTLANDS LÄN</t>
        </is>
      </c>
      <c r="E1321" t="inlineStr">
        <is>
          <t>RAGUNDA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54599-2023</t>
        </is>
      </c>
      <c r="B1322" s="1" t="n">
        <v>45233</v>
      </c>
      <c r="C1322" s="1" t="n">
        <v>45788</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56338-2023</t>
        </is>
      </c>
      <c r="B1323" s="1" t="n">
        <v>45236</v>
      </c>
      <c r="C1323" s="1" t="n">
        <v>45788</v>
      </c>
      <c r="D1323" t="inlineStr">
        <is>
          <t>JÄMTLANDS LÄN</t>
        </is>
      </c>
      <c r="E1323" t="inlineStr">
        <is>
          <t>RAGUNDA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56331-2023</t>
        </is>
      </c>
      <c r="B1324" s="1" t="n">
        <v>45236</v>
      </c>
      <c r="C1324" s="1" t="n">
        <v>45788</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56343-2023</t>
        </is>
      </c>
      <c r="B1325" s="1" t="n">
        <v>45236</v>
      </c>
      <c r="C1325" s="1" t="n">
        <v>45788</v>
      </c>
      <c r="D1325" t="inlineStr">
        <is>
          <t>JÄMTLANDS LÄN</t>
        </is>
      </c>
      <c r="E1325" t="inlineStr">
        <is>
          <t>RAGUNDA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56351-2023</t>
        </is>
      </c>
      <c r="B1326" s="1" t="n">
        <v>45236</v>
      </c>
      <c r="C1326" s="1" t="n">
        <v>45788</v>
      </c>
      <c r="D1326" t="inlineStr">
        <is>
          <t>JÄMTLANDS LÄN</t>
        </is>
      </c>
      <c r="E1326" t="inlineStr">
        <is>
          <t>RAGUNDA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55649-2023</t>
        </is>
      </c>
      <c r="B1327" s="1" t="n">
        <v>45238</v>
      </c>
      <c r="C1327" s="1" t="n">
        <v>45788</v>
      </c>
      <c r="D1327" t="inlineStr">
        <is>
          <t>JÄMTLANDS LÄN</t>
        </is>
      </c>
      <c r="E1327" t="inlineStr">
        <is>
          <t>RAGUNDA</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55669-2023</t>
        </is>
      </c>
      <c r="B1328" s="1" t="n">
        <v>45239</v>
      </c>
      <c r="C1328" s="1" t="n">
        <v>45788</v>
      </c>
      <c r="D1328" t="inlineStr">
        <is>
          <t>JÄMTLANDS LÄN</t>
        </is>
      </c>
      <c r="E1328" t="inlineStr">
        <is>
          <t>RAGUNDA</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56618-2023</t>
        </is>
      </c>
      <c r="B1329" s="1" t="n">
        <v>45238</v>
      </c>
      <c r="C1329" s="1" t="n">
        <v>45788</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55487-2023</t>
        </is>
      </c>
      <c r="B1330" s="1" t="n">
        <v>45238</v>
      </c>
      <c r="C1330" s="1" t="n">
        <v>45788</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57433-2023</t>
        </is>
      </c>
      <c r="B1331" s="1" t="n">
        <v>45240</v>
      </c>
      <c r="C1331" s="1" t="n">
        <v>45788</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57425-2023</t>
        </is>
      </c>
      <c r="B1332" s="1" t="n">
        <v>45240</v>
      </c>
      <c r="C1332" s="1" t="n">
        <v>45788</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56284-2023</t>
        </is>
      </c>
      <c r="B1333" s="1" t="n">
        <v>45241</v>
      </c>
      <c r="C1333" s="1" t="n">
        <v>45788</v>
      </c>
      <c r="D1333" t="inlineStr">
        <is>
          <t>JÄMTLANDS LÄN</t>
        </is>
      </c>
      <c r="E1333" t="inlineStr">
        <is>
          <t>RAGUNDA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56287-2023</t>
        </is>
      </c>
      <c r="B1334" s="1" t="n">
        <v>45241</v>
      </c>
      <c r="C1334" s="1" t="n">
        <v>45788</v>
      </c>
      <c r="D1334" t="inlineStr">
        <is>
          <t>JÄMTLANDS LÄN</t>
        </is>
      </c>
      <c r="E1334" t="inlineStr">
        <is>
          <t>RAGUNDA</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56286-2023</t>
        </is>
      </c>
      <c r="B1335" s="1" t="n">
        <v>45241</v>
      </c>
      <c r="C1335" s="1" t="n">
        <v>45788</v>
      </c>
      <c r="D1335" t="inlineStr">
        <is>
          <t>JÄMTLANDS LÄN</t>
        </is>
      </c>
      <c r="E1335" t="inlineStr">
        <is>
          <t>RAGUNDA</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56658-2023</t>
        </is>
      </c>
      <c r="B1336" s="1" t="n">
        <v>45243</v>
      </c>
      <c r="C1336" s="1" t="n">
        <v>45788</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56702-2023</t>
        </is>
      </c>
      <c r="B1337" s="1" t="n">
        <v>45244</v>
      </c>
      <c r="C1337" s="1" t="n">
        <v>45788</v>
      </c>
      <c r="D1337" t="inlineStr">
        <is>
          <t>JÄMTLANDS LÄN</t>
        </is>
      </c>
      <c r="E1337" t="inlineStr">
        <is>
          <t>RAGUNDA</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57078-2023</t>
        </is>
      </c>
      <c r="B1338" s="1" t="n">
        <v>45245</v>
      </c>
      <c r="C1338" s="1" t="n">
        <v>45788</v>
      </c>
      <c r="D1338" t="inlineStr">
        <is>
          <t>JÄMTLANDS LÄN</t>
        </is>
      </c>
      <c r="E1338" t="inlineStr">
        <is>
          <t>RAGUNDA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57925-2023</t>
        </is>
      </c>
      <c r="B1339" s="1" t="n">
        <v>45244</v>
      </c>
      <c r="C1339" s="1" t="n">
        <v>45788</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57778-2023</t>
        </is>
      </c>
      <c r="B1340" s="1" t="n">
        <v>45246</v>
      </c>
      <c r="C1340" s="1" t="n">
        <v>45788</v>
      </c>
      <c r="D1340" t="inlineStr">
        <is>
          <t>JÄMTLANDS LÄN</t>
        </is>
      </c>
      <c r="E1340" t="inlineStr">
        <is>
          <t>RAGUNDA</t>
        </is>
      </c>
      <c r="F1340" t="inlineStr">
        <is>
          <t>SCA</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58084-2023</t>
        </is>
      </c>
      <c r="B1341" s="1" t="n">
        <v>45248</v>
      </c>
      <c r="C1341" s="1" t="n">
        <v>45788</v>
      </c>
      <c r="D1341" t="inlineStr">
        <is>
          <t>JÄMTLANDS LÄN</t>
        </is>
      </c>
      <c r="E1341" t="inlineStr">
        <is>
          <t>RAGUNDA</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58992-2023</t>
        </is>
      </c>
      <c r="B1342" s="1" t="n">
        <v>45250</v>
      </c>
      <c r="C1342" s="1" t="n">
        <v>45788</v>
      </c>
      <c r="D1342" t="inlineStr">
        <is>
          <t>JÄMTLANDS LÄN</t>
        </is>
      </c>
      <c r="E1342" t="inlineStr">
        <is>
          <t>RAGUNDA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58863-2023</t>
        </is>
      </c>
      <c r="B1343" s="1" t="n">
        <v>45250</v>
      </c>
      <c r="C1343" s="1" t="n">
        <v>45788</v>
      </c>
      <c r="D1343" t="inlineStr">
        <is>
          <t>JÄMTLANDS LÄN</t>
        </is>
      </c>
      <c r="E1343" t="inlineStr">
        <is>
          <t>RAGUNDA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58921-2023</t>
        </is>
      </c>
      <c r="B1344" s="1" t="n">
        <v>45250</v>
      </c>
      <c r="C1344" s="1" t="n">
        <v>45788</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59136-2023</t>
        </is>
      </c>
      <c r="B1345" s="1" t="n">
        <v>45251</v>
      </c>
      <c r="C1345" s="1" t="n">
        <v>45788</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59286-2023</t>
        </is>
      </c>
      <c r="B1346" s="1" t="n">
        <v>45253</v>
      </c>
      <c r="C1346" s="1" t="n">
        <v>45788</v>
      </c>
      <c r="D1346" t="inlineStr">
        <is>
          <t>JÄMTLANDS LÄN</t>
        </is>
      </c>
      <c r="E1346" t="inlineStr">
        <is>
          <t>RAGUNDA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59557-2023</t>
        </is>
      </c>
      <c r="B1347" s="1" t="n">
        <v>45253</v>
      </c>
      <c r="C1347" s="1" t="n">
        <v>45788</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59658-2023</t>
        </is>
      </c>
      <c r="B1348" s="1" t="n">
        <v>45255</v>
      </c>
      <c r="C1348" s="1" t="n">
        <v>45788</v>
      </c>
      <c r="D1348" t="inlineStr">
        <is>
          <t>JÄMTLANDS LÄN</t>
        </is>
      </c>
      <c r="E1348" t="inlineStr">
        <is>
          <t>RAGUNDA</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59670-2023</t>
        </is>
      </c>
      <c r="B1349" s="1" t="n">
        <v>45255</v>
      </c>
      <c r="C1349" s="1" t="n">
        <v>45788</v>
      </c>
      <c r="D1349" t="inlineStr">
        <is>
          <t>JÄMTLANDS LÄN</t>
        </is>
      </c>
      <c r="E1349" t="inlineStr">
        <is>
          <t>RAGUNDA</t>
        </is>
      </c>
      <c r="F1349" t="inlineStr">
        <is>
          <t>SCA</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59669-2023</t>
        </is>
      </c>
      <c r="B1350" s="1" t="n">
        <v>45255</v>
      </c>
      <c r="C1350" s="1" t="n">
        <v>45788</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59996-2023</t>
        </is>
      </c>
      <c r="B1351" s="1" t="n">
        <v>45257</v>
      </c>
      <c r="C1351" s="1" t="n">
        <v>45788</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60185-2023</t>
        </is>
      </c>
      <c r="B1352" s="1" t="n">
        <v>45257</v>
      </c>
      <c r="C1352" s="1" t="n">
        <v>45788</v>
      </c>
      <c r="D1352" t="inlineStr">
        <is>
          <t>JÄMTLANDS LÄN</t>
        </is>
      </c>
      <c r="E1352" t="inlineStr">
        <is>
          <t>RAGUNDA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60012-2023</t>
        </is>
      </c>
      <c r="B1353" s="1" t="n">
        <v>45257</v>
      </c>
      <c r="C1353" s="1" t="n">
        <v>45788</v>
      </c>
      <c r="D1353" t="inlineStr">
        <is>
          <t>JÄMTLANDS LÄN</t>
        </is>
      </c>
      <c r="E1353" t="inlineStr">
        <is>
          <t>RAGUNDA</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60222-2023</t>
        </is>
      </c>
      <c r="B1354" s="1" t="n">
        <v>45257</v>
      </c>
      <c r="C1354" s="1" t="n">
        <v>45788</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60235-2023</t>
        </is>
      </c>
      <c r="B1355" s="1" t="n">
        <v>45257</v>
      </c>
      <c r="C1355" s="1" t="n">
        <v>45788</v>
      </c>
      <c r="D1355" t="inlineStr">
        <is>
          <t>JÄMTLANDS LÄN</t>
        </is>
      </c>
      <c r="E1355" t="inlineStr">
        <is>
          <t>RAGUNDA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60228-2023</t>
        </is>
      </c>
      <c r="B1356" s="1" t="n">
        <v>45257</v>
      </c>
      <c r="C1356" s="1" t="n">
        <v>45788</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60199-2023</t>
        </is>
      </c>
      <c r="B1357" s="1" t="n">
        <v>45257</v>
      </c>
      <c r="C1357" s="1" t="n">
        <v>45788</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60195-2023</t>
        </is>
      </c>
      <c r="B1358" s="1" t="n">
        <v>45257</v>
      </c>
      <c r="C1358" s="1" t="n">
        <v>45788</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60330-2023</t>
        </is>
      </c>
      <c r="B1359" s="1" t="n">
        <v>45258</v>
      </c>
      <c r="C1359" s="1" t="n">
        <v>45788</v>
      </c>
      <c r="D1359" t="inlineStr">
        <is>
          <t>JÄMTLANDS LÄN</t>
        </is>
      </c>
      <c r="E1359" t="inlineStr">
        <is>
          <t>RAGUNDA</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60456-2023</t>
        </is>
      </c>
      <c r="B1360" s="1" t="n">
        <v>45258</v>
      </c>
      <c r="C1360" s="1" t="n">
        <v>45788</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60413-2023</t>
        </is>
      </c>
      <c r="B1361" s="1" t="n">
        <v>45258</v>
      </c>
      <c r="C1361" s="1" t="n">
        <v>45788</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60450-2023</t>
        </is>
      </c>
      <c r="B1362" s="1" t="n">
        <v>45258</v>
      </c>
      <c r="C1362" s="1" t="n">
        <v>45788</v>
      </c>
      <c r="D1362" t="inlineStr">
        <is>
          <t>JÄMTLANDS LÄN</t>
        </is>
      </c>
      <c r="E1362" t="inlineStr">
        <is>
          <t>RAGUNDA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60443-2023</t>
        </is>
      </c>
      <c r="B1363" s="1" t="n">
        <v>45258</v>
      </c>
      <c r="C1363" s="1" t="n">
        <v>45788</v>
      </c>
      <c r="D1363" t="inlineStr">
        <is>
          <t>JÄMTLANDS LÄN</t>
        </is>
      </c>
      <c r="E1363" t="inlineStr">
        <is>
          <t>RAGUNDA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60629-2023</t>
        </is>
      </c>
      <c r="B1364" s="1" t="n">
        <v>45259</v>
      </c>
      <c r="C1364" s="1" t="n">
        <v>45788</v>
      </c>
      <c r="D1364" t="inlineStr">
        <is>
          <t>JÄMTLANDS LÄN</t>
        </is>
      </c>
      <c r="E1364" t="inlineStr">
        <is>
          <t>RAGUNDA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60643-2023</t>
        </is>
      </c>
      <c r="B1365" s="1" t="n">
        <v>45259</v>
      </c>
      <c r="C1365" s="1" t="n">
        <v>45788</v>
      </c>
      <c r="D1365" t="inlineStr">
        <is>
          <t>JÄMTLANDS LÄN</t>
        </is>
      </c>
      <c r="E1365" t="inlineStr">
        <is>
          <t>RAGUNDA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60836-2023</t>
        </is>
      </c>
      <c r="B1366" s="1" t="n">
        <v>45260</v>
      </c>
      <c r="C1366" s="1" t="n">
        <v>45788</v>
      </c>
      <c r="D1366" t="inlineStr">
        <is>
          <t>JÄMTLANDS LÄN</t>
        </is>
      </c>
      <c r="E1366" t="inlineStr">
        <is>
          <t>RAGUNDA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60860-2023</t>
        </is>
      </c>
      <c r="B1367" s="1" t="n">
        <v>45260</v>
      </c>
      <c r="C1367" s="1" t="n">
        <v>45788</v>
      </c>
      <c r="D1367" t="inlineStr">
        <is>
          <t>JÄMTLANDS LÄN</t>
        </is>
      </c>
      <c r="E1367" t="inlineStr">
        <is>
          <t>RAGUNDA</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60838-2023</t>
        </is>
      </c>
      <c r="B1368" s="1" t="n">
        <v>45260</v>
      </c>
      <c r="C1368" s="1" t="n">
        <v>45788</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61197-2023</t>
        </is>
      </c>
      <c r="B1369" s="1" t="n">
        <v>45260</v>
      </c>
      <c r="C1369" s="1" t="n">
        <v>45788</v>
      </c>
      <c r="D1369" t="inlineStr">
        <is>
          <t>JÄMTLANDS LÄN</t>
        </is>
      </c>
      <c r="E1369" t="inlineStr">
        <is>
          <t>RAGUNDA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61191-2023</t>
        </is>
      </c>
      <c r="B1370" s="1" t="n">
        <v>45260</v>
      </c>
      <c r="C1370" s="1" t="n">
        <v>45788</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62106-2023</t>
        </is>
      </c>
      <c r="B1371" s="1" t="n">
        <v>45266</v>
      </c>
      <c r="C1371" s="1" t="n">
        <v>45788</v>
      </c>
      <c r="D1371" t="inlineStr">
        <is>
          <t>JÄMTLANDS LÄN</t>
        </is>
      </c>
      <c r="E1371" t="inlineStr">
        <is>
          <t>RAGUNDA</t>
        </is>
      </c>
      <c r="F1371" t="inlineStr">
        <is>
          <t>SCA</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62107-2023</t>
        </is>
      </c>
      <c r="B1372" s="1" t="n">
        <v>45266</v>
      </c>
      <c r="C1372" s="1" t="n">
        <v>45788</v>
      </c>
      <c r="D1372" t="inlineStr">
        <is>
          <t>JÄMTLANDS LÄN</t>
        </is>
      </c>
      <c r="E1372" t="inlineStr">
        <is>
          <t>RAGUNDA</t>
        </is>
      </c>
      <c r="F1372" t="inlineStr">
        <is>
          <t>SCA</t>
        </is>
      </c>
      <c r="G1372" t="n">
        <v>38.4</v>
      </c>
      <c r="H1372" t="n">
        <v>0</v>
      </c>
      <c r="I1372" t="n">
        <v>0</v>
      </c>
      <c r="J1372" t="n">
        <v>0</v>
      </c>
      <c r="K1372" t="n">
        <v>0</v>
      </c>
      <c r="L1372" t="n">
        <v>0</v>
      </c>
      <c r="M1372" t="n">
        <v>0</v>
      </c>
      <c r="N1372" t="n">
        <v>0</v>
      </c>
      <c r="O1372" t="n">
        <v>0</v>
      </c>
      <c r="P1372" t="n">
        <v>0</v>
      </c>
      <c r="Q1372" t="n">
        <v>0</v>
      </c>
      <c r="R1372" s="2" t="inlineStr"/>
    </row>
    <row r="1373" ht="15" customHeight="1">
      <c r="A1373" t="inlineStr">
        <is>
          <t>A 62397-2023</t>
        </is>
      </c>
      <c r="B1373" s="1" t="n">
        <v>45266</v>
      </c>
      <c r="C1373" s="1" t="n">
        <v>45788</v>
      </c>
      <c r="D1373" t="inlineStr">
        <is>
          <t>JÄMTLANDS LÄN</t>
        </is>
      </c>
      <c r="E1373" t="inlineStr">
        <is>
          <t>RAGUNDA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62405-2023</t>
        </is>
      </c>
      <c r="B1374" s="1" t="n">
        <v>45266</v>
      </c>
      <c r="C1374" s="1" t="n">
        <v>45788</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62407-2023</t>
        </is>
      </c>
      <c r="B1375" s="1" t="n">
        <v>45266</v>
      </c>
      <c r="C1375" s="1" t="n">
        <v>45788</v>
      </c>
      <c r="D1375" t="inlineStr">
        <is>
          <t>JÄMTLANDS LÄN</t>
        </is>
      </c>
      <c r="E1375" t="inlineStr">
        <is>
          <t>RAGUNDA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62358-2023</t>
        </is>
      </c>
      <c r="B1376" s="1" t="n">
        <v>45267</v>
      </c>
      <c r="C1376" s="1" t="n">
        <v>45788</v>
      </c>
      <c r="D1376" t="inlineStr">
        <is>
          <t>JÄMTLANDS LÄN</t>
        </is>
      </c>
      <c r="E1376" t="inlineStr">
        <is>
          <t>RAGUNDA</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62526-2023</t>
        </is>
      </c>
      <c r="B1377" s="1" t="n">
        <v>45267</v>
      </c>
      <c r="C1377" s="1" t="n">
        <v>45788</v>
      </c>
      <c r="D1377" t="inlineStr">
        <is>
          <t>JÄMTLANDS LÄN</t>
        </is>
      </c>
      <c r="E1377" t="inlineStr">
        <is>
          <t>RAGUNDA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62839-2023</t>
        </is>
      </c>
      <c r="B1378" s="1" t="n">
        <v>45271</v>
      </c>
      <c r="C1378" s="1" t="n">
        <v>45788</v>
      </c>
      <c r="D1378" t="inlineStr">
        <is>
          <t>JÄMTLANDS LÄN</t>
        </is>
      </c>
      <c r="E1378" t="inlineStr">
        <is>
          <t>RAGUNDA</t>
        </is>
      </c>
      <c r="F1378" t="inlineStr">
        <is>
          <t>SCA</t>
        </is>
      </c>
      <c r="G1378" t="n">
        <v>26.7</v>
      </c>
      <c r="H1378" t="n">
        <v>0</v>
      </c>
      <c r="I1378" t="n">
        <v>0</v>
      </c>
      <c r="J1378" t="n">
        <v>0</v>
      </c>
      <c r="K1378" t="n">
        <v>0</v>
      </c>
      <c r="L1378" t="n">
        <v>0</v>
      </c>
      <c r="M1378" t="n">
        <v>0</v>
      </c>
      <c r="N1378" t="n">
        <v>0</v>
      </c>
      <c r="O1378" t="n">
        <v>0</v>
      </c>
      <c r="P1378" t="n">
        <v>0</v>
      </c>
      <c r="Q1378" t="n">
        <v>0</v>
      </c>
      <c r="R1378" s="2" t="inlineStr"/>
    </row>
    <row r="1379" ht="15" customHeight="1">
      <c r="A1379" t="inlineStr">
        <is>
          <t>A 63708-2023</t>
        </is>
      </c>
      <c r="B1379" s="1" t="n">
        <v>45275</v>
      </c>
      <c r="C1379" s="1" t="n">
        <v>45788</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64017-2023</t>
        </is>
      </c>
      <c r="B1380" s="1" t="n">
        <v>45278</v>
      </c>
      <c r="C1380" s="1" t="n">
        <v>45788</v>
      </c>
      <c r="D1380" t="inlineStr">
        <is>
          <t>JÄMTLANDS LÄN</t>
        </is>
      </c>
      <c r="E1380" t="inlineStr">
        <is>
          <t>RAGUNDA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64039-2023</t>
        </is>
      </c>
      <c r="B1381" s="1" t="n">
        <v>45278</v>
      </c>
      <c r="C1381" s="1" t="n">
        <v>45788</v>
      </c>
      <c r="D1381" t="inlineStr">
        <is>
          <t>JÄMTLANDS LÄN</t>
        </is>
      </c>
      <c r="E1381" t="inlineStr">
        <is>
          <t>RAGUNDA</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64265-2023</t>
        </is>
      </c>
      <c r="B1382" s="1" t="n">
        <v>45279</v>
      </c>
      <c r="C1382" s="1" t="n">
        <v>45788</v>
      </c>
      <c r="D1382" t="inlineStr">
        <is>
          <t>JÄMTLANDS LÄN</t>
        </is>
      </c>
      <c r="E1382" t="inlineStr">
        <is>
          <t>RAGUNDA</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64264-2023</t>
        </is>
      </c>
      <c r="B1383" s="1" t="n">
        <v>45279</v>
      </c>
      <c r="C1383" s="1" t="n">
        <v>45788</v>
      </c>
      <c r="D1383" t="inlineStr">
        <is>
          <t>JÄMTLANDS LÄN</t>
        </is>
      </c>
      <c r="E1383" t="inlineStr">
        <is>
          <t>RAGUNDA</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64415-2023</t>
        </is>
      </c>
      <c r="B1384" s="1" t="n">
        <v>45280</v>
      </c>
      <c r="C1384" s="1" t="n">
        <v>45788</v>
      </c>
      <c r="D1384" t="inlineStr">
        <is>
          <t>JÄMTLANDS LÄN</t>
        </is>
      </c>
      <c r="E1384" t="inlineStr">
        <is>
          <t>RAGUNDA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64492-2023</t>
        </is>
      </c>
      <c r="B1385" s="1" t="n">
        <v>45280</v>
      </c>
      <c r="C1385" s="1" t="n">
        <v>45788</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65083-2023</t>
        </is>
      </c>
      <c r="B1386" s="1" t="n">
        <v>45287</v>
      </c>
      <c r="C1386" s="1" t="n">
        <v>45788</v>
      </c>
      <c r="D1386" t="inlineStr">
        <is>
          <t>JÄMTLANDS LÄN</t>
        </is>
      </c>
      <c r="E1386" t="inlineStr">
        <is>
          <t>RAGUNDA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65216-2023</t>
        </is>
      </c>
      <c r="B1387" s="1" t="n">
        <v>45289</v>
      </c>
      <c r="C1387" s="1" t="n">
        <v>45788</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65242-2023</t>
        </is>
      </c>
      <c r="B1388" s="1" t="n">
        <v>45289</v>
      </c>
      <c r="C1388" s="1" t="n">
        <v>45788</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1130-2024</t>
        </is>
      </c>
      <c r="B1389" s="1" t="n">
        <v>45302</v>
      </c>
      <c r="C1389" s="1" t="n">
        <v>45788</v>
      </c>
      <c r="D1389" t="inlineStr">
        <is>
          <t>JÄMTLANDS LÄN</t>
        </is>
      </c>
      <c r="E1389" t="inlineStr">
        <is>
          <t>RAGUNDA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1123-2024</t>
        </is>
      </c>
      <c r="B1390" s="1" t="n">
        <v>45302</v>
      </c>
      <c r="C1390" s="1" t="n">
        <v>45788</v>
      </c>
      <c r="D1390" t="inlineStr">
        <is>
          <t>JÄMTLANDS LÄN</t>
        </is>
      </c>
      <c r="E1390" t="inlineStr">
        <is>
          <t>RAGUNDA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1465-2024</t>
        </is>
      </c>
      <c r="B1391" s="1" t="n">
        <v>45304</v>
      </c>
      <c r="C1391" s="1" t="n">
        <v>45788</v>
      </c>
      <c r="D1391" t="inlineStr">
        <is>
          <t>JÄMTLANDS LÄN</t>
        </is>
      </c>
      <c r="E1391" t="inlineStr">
        <is>
          <t>RAGUNDA</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1466-2024</t>
        </is>
      </c>
      <c r="B1392" s="1" t="n">
        <v>45304</v>
      </c>
      <c r="C1392" s="1" t="n">
        <v>45788</v>
      </c>
      <c r="D1392" t="inlineStr">
        <is>
          <t>JÄMTLANDS LÄN</t>
        </is>
      </c>
      <c r="E1392" t="inlineStr">
        <is>
          <t>RAGUNDA</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1523-2024</t>
        </is>
      </c>
      <c r="B1393" s="1" t="n">
        <v>45306</v>
      </c>
      <c r="C1393" s="1" t="n">
        <v>45788</v>
      </c>
      <c r="D1393" t="inlineStr">
        <is>
          <t>JÄMTLANDS LÄN</t>
        </is>
      </c>
      <c r="E1393" t="inlineStr">
        <is>
          <t>RAGUNDA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1554-2024</t>
        </is>
      </c>
      <c r="B1394" s="1" t="n">
        <v>45306</v>
      </c>
      <c r="C1394" s="1" t="n">
        <v>45788</v>
      </c>
      <c r="D1394" t="inlineStr">
        <is>
          <t>JÄMTLANDS LÄN</t>
        </is>
      </c>
      <c r="E1394" t="inlineStr">
        <is>
          <t>RAGUNDA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1537-2024</t>
        </is>
      </c>
      <c r="B1395" s="1" t="n">
        <v>45306</v>
      </c>
      <c r="C1395" s="1" t="n">
        <v>45788</v>
      </c>
      <c r="D1395" t="inlineStr">
        <is>
          <t>JÄMTLANDS LÄN</t>
        </is>
      </c>
      <c r="E1395" t="inlineStr">
        <is>
          <t>RAGUNDA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1884-2024</t>
        </is>
      </c>
      <c r="B1396" s="1" t="n">
        <v>45307</v>
      </c>
      <c r="C1396" s="1" t="n">
        <v>45788</v>
      </c>
      <c r="D1396" t="inlineStr">
        <is>
          <t>JÄMTLANDS LÄN</t>
        </is>
      </c>
      <c r="E1396" t="inlineStr">
        <is>
          <t>RAGUNDA</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1888-2024</t>
        </is>
      </c>
      <c r="B1397" s="1" t="n">
        <v>45308</v>
      </c>
      <c r="C1397" s="1" t="n">
        <v>45788</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1887-2024</t>
        </is>
      </c>
      <c r="B1398" s="1" t="n">
        <v>45308</v>
      </c>
      <c r="C1398" s="1" t="n">
        <v>45788</v>
      </c>
      <c r="D1398" t="inlineStr">
        <is>
          <t>JÄMTLANDS LÄN</t>
        </is>
      </c>
      <c r="E1398" t="inlineStr">
        <is>
          <t>RAGUNDA</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1889-2024</t>
        </is>
      </c>
      <c r="B1399" s="1" t="n">
        <v>45308</v>
      </c>
      <c r="C1399" s="1" t="n">
        <v>45788</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2143-2024</t>
        </is>
      </c>
      <c r="B1400" s="1" t="n">
        <v>45309</v>
      </c>
      <c r="C1400" s="1" t="n">
        <v>45788</v>
      </c>
      <c r="D1400" t="inlineStr">
        <is>
          <t>JÄMTLANDS LÄN</t>
        </is>
      </c>
      <c r="E1400" t="inlineStr">
        <is>
          <t>RAGUNDA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2224-2024</t>
        </is>
      </c>
      <c r="B1401" s="1" t="n">
        <v>45309</v>
      </c>
      <c r="C1401" s="1" t="n">
        <v>45788</v>
      </c>
      <c r="D1401" t="inlineStr">
        <is>
          <t>JÄMTLANDS LÄN</t>
        </is>
      </c>
      <c r="E1401" t="inlineStr">
        <is>
          <t>RAGUNDA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2241-2024</t>
        </is>
      </c>
      <c r="B1402" s="1" t="n">
        <v>45309</v>
      </c>
      <c r="C1402" s="1" t="n">
        <v>45788</v>
      </c>
      <c r="D1402" t="inlineStr">
        <is>
          <t>JÄMTLANDS LÄN</t>
        </is>
      </c>
      <c r="E1402" t="inlineStr">
        <is>
          <t>RAGUNDA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2245-2024</t>
        </is>
      </c>
      <c r="B1403" s="1" t="n">
        <v>45309</v>
      </c>
      <c r="C1403" s="1" t="n">
        <v>45788</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2242-2024</t>
        </is>
      </c>
      <c r="B1404" s="1" t="n">
        <v>45309</v>
      </c>
      <c r="C1404" s="1" t="n">
        <v>45788</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2248-2024</t>
        </is>
      </c>
      <c r="B1405" s="1" t="n">
        <v>45309</v>
      </c>
      <c r="C1405" s="1" t="n">
        <v>45788</v>
      </c>
      <c r="D1405" t="inlineStr">
        <is>
          <t>JÄMTLANDS LÄN</t>
        </is>
      </c>
      <c r="E1405" t="inlineStr">
        <is>
          <t>RAGUNDA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2240-2024</t>
        </is>
      </c>
      <c r="B1406" s="1" t="n">
        <v>45309</v>
      </c>
      <c r="C1406" s="1" t="n">
        <v>45788</v>
      </c>
      <c r="D1406" t="inlineStr">
        <is>
          <t>JÄMTLANDS LÄN</t>
        </is>
      </c>
      <c r="E1406" t="inlineStr">
        <is>
          <t>RAGUNDA</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2244-2024</t>
        </is>
      </c>
      <c r="B1407" s="1" t="n">
        <v>45309</v>
      </c>
      <c r="C1407" s="1" t="n">
        <v>45788</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2243-2024</t>
        </is>
      </c>
      <c r="B1408" s="1" t="n">
        <v>45309</v>
      </c>
      <c r="C1408" s="1" t="n">
        <v>45788</v>
      </c>
      <c r="D1408" t="inlineStr">
        <is>
          <t>JÄMTLANDS LÄN</t>
        </is>
      </c>
      <c r="E1408" t="inlineStr">
        <is>
          <t>RAGUNDA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2424-2024</t>
        </is>
      </c>
      <c r="B1409" s="1" t="n">
        <v>45310</v>
      </c>
      <c r="C1409" s="1" t="n">
        <v>45788</v>
      </c>
      <c r="D1409" t="inlineStr">
        <is>
          <t>JÄMTLANDS LÄN</t>
        </is>
      </c>
      <c r="E1409" t="inlineStr">
        <is>
          <t>RAGUNDA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2629-2024</t>
        </is>
      </c>
      <c r="B1410" s="1" t="n">
        <v>45313</v>
      </c>
      <c r="C1410" s="1" t="n">
        <v>45788</v>
      </c>
      <c r="D1410" t="inlineStr">
        <is>
          <t>JÄMTLANDS LÄN</t>
        </is>
      </c>
      <c r="E1410" t="inlineStr">
        <is>
          <t>RAGUNDA</t>
        </is>
      </c>
      <c r="F1410" t="inlineStr">
        <is>
          <t>SCA</t>
        </is>
      </c>
      <c r="G1410" t="n">
        <v>40.9</v>
      </c>
      <c r="H1410" t="n">
        <v>0</v>
      </c>
      <c r="I1410" t="n">
        <v>0</v>
      </c>
      <c r="J1410" t="n">
        <v>0</v>
      </c>
      <c r="K1410" t="n">
        <v>0</v>
      </c>
      <c r="L1410" t="n">
        <v>0</v>
      </c>
      <c r="M1410" t="n">
        <v>0</v>
      </c>
      <c r="N1410" t="n">
        <v>0</v>
      </c>
      <c r="O1410" t="n">
        <v>0</v>
      </c>
      <c r="P1410" t="n">
        <v>0</v>
      </c>
      <c r="Q1410" t="n">
        <v>0</v>
      </c>
      <c r="R1410" s="2" t="inlineStr"/>
    </row>
    <row r="1411" ht="15" customHeight="1">
      <c r="A1411" t="inlineStr">
        <is>
          <t>A 2630-2024</t>
        </is>
      </c>
      <c r="B1411" s="1" t="n">
        <v>45313</v>
      </c>
      <c r="C1411" s="1" t="n">
        <v>45788</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2673-2024</t>
        </is>
      </c>
      <c r="B1412" s="1" t="n">
        <v>45314</v>
      </c>
      <c r="C1412" s="1" t="n">
        <v>45788</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2751-2024</t>
        </is>
      </c>
      <c r="B1413" s="1" t="n">
        <v>45314</v>
      </c>
      <c r="C1413" s="1" t="n">
        <v>45788</v>
      </c>
      <c r="D1413" t="inlineStr">
        <is>
          <t>JÄMTLANDS LÄN</t>
        </is>
      </c>
      <c r="E1413" t="inlineStr">
        <is>
          <t>RAGUNDA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2678-2024</t>
        </is>
      </c>
      <c r="B1414" s="1" t="n">
        <v>45314</v>
      </c>
      <c r="C1414" s="1" t="n">
        <v>45788</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2834-2024</t>
        </is>
      </c>
      <c r="B1415" s="1" t="n">
        <v>45314</v>
      </c>
      <c r="C1415" s="1" t="n">
        <v>45788</v>
      </c>
      <c r="D1415" t="inlineStr">
        <is>
          <t>JÄMTLANDS LÄN</t>
        </is>
      </c>
      <c r="E1415" t="inlineStr">
        <is>
          <t>RAGUNDA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2831-2024</t>
        </is>
      </c>
      <c r="B1416" s="1" t="n">
        <v>45314</v>
      </c>
      <c r="C1416" s="1" t="n">
        <v>45788</v>
      </c>
      <c r="D1416" t="inlineStr">
        <is>
          <t>JÄMTLANDS LÄN</t>
        </is>
      </c>
      <c r="E1416" t="inlineStr">
        <is>
          <t>RAGUNDA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3016-2024</t>
        </is>
      </c>
      <c r="B1417" s="1" t="n">
        <v>45315</v>
      </c>
      <c r="C1417" s="1" t="n">
        <v>45788</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3018-2024</t>
        </is>
      </c>
      <c r="B1418" s="1" t="n">
        <v>45315</v>
      </c>
      <c r="C1418" s="1" t="n">
        <v>45788</v>
      </c>
      <c r="D1418" t="inlineStr">
        <is>
          <t>JÄMTLANDS LÄN</t>
        </is>
      </c>
      <c r="E1418" t="inlineStr">
        <is>
          <t>RAGUNDA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3240-2024</t>
        </is>
      </c>
      <c r="B1419" s="1" t="n">
        <v>45316</v>
      </c>
      <c r="C1419" s="1" t="n">
        <v>45788</v>
      </c>
      <c r="D1419" t="inlineStr">
        <is>
          <t>JÄMTLANDS LÄN</t>
        </is>
      </c>
      <c r="E1419" t="inlineStr">
        <is>
          <t>RAGUNDA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3635-2024</t>
        </is>
      </c>
      <c r="B1420" s="1" t="n">
        <v>45320</v>
      </c>
      <c r="C1420" s="1" t="n">
        <v>45788</v>
      </c>
      <c r="D1420" t="inlineStr">
        <is>
          <t>JÄMTLANDS LÄN</t>
        </is>
      </c>
      <c r="E1420" t="inlineStr">
        <is>
          <t>RAGUNDA</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3938-2024</t>
        </is>
      </c>
      <c r="B1421" s="1" t="n">
        <v>45322</v>
      </c>
      <c r="C1421" s="1" t="n">
        <v>45788</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3992-2024</t>
        </is>
      </c>
      <c r="B1422" s="1" t="n">
        <v>45322</v>
      </c>
      <c r="C1422" s="1" t="n">
        <v>45788</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4125-2024</t>
        </is>
      </c>
      <c r="B1423" s="1" t="n">
        <v>45323</v>
      </c>
      <c r="C1423" s="1" t="n">
        <v>45788</v>
      </c>
      <c r="D1423" t="inlineStr">
        <is>
          <t>JÄMTLANDS LÄN</t>
        </is>
      </c>
      <c r="E1423" t="inlineStr">
        <is>
          <t>RAGUNDA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4212-2024</t>
        </is>
      </c>
      <c r="B1424" s="1" t="n">
        <v>45324</v>
      </c>
      <c r="C1424" s="1" t="n">
        <v>45788</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4249-2024</t>
        </is>
      </c>
      <c r="B1425" s="1" t="n">
        <v>45324</v>
      </c>
      <c r="C1425" s="1" t="n">
        <v>45788</v>
      </c>
      <c r="D1425" t="inlineStr">
        <is>
          <t>JÄMTLANDS LÄN</t>
        </is>
      </c>
      <c r="E1425" t="inlineStr">
        <is>
          <t>RAGUNDA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4594-2024</t>
        </is>
      </c>
      <c r="B1426" s="1" t="n">
        <v>45327</v>
      </c>
      <c r="C1426" s="1" t="n">
        <v>45788</v>
      </c>
      <c r="D1426" t="inlineStr">
        <is>
          <t>JÄMTLANDS LÄN</t>
        </is>
      </c>
      <c r="E1426" t="inlineStr">
        <is>
          <t>RAGUNDA</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4592-2024</t>
        </is>
      </c>
      <c r="B1427" s="1" t="n">
        <v>45327</v>
      </c>
      <c r="C1427" s="1" t="n">
        <v>45788</v>
      </c>
      <c r="D1427" t="inlineStr">
        <is>
          <t>JÄMTLANDS LÄN</t>
        </is>
      </c>
      <c r="E1427" t="inlineStr">
        <is>
          <t>RAGUNDA</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4591-2024</t>
        </is>
      </c>
      <c r="B1428" s="1" t="n">
        <v>45327</v>
      </c>
      <c r="C1428" s="1" t="n">
        <v>45788</v>
      </c>
      <c r="D1428" t="inlineStr">
        <is>
          <t>JÄMTLANDS LÄN</t>
        </is>
      </c>
      <c r="E1428" t="inlineStr">
        <is>
          <t>RAGUNDA</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4820-2024</t>
        </is>
      </c>
      <c r="B1429" s="1" t="n">
        <v>45328</v>
      </c>
      <c r="C1429" s="1" t="n">
        <v>45788</v>
      </c>
      <c r="D1429" t="inlineStr">
        <is>
          <t>JÄMTLANDS LÄN</t>
        </is>
      </c>
      <c r="E1429" t="inlineStr">
        <is>
          <t>RAGUNDA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4822-2024</t>
        </is>
      </c>
      <c r="B1430" s="1" t="n">
        <v>45328</v>
      </c>
      <c r="C1430" s="1" t="n">
        <v>45788</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4811-2024</t>
        </is>
      </c>
      <c r="B1431" s="1" t="n">
        <v>45328</v>
      </c>
      <c r="C1431" s="1" t="n">
        <v>45788</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4936-2024</t>
        </is>
      </c>
      <c r="B1432" s="1" t="n">
        <v>45329</v>
      </c>
      <c r="C1432" s="1" t="n">
        <v>45788</v>
      </c>
      <c r="D1432" t="inlineStr">
        <is>
          <t>JÄMTLANDS LÄN</t>
        </is>
      </c>
      <c r="E1432" t="inlineStr">
        <is>
          <t>RAGUNDA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5067-2024</t>
        </is>
      </c>
      <c r="B1433" s="1" t="n">
        <v>45329</v>
      </c>
      <c r="C1433" s="1" t="n">
        <v>45788</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5250-2024</t>
        </is>
      </c>
      <c r="B1434" s="1" t="n">
        <v>45330</v>
      </c>
      <c r="C1434" s="1" t="n">
        <v>45788</v>
      </c>
      <c r="D1434" t="inlineStr">
        <is>
          <t>JÄMTLANDS LÄN</t>
        </is>
      </c>
      <c r="E1434" t="inlineStr">
        <is>
          <t>RAGUNDA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5263-2024</t>
        </is>
      </c>
      <c r="B1435" s="1" t="n">
        <v>45331</v>
      </c>
      <c r="C1435" s="1" t="n">
        <v>45788</v>
      </c>
      <c r="D1435" t="inlineStr">
        <is>
          <t>JÄMTLANDS LÄN</t>
        </is>
      </c>
      <c r="E1435" t="inlineStr">
        <is>
          <t>RAGUNDA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5429-2024</t>
        </is>
      </c>
      <c r="B1436" s="1" t="n">
        <v>45331</v>
      </c>
      <c r="C1436" s="1" t="n">
        <v>45788</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6267-2024</t>
        </is>
      </c>
      <c r="B1437" s="1" t="n">
        <v>45337</v>
      </c>
      <c r="C1437" s="1" t="n">
        <v>45788</v>
      </c>
      <c r="D1437" t="inlineStr">
        <is>
          <t>JÄMTLANDS LÄN</t>
        </is>
      </c>
      <c r="E1437" t="inlineStr">
        <is>
          <t>RAGUNDA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6477-2024</t>
        </is>
      </c>
      <c r="B1438" s="1" t="n">
        <v>45338</v>
      </c>
      <c r="C1438" s="1" t="n">
        <v>45788</v>
      </c>
      <c r="D1438" t="inlineStr">
        <is>
          <t>JÄMTLANDS LÄN</t>
        </is>
      </c>
      <c r="E1438" t="inlineStr">
        <is>
          <t>RAGUNDA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6687-2024</t>
        </is>
      </c>
      <c r="B1439" s="1" t="n">
        <v>45341</v>
      </c>
      <c r="C1439" s="1" t="n">
        <v>45788</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6694-2024</t>
        </is>
      </c>
      <c r="B1440" s="1" t="n">
        <v>45341</v>
      </c>
      <c r="C1440" s="1" t="n">
        <v>45788</v>
      </c>
      <c r="D1440" t="inlineStr">
        <is>
          <t>JÄMTLANDS LÄN</t>
        </is>
      </c>
      <c r="E1440" t="inlineStr">
        <is>
          <t>RAGUNDA</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6688-2024</t>
        </is>
      </c>
      <c r="B1441" s="1" t="n">
        <v>45341</v>
      </c>
      <c r="C1441" s="1" t="n">
        <v>45788</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6736-2024</t>
        </is>
      </c>
      <c r="B1442" s="1" t="n">
        <v>45342</v>
      </c>
      <c r="C1442" s="1" t="n">
        <v>45788</v>
      </c>
      <c r="D1442" t="inlineStr">
        <is>
          <t>JÄMTLANDS LÄN</t>
        </is>
      </c>
      <c r="E1442" t="inlineStr">
        <is>
          <t>RAGUNDA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6902-2024</t>
        </is>
      </c>
      <c r="B1443" s="1" t="n">
        <v>45342</v>
      </c>
      <c r="C1443" s="1" t="n">
        <v>45788</v>
      </c>
      <c r="D1443" t="inlineStr">
        <is>
          <t>JÄMTLANDS LÄN</t>
        </is>
      </c>
      <c r="E1443" t="inlineStr">
        <is>
          <t>RAGUNDA</t>
        </is>
      </c>
      <c r="F1443" t="inlineStr">
        <is>
          <t>SCA</t>
        </is>
      </c>
      <c r="G1443" t="n">
        <v>18.7</v>
      </c>
      <c r="H1443" t="n">
        <v>0</v>
      </c>
      <c r="I1443" t="n">
        <v>0</v>
      </c>
      <c r="J1443" t="n">
        <v>0</v>
      </c>
      <c r="K1443" t="n">
        <v>0</v>
      </c>
      <c r="L1443" t="n">
        <v>0</v>
      </c>
      <c r="M1443" t="n">
        <v>0</v>
      </c>
      <c r="N1443" t="n">
        <v>0</v>
      </c>
      <c r="O1443" t="n">
        <v>0</v>
      </c>
      <c r="P1443" t="n">
        <v>0</v>
      </c>
      <c r="Q1443" t="n">
        <v>0</v>
      </c>
      <c r="R1443" s="2" t="inlineStr"/>
    </row>
    <row r="1444" ht="15" customHeight="1">
      <c r="A1444" t="inlineStr">
        <is>
          <t>A 6905-2024</t>
        </is>
      </c>
      <c r="B1444" s="1" t="n">
        <v>45342</v>
      </c>
      <c r="C1444" s="1" t="n">
        <v>45788</v>
      </c>
      <c r="D1444" t="inlineStr">
        <is>
          <t>JÄMTLANDS LÄN</t>
        </is>
      </c>
      <c r="E1444" t="inlineStr">
        <is>
          <t>RAGUNDA</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6929-2024</t>
        </is>
      </c>
      <c r="B1445" s="1" t="n">
        <v>45343</v>
      </c>
      <c r="C1445" s="1" t="n">
        <v>45788</v>
      </c>
      <c r="D1445" t="inlineStr">
        <is>
          <t>JÄMTLANDS LÄN</t>
        </is>
      </c>
      <c r="E1445" t="inlineStr">
        <is>
          <t>RAGUNDA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7279-2024</t>
        </is>
      </c>
      <c r="B1446" s="1" t="n">
        <v>45344</v>
      </c>
      <c r="C1446" s="1" t="n">
        <v>45788</v>
      </c>
      <c r="D1446" t="inlineStr">
        <is>
          <t>JÄMTLANDS LÄN</t>
        </is>
      </c>
      <c r="E1446" t="inlineStr">
        <is>
          <t>RAGUNDA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7281-2024</t>
        </is>
      </c>
      <c r="B1447" s="1" t="n">
        <v>45344</v>
      </c>
      <c r="C1447" s="1" t="n">
        <v>45788</v>
      </c>
      <c r="D1447" t="inlineStr">
        <is>
          <t>JÄMTLANDS LÄN</t>
        </is>
      </c>
      <c r="E1447" t="inlineStr">
        <is>
          <t>RAGUNDA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7285-2024</t>
        </is>
      </c>
      <c r="B1448" s="1" t="n">
        <v>45344</v>
      </c>
      <c r="C1448" s="1" t="n">
        <v>45788</v>
      </c>
      <c r="D1448" t="inlineStr">
        <is>
          <t>JÄMTLANDS LÄN</t>
        </is>
      </c>
      <c r="E1448" t="inlineStr">
        <is>
          <t>RAGUNDA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7280-2024</t>
        </is>
      </c>
      <c r="B1449" s="1" t="n">
        <v>45344</v>
      </c>
      <c r="C1449" s="1" t="n">
        <v>45788</v>
      </c>
      <c r="D1449" t="inlineStr">
        <is>
          <t>JÄMTLANDS LÄN</t>
        </is>
      </c>
      <c r="E1449" t="inlineStr">
        <is>
          <t>RAGUNDA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7284-2024</t>
        </is>
      </c>
      <c r="B1450" s="1" t="n">
        <v>45344</v>
      </c>
      <c r="C1450" s="1" t="n">
        <v>45788</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7850-2024</t>
        </is>
      </c>
      <c r="B1451" s="1" t="n">
        <v>45350</v>
      </c>
      <c r="C1451" s="1" t="n">
        <v>45788</v>
      </c>
      <c r="D1451" t="inlineStr">
        <is>
          <t>JÄMTLANDS LÄN</t>
        </is>
      </c>
      <c r="E1451" t="inlineStr">
        <is>
          <t>RAGUNDA</t>
        </is>
      </c>
      <c r="F1451" t="inlineStr">
        <is>
          <t>SCA</t>
        </is>
      </c>
      <c r="G1451" t="n">
        <v>27.8</v>
      </c>
      <c r="H1451" t="n">
        <v>0</v>
      </c>
      <c r="I1451" t="n">
        <v>0</v>
      </c>
      <c r="J1451" t="n">
        <v>0</v>
      </c>
      <c r="K1451" t="n">
        <v>0</v>
      </c>
      <c r="L1451" t="n">
        <v>0</v>
      </c>
      <c r="M1451" t="n">
        <v>0</v>
      </c>
      <c r="N1451" t="n">
        <v>0</v>
      </c>
      <c r="O1451" t="n">
        <v>0</v>
      </c>
      <c r="P1451" t="n">
        <v>0</v>
      </c>
      <c r="Q1451" t="n">
        <v>0</v>
      </c>
      <c r="R1451" s="2" t="inlineStr"/>
    </row>
    <row r="1452" ht="15" customHeight="1">
      <c r="A1452" t="inlineStr">
        <is>
          <t>A 7855-2024</t>
        </is>
      </c>
      <c r="B1452" s="1" t="n">
        <v>45350</v>
      </c>
      <c r="C1452" s="1" t="n">
        <v>45788</v>
      </c>
      <c r="D1452" t="inlineStr">
        <is>
          <t>JÄMTLANDS LÄN</t>
        </is>
      </c>
      <c r="E1452" t="inlineStr">
        <is>
          <t>RAGUNDA</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8241-2024</t>
        </is>
      </c>
      <c r="B1453" s="1" t="n">
        <v>45352</v>
      </c>
      <c r="C1453" s="1" t="n">
        <v>45788</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8243-2024</t>
        </is>
      </c>
      <c r="B1454" s="1" t="n">
        <v>45352</v>
      </c>
      <c r="C1454" s="1" t="n">
        <v>45788</v>
      </c>
      <c r="D1454" t="inlineStr">
        <is>
          <t>JÄMTLANDS LÄN</t>
        </is>
      </c>
      <c r="E1454" t="inlineStr">
        <is>
          <t>RAGUNDA</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8639-2024</t>
        </is>
      </c>
      <c r="B1455" s="1" t="n">
        <v>45356</v>
      </c>
      <c r="C1455" s="1" t="n">
        <v>45788</v>
      </c>
      <c r="D1455" t="inlineStr">
        <is>
          <t>JÄMTLANDS LÄN</t>
        </is>
      </c>
      <c r="E1455" t="inlineStr">
        <is>
          <t>RAGUNDA</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8643-2024</t>
        </is>
      </c>
      <c r="B1456" s="1" t="n">
        <v>45356</v>
      </c>
      <c r="C1456" s="1" t="n">
        <v>45788</v>
      </c>
      <c r="D1456" t="inlineStr">
        <is>
          <t>JÄMTLANDS LÄN</t>
        </is>
      </c>
      <c r="E1456" t="inlineStr">
        <is>
          <t>RAGUNDA</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8644-2024</t>
        </is>
      </c>
      <c r="B1457" s="1" t="n">
        <v>45356</v>
      </c>
      <c r="C1457" s="1" t="n">
        <v>45788</v>
      </c>
      <c r="D1457" t="inlineStr">
        <is>
          <t>JÄMTLANDS LÄN</t>
        </is>
      </c>
      <c r="E1457" t="inlineStr">
        <is>
          <t>RAGUNDA</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8642-2024</t>
        </is>
      </c>
      <c r="B1458" s="1" t="n">
        <v>45356</v>
      </c>
      <c r="C1458" s="1" t="n">
        <v>45788</v>
      </c>
      <c r="D1458" t="inlineStr">
        <is>
          <t>JÄMTLANDS LÄN</t>
        </is>
      </c>
      <c r="E1458" t="inlineStr">
        <is>
          <t>RAGUNDA</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8654-2024</t>
        </is>
      </c>
      <c r="B1459" s="1" t="n">
        <v>45356</v>
      </c>
      <c r="C1459" s="1" t="n">
        <v>45788</v>
      </c>
      <c r="D1459" t="inlineStr">
        <is>
          <t>JÄMTLANDS LÄN</t>
        </is>
      </c>
      <c r="E1459" t="inlineStr">
        <is>
          <t>RAGUNDA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8886-2024</t>
        </is>
      </c>
      <c r="B1460" s="1" t="n">
        <v>45357</v>
      </c>
      <c r="C1460" s="1" t="n">
        <v>45788</v>
      </c>
      <c r="D1460" t="inlineStr">
        <is>
          <t>JÄMTLANDS LÄN</t>
        </is>
      </c>
      <c r="E1460" t="inlineStr">
        <is>
          <t>RAGUNDA</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9326-2024</t>
        </is>
      </c>
      <c r="B1461" s="1" t="n">
        <v>45358</v>
      </c>
      <c r="C1461" s="1" t="n">
        <v>45788</v>
      </c>
      <c r="D1461" t="inlineStr">
        <is>
          <t>JÄMTLANDS LÄN</t>
        </is>
      </c>
      <c r="E1461" t="inlineStr">
        <is>
          <t>RAGUNDA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9325-2024</t>
        </is>
      </c>
      <c r="B1462" s="1" t="n">
        <v>45358</v>
      </c>
      <c r="C1462" s="1" t="n">
        <v>45788</v>
      </c>
      <c r="D1462" t="inlineStr">
        <is>
          <t>JÄMTLANDS LÄN</t>
        </is>
      </c>
      <c r="E1462" t="inlineStr">
        <is>
          <t>RAGUNDA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9560-2024</t>
        </is>
      </c>
      <c r="B1463" s="1" t="n">
        <v>45360</v>
      </c>
      <c r="C1463" s="1" t="n">
        <v>45788</v>
      </c>
      <c r="D1463" t="inlineStr">
        <is>
          <t>JÄMTLANDS LÄN</t>
        </is>
      </c>
      <c r="E1463" t="inlineStr">
        <is>
          <t>RAGUNDA</t>
        </is>
      </c>
      <c r="F1463" t="inlineStr">
        <is>
          <t>SCA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10196-2024</t>
        </is>
      </c>
      <c r="B1464" s="1" t="n">
        <v>45364</v>
      </c>
      <c r="C1464" s="1" t="n">
        <v>45788</v>
      </c>
      <c r="D1464" t="inlineStr">
        <is>
          <t>JÄMTLANDS LÄN</t>
        </is>
      </c>
      <c r="E1464" t="inlineStr">
        <is>
          <t>RAGUNDA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10197-2024</t>
        </is>
      </c>
      <c r="B1465" s="1" t="n">
        <v>45364</v>
      </c>
      <c r="C1465" s="1" t="n">
        <v>45788</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10205-2024</t>
        </is>
      </c>
      <c r="B1466" s="1" t="n">
        <v>45364</v>
      </c>
      <c r="C1466" s="1" t="n">
        <v>45788</v>
      </c>
      <c r="D1466" t="inlineStr">
        <is>
          <t>JÄMTLANDS LÄN</t>
        </is>
      </c>
      <c r="E1466" t="inlineStr">
        <is>
          <t>RAGUNDA</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10194-2024</t>
        </is>
      </c>
      <c r="B1467" s="1" t="n">
        <v>45364</v>
      </c>
      <c r="C1467" s="1" t="n">
        <v>45788</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10217-2024</t>
        </is>
      </c>
      <c r="B1468" s="1" t="n">
        <v>45364</v>
      </c>
      <c r="C1468" s="1" t="n">
        <v>45788</v>
      </c>
      <c r="D1468" t="inlineStr">
        <is>
          <t>JÄMTLANDS LÄN</t>
        </is>
      </c>
      <c r="E1468" t="inlineStr">
        <is>
          <t>RAGUNDA</t>
        </is>
      </c>
      <c r="F1468" t="inlineStr">
        <is>
          <t>SCA</t>
        </is>
      </c>
      <c r="G1468" t="n">
        <v>4.6</v>
      </c>
      <c r="H1468" t="n">
        <v>0</v>
      </c>
      <c r="I1468" t="n">
        <v>0</v>
      </c>
      <c r="J1468" t="n">
        <v>0</v>
      </c>
      <c r="K1468" t="n">
        <v>0</v>
      </c>
      <c r="L1468" t="n">
        <v>0</v>
      </c>
      <c r="M1468" t="n">
        <v>0</v>
      </c>
      <c r="N1468" t="n">
        <v>0</v>
      </c>
      <c r="O1468" t="n">
        <v>0</v>
      </c>
      <c r="P1468" t="n">
        <v>0</v>
      </c>
      <c r="Q1468" t="n">
        <v>0</v>
      </c>
      <c r="R1468" s="2" t="inlineStr"/>
      <c r="U1468">
        <f>HYPERLINK("https://klasma.github.io/Logging_2303/knärot/A 10217-2024 karta knärot.png", "A 10217-2024")</f>
        <v/>
      </c>
      <c r="V1468">
        <f>HYPERLINK("https://klasma.github.io/Logging_2303/klagomål/A 10217-2024 FSC-klagomål.docx", "A 10217-2024")</f>
        <v/>
      </c>
      <c r="W1468">
        <f>HYPERLINK("https://klasma.github.io/Logging_2303/klagomålsmail/A 10217-2024 FSC-klagomål mail.docx", "A 10217-2024")</f>
        <v/>
      </c>
      <c r="X1468">
        <f>HYPERLINK("https://klasma.github.io/Logging_2303/tillsyn/A 10217-2024 tillsynsbegäran.docx", "A 10217-2024")</f>
        <v/>
      </c>
      <c r="Y1468">
        <f>HYPERLINK("https://klasma.github.io/Logging_2303/tillsynsmail/A 10217-2024 tillsynsbegäran mail.docx", "A 10217-2024")</f>
        <v/>
      </c>
    </row>
    <row r="1469" ht="15" customHeight="1">
      <c r="A1469" t="inlineStr">
        <is>
          <t>A 10644-2024</t>
        </is>
      </c>
      <c r="B1469" s="1" t="n">
        <v>45367</v>
      </c>
      <c r="C1469" s="1" t="n">
        <v>45788</v>
      </c>
      <c r="D1469" t="inlineStr">
        <is>
          <t>JÄMTLANDS LÄN</t>
        </is>
      </c>
      <c r="E1469" t="inlineStr">
        <is>
          <t>RAGUNDA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10639-2024</t>
        </is>
      </c>
      <c r="B1470" s="1" t="n">
        <v>45367</v>
      </c>
      <c r="C1470" s="1" t="n">
        <v>45788</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10610-2024</t>
        </is>
      </c>
      <c r="B1471" s="1" t="n">
        <v>45367</v>
      </c>
      <c r="C1471" s="1" t="n">
        <v>45788</v>
      </c>
      <c r="D1471" t="inlineStr">
        <is>
          <t>JÄMTLANDS LÄN</t>
        </is>
      </c>
      <c r="E1471" t="inlineStr">
        <is>
          <t>RAGUNDA</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10614-2024</t>
        </is>
      </c>
      <c r="B1472" s="1" t="n">
        <v>45367</v>
      </c>
      <c r="C1472" s="1" t="n">
        <v>45788</v>
      </c>
      <c r="D1472" t="inlineStr">
        <is>
          <t>JÄMTLANDS LÄN</t>
        </is>
      </c>
      <c r="E1472" t="inlineStr">
        <is>
          <t>RAGUNDA</t>
        </is>
      </c>
      <c r="F1472" t="inlineStr">
        <is>
          <t>SCA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10609-2024</t>
        </is>
      </c>
      <c r="B1473" s="1" t="n">
        <v>45367</v>
      </c>
      <c r="C1473" s="1" t="n">
        <v>45788</v>
      </c>
      <c r="D1473" t="inlineStr">
        <is>
          <t>JÄMTLANDS LÄN</t>
        </is>
      </c>
      <c r="E1473" t="inlineStr">
        <is>
          <t>RAGUNDA</t>
        </is>
      </c>
      <c r="F1473" t="inlineStr">
        <is>
          <t>SCA</t>
        </is>
      </c>
      <c r="G1473" t="n">
        <v>20.3</v>
      </c>
      <c r="H1473" t="n">
        <v>0</v>
      </c>
      <c r="I1473" t="n">
        <v>0</v>
      </c>
      <c r="J1473" t="n">
        <v>0</v>
      </c>
      <c r="K1473" t="n">
        <v>0</v>
      </c>
      <c r="L1473" t="n">
        <v>0</v>
      </c>
      <c r="M1473" t="n">
        <v>0</v>
      </c>
      <c r="N1473" t="n">
        <v>0</v>
      </c>
      <c r="O1473" t="n">
        <v>0</v>
      </c>
      <c r="P1473" t="n">
        <v>0</v>
      </c>
      <c r="Q1473" t="n">
        <v>0</v>
      </c>
      <c r="R1473" s="2" t="inlineStr"/>
    </row>
    <row r="1474" ht="15" customHeight="1">
      <c r="A1474" t="inlineStr">
        <is>
          <t>A 10613-2024</t>
        </is>
      </c>
      <c r="B1474" s="1" t="n">
        <v>45367</v>
      </c>
      <c r="C1474" s="1" t="n">
        <v>45788</v>
      </c>
      <c r="D1474" t="inlineStr">
        <is>
          <t>JÄMTLANDS LÄN</t>
        </is>
      </c>
      <c r="E1474" t="inlineStr">
        <is>
          <t>RAGUNDA</t>
        </is>
      </c>
      <c r="F1474" t="inlineStr">
        <is>
          <t>SCA</t>
        </is>
      </c>
      <c r="G1474" t="n">
        <v>18.2</v>
      </c>
      <c r="H1474" t="n">
        <v>0</v>
      </c>
      <c r="I1474" t="n">
        <v>0</v>
      </c>
      <c r="J1474" t="n">
        <v>0</v>
      </c>
      <c r="K1474" t="n">
        <v>0</v>
      </c>
      <c r="L1474" t="n">
        <v>0</v>
      </c>
      <c r="M1474" t="n">
        <v>0</v>
      </c>
      <c r="N1474" t="n">
        <v>0</v>
      </c>
      <c r="O1474" t="n">
        <v>0</v>
      </c>
      <c r="P1474" t="n">
        <v>0</v>
      </c>
      <c r="Q1474" t="n">
        <v>0</v>
      </c>
      <c r="R1474" s="2" t="inlineStr"/>
    </row>
    <row r="1475" ht="15" customHeight="1">
      <c r="A1475" t="inlineStr">
        <is>
          <t>A 10641-2024</t>
        </is>
      </c>
      <c r="B1475" s="1" t="n">
        <v>45367</v>
      </c>
      <c r="C1475" s="1" t="n">
        <v>45788</v>
      </c>
      <c r="D1475" t="inlineStr">
        <is>
          <t>JÄMTLANDS LÄN</t>
        </is>
      </c>
      <c r="E1475" t="inlineStr">
        <is>
          <t>RAGUNDA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10867-2024</t>
        </is>
      </c>
      <c r="B1476" s="1" t="n">
        <v>45370</v>
      </c>
      <c r="C1476" s="1" t="n">
        <v>45788</v>
      </c>
      <c r="D1476" t="inlineStr">
        <is>
          <t>JÄMTLANDS LÄN</t>
        </is>
      </c>
      <c r="E1476" t="inlineStr">
        <is>
          <t>RAGUNDA</t>
        </is>
      </c>
      <c r="F1476" t="inlineStr">
        <is>
          <t>SCA</t>
        </is>
      </c>
      <c r="G1476" t="n">
        <v>20.8</v>
      </c>
      <c r="H1476" t="n">
        <v>0</v>
      </c>
      <c r="I1476" t="n">
        <v>0</v>
      </c>
      <c r="J1476" t="n">
        <v>0</v>
      </c>
      <c r="K1476" t="n">
        <v>0</v>
      </c>
      <c r="L1476" t="n">
        <v>0</v>
      </c>
      <c r="M1476" t="n">
        <v>0</v>
      </c>
      <c r="N1476" t="n">
        <v>0</v>
      </c>
      <c r="O1476" t="n">
        <v>0</v>
      </c>
      <c r="P1476" t="n">
        <v>0</v>
      </c>
      <c r="Q1476" t="n">
        <v>0</v>
      </c>
      <c r="R1476" s="2" t="inlineStr"/>
    </row>
    <row r="1477" ht="15" customHeight="1">
      <c r="A1477" t="inlineStr">
        <is>
          <t>A 10920-2024</t>
        </is>
      </c>
      <c r="B1477" s="1" t="n">
        <v>45370</v>
      </c>
      <c r="C1477" s="1" t="n">
        <v>45788</v>
      </c>
      <c r="D1477" t="inlineStr">
        <is>
          <t>JÄMTLANDS LÄN</t>
        </is>
      </c>
      <c r="E1477" t="inlineStr">
        <is>
          <t>RAGUNDA</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11547-2024</t>
        </is>
      </c>
      <c r="B1478" s="1" t="n">
        <v>45372</v>
      </c>
      <c r="C1478" s="1" t="n">
        <v>45788</v>
      </c>
      <c r="D1478" t="inlineStr">
        <is>
          <t>JÄMTLANDS LÄN</t>
        </is>
      </c>
      <c r="E1478" t="inlineStr">
        <is>
          <t>RAGUNDA</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11551-2024</t>
        </is>
      </c>
      <c r="B1479" s="1" t="n">
        <v>45372</v>
      </c>
      <c r="C1479" s="1" t="n">
        <v>45788</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11550-2024</t>
        </is>
      </c>
      <c r="B1480" s="1" t="n">
        <v>45372</v>
      </c>
      <c r="C1480" s="1" t="n">
        <v>45788</v>
      </c>
      <c r="D1480" t="inlineStr">
        <is>
          <t>JÄMTLANDS LÄN</t>
        </is>
      </c>
      <c r="E1480" t="inlineStr">
        <is>
          <t>RAGUNDA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11541-2024</t>
        </is>
      </c>
      <c r="B1481" s="1" t="n">
        <v>45372</v>
      </c>
      <c r="C1481" s="1" t="n">
        <v>45788</v>
      </c>
      <c r="D1481" t="inlineStr">
        <is>
          <t>JÄMTLANDS LÄN</t>
        </is>
      </c>
      <c r="E1481" t="inlineStr">
        <is>
          <t>RAGUNDA</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11780-2024</t>
        </is>
      </c>
      <c r="B1482" s="1" t="n">
        <v>45374</v>
      </c>
      <c r="C1482" s="1" t="n">
        <v>45788</v>
      </c>
      <c r="D1482" t="inlineStr">
        <is>
          <t>JÄMTLANDS LÄN</t>
        </is>
      </c>
      <c r="E1482" t="inlineStr">
        <is>
          <t>RAGUNDA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11990-2024</t>
        </is>
      </c>
      <c r="B1483" s="1" t="n">
        <v>45376</v>
      </c>
      <c r="C1483" s="1" t="n">
        <v>45788</v>
      </c>
      <c r="D1483" t="inlineStr">
        <is>
          <t>JÄMTLANDS LÄN</t>
        </is>
      </c>
      <c r="E1483" t="inlineStr">
        <is>
          <t>RAGUNDA</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12201-2024</t>
        </is>
      </c>
      <c r="B1484" s="1" t="n">
        <v>45377</v>
      </c>
      <c r="C1484" s="1" t="n">
        <v>45788</v>
      </c>
      <c r="D1484" t="inlineStr">
        <is>
          <t>JÄMTLANDS LÄN</t>
        </is>
      </c>
      <c r="E1484" t="inlineStr">
        <is>
          <t>RAGUNDA</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12362-2024</t>
        </is>
      </c>
      <c r="B1485" s="1" t="n">
        <v>45378</v>
      </c>
      <c r="C1485" s="1" t="n">
        <v>45788</v>
      </c>
      <c r="D1485" t="inlineStr">
        <is>
          <t>JÄMTLANDS LÄN</t>
        </is>
      </c>
      <c r="E1485" t="inlineStr">
        <is>
          <t>RAGUNDA</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12585-2024</t>
        </is>
      </c>
      <c r="B1486" s="1" t="n">
        <v>45379</v>
      </c>
      <c r="C1486" s="1" t="n">
        <v>45788</v>
      </c>
      <c r="D1486" t="inlineStr">
        <is>
          <t>JÄMTLANDS LÄN</t>
        </is>
      </c>
      <c r="E1486" t="inlineStr">
        <is>
          <t>RAGUNDA</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12653-2024</t>
        </is>
      </c>
      <c r="B1487" s="1" t="n">
        <v>45384</v>
      </c>
      <c r="C1487" s="1" t="n">
        <v>45788</v>
      </c>
      <c r="D1487" t="inlineStr">
        <is>
          <t>JÄMTLANDS LÄN</t>
        </is>
      </c>
      <c r="E1487" t="inlineStr">
        <is>
          <t>RAGUNDA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12660-2024</t>
        </is>
      </c>
      <c r="B1488" s="1" t="n">
        <v>45384</v>
      </c>
      <c r="C1488" s="1" t="n">
        <v>45788</v>
      </c>
      <c r="D1488" t="inlineStr">
        <is>
          <t>JÄMTLANDS LÄN</t>
        </is>
      </c>
      <c r="E1488" t="inlineStr">
        <is>
          <t>RAGUNDA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12867-2024</t>
        </is>
      </c>
      <c r="B1489" s="1" t="n">
        <v>45385</v>
      </c>
      <c r="C1489" s="1" t="n">
        <v>45788</v>
      </c>
      <c r="D1489" t="inlineStr">
        <is>
          <t>JÄMTLANDS LÄN</t>
        </is>
      </c>
      <c r="E1489" t="inlineStr">
        <is>
          <t>RAGUNDA</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12868-2024</t>
        </is>
      </c>
      <c r="B1490" s="1" t="n">
        <v>45385</v>
      </c>
      <c r="C1490" s="1" t="n">
        <v>45788</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13299-2024</t>
        </is>
      </c>
      <c r="B1491" s="1" t="n">
        <v>45386</v>
      </c>
      <c r="C1491" s="1" t="n">
        <v>45788</v>
      </c>
      <c r="D1491" t="inlineStr">
        <is>
          <t>JÄMTLANDS LÄN</t>
        </is>
      </c>
      <c r="E1491" t="inlineStr">
        <is>
          <t>RAGUNDA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13335-2024</t>
        </is>
      </c>
      <c r="B1492" s="1" t="n">
        <v>45387</v>
      </c>
      <c r="C1492" s="1" t="n">
        <v>45788</v>
      </c>
      <c r="D1492" t="inlineStr">
        <is>
          <t>JÄMTLANDS LÄN</t>
        </is>
      </c>
      <c r="E1492" t="inlineStr">
        <is>
          <t>RAGUNDA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13336-2024</t>
        </is>
      </c>
      <c r="B1493" s="1" t="n">
        <v>45387</v>
      </c>
      <c r="C1493" s="1" t="n">
        <v>45788</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13322-2024</t>
        </is>
      </c>
      <c r="B1494" s="1" t="n">
        <v>45386</v>
      </c>
      <c r="C1494" s="1" t="n">
        <v>45788</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13334-2024</t>
        </is>
      </c>
      <c r="B1495" s="1" t="n">
        <v>45386</v>
      </c>
      <c r="C1495" s="1" t="n">
        <v>45788</v>
      </c>
      <c r="D1495" t="inlineStr">
        <is>
          <t>JÄMTLANDS LÄN</t>
        </is>
      </c>
      <c r="E1495" t="inlineStr">
        <is>
          <t>RAGUNDA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13547-2024</t>
        </is>
      </c>
      <c r="B1496" s="1" t="n">
        <v>45388</v>
      </c>
      <c r="C1496" s="1" t="n">
        <v>45788</v>
      </c>
      <c r="D1496" t="inlineStr">
        <is>
          <t>JÄMTLANDS LÄN</t>
        </is>
      </c>
      <c r="E1496" t="inlineStr">
        <is>
          <t>RAGUNDA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13628-2024</t>
        </is>
      </c>
      <c r="B1497" s="1" t="n">
        <v>45387</v>
      </c>
      <c r="C1497" s="1" t="n">
        <v>45788</v>
      </c>
      <c r="D1497" t="inlineStr">
        <is>
          <t>JÄMTLANDS LÄN</t>
        </is>
      </c>
      <c r="E1497" t="inlineStr">
        <is>
          <t>RAGUNDA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13767-2024</t>
        </is>
      </c>
      <c r="B1498" s="1" t="n">
        <v>45390</v>
      </c>
      <c r="C1498" s="1" t="n">
        <v>45788</v>
      </c>
      <c r="D1498" t="inlineStr">
        <is>
          <t>JÄMTLANDS LÄN</t>
        </is>
      </c>
      <c r="E1498" t="inlineStr">
        <is>
          <t>RAGUNDA</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13935-2024</t>
        </is>
      </c>
      <c r="B1499" s="1" t="n">
        <v>45392</v>
      </c>
      <c r="C1499" s="1" t="n">
        <v>45788</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14156-2024</t>
        </is>
      </c>
      <c r="B1500" s="1" t="n">
        <v>45392</v>
      </c>
      <c r="C1500" s="1" t="n">
        <v>45788</v>
      </c>
      <c r="D1500" t="inlineStr">
        <is>
          <t>JÄMTLANDS LÄN</t>
        </is>
      </c>
      <c r="E1500" t="inlineStr">
        <is>
          <t>RAGUNDA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14016-2024</t>
        </is>
      </c>
      <c r="B1501" s="1" t="n">
        <v>45392</v>
      </c>
      <c r="C1501" s="1" t="n">
        <v>45788</v>
      </c>
      <c r="D1501" t="inlineStr">
        <is>
          <t>JÄMTLANDS LÄN</t>
        </is>
      </c>
      <c r="E1501" t="inlineStr">
        <is>
          <t>RAGUNDA</t>
        </is>
      </c>
      <c r="F1501" t="inlineStr">
        <is>
          <t>Kyrkan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14151-2024</t>
        </is>
      </c>
      <c r="B1502" s="1" t="n">
        <v>45393</v>
      </c>
      <c r="C1502" s="1" t="n">
        <v>45788</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14158-2024</t>
        </is>
      </c>
      <c r="B1503" s="1" t="n">
        <v>45392</v>
      </c>
      <c r="C1503" s="1" t="n">
        <v>45788</v>
      </c>
      <c r="D1503" t="inlineStr">
        <is>
          <t>JÄMTLANDS LÄN</t>
        </is>
      </c>
      <c r="E1503" t="inlineStr">
        <is>
          <t>RAGUNDA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14157-2024</t>
        </is>
      </c>
      <c r="B1504" s="1" t="n">
        <v>45393</v>
      </c>
      <c r="C1504" s="1" t="n">
        <v>45788</v>
      </c>
      <c r="D1504" t="inlineStr">
        <is>
          <t>JÄMTLANDS LÄN</t>
        </is>
      </c>
      <c r="E1504" t="inlineStr">
        <is>
          <t>RAGUNDA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14368-2024</t>
        </is>
      </c>
      <c r="B1505" s="1" t="n">
        <v>45394</v>
      </c>
      <c r="C1505" s="1" t="n">
        <v>45788</v>
      </c>
      <c r="D1505" t="inlineStr">
        <is>
          <t>JÄMTLANDS LÄN</t>
        </is>
      </c>
      <c r="E1505" t="inlineStr">
        <is>
          <t>RAGUNDA</t>
        </is>
      </c>
      <c r="F1505" t="inlineStr">
        <is>
          <t>Naturvårdsverket</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14369-2024</t>
        </is>
      </c>
      <c r="B1506" s="1" t="n">
        <v>45394</v>
      </c>
      <c r="C1506" s="1" t="n">
        <v>45788</v>
      </c>
      <c r="D1506" t="inlineStr">
        <is>
          <t>JÄMTLANDS LÄN</t>
        </is>
      </c>
      <c r="E1506" t="inlineStr">
        <is>
          <t>RAGUNDA</t>
        </is>
      </c>
      <c r="F1506" t="inlineStr">
        <is>
          <t>Naturvårdsverket</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14566-2024</t>
        </is>
      </c>
      <c r="B1507" s="1" t="n">
        <v>45395</v>
      </c>
      <c r="C1507" s="1" t="n">
        <v>45788</v>
      </c>
      <c r="D1507" t="inlineStr">
        <is>
          <t>JÄMTLANDS LÄN</t>
        </is>
      </c>
      <c r="E1507" t="inlineStr">
        <is>
          <t>RAGUNDA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14540-2024</t>
        </is>
      </c>
      <c r="B1508" s="1" t="n">
        <v>45394</v>
      </c>
      <c r="C1508" s="1" t="n">
        <v>45788</v>
      </c>
      <c r="D1508" t="inlineStr">
        <is>
          <t>JÄMTLANDS LÄN</t>
        </is>
      </c>
      <c r="E1508" t="inlineStr">
        <is>
          <t>RAGUNDA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14813-2024</t>
        </is>
      </c>
      <c r="B1509" s="1" t="n">
        <v>45398</v>
      </c>
      <c r="C1509" s="1" t="n">
        <v>45788</v>
      </c>
      <c r="D1509" t="inlineStr">
        <is>
          <t>JÄMTLANDS LÄN</t>
        </is>
      </c>
      <c r="E1509" t="inlineStr">
        <is>
          <t>RAGUNDA</t>
        </is>
      </c>
      <c r="F1509" t="inlineStr">
        <is>
          <t>SCA</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15583-2024</t>
        </is>
      </c>
      <c r="B1510" s="1" t="n">
        <v>45401</v>
      </c>
      <c r="C1510" s="1" t="n">
        <v>45788</v>
      </c>
      <c r="D1510" t="inlineStr">
        <is>
          <t>JÄMTLANDS LÄN</t>
        </is>
      </c>
      <c r="E1510" t="inlineStr">
        <is>
          <t>RAGUNDA</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15611-2024</t>
        </is>
      </c>
      <c r="B1511" s="1" t="n">
        <v>45401</v>
      </c>
      <c r="C1511" s="1" t="n">
        <v>45788</v>
      </c>
      <c r="D1511" t="inlineStr">
        <is>
          <t>JÄMTLANDS LÄN</t>
        </is>
      </c>
      <c r="E1511" t="inlineStr">
        <is>
          <t>RAGUNDA</t>
        </is>
      </c>
      <c r="F1511" t="inlineStr">
        <is>
          <t>SCA</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15581-2024</t>
        </is>
      </c>
      <c r="B1512" s="1" t="n">
        <v>45401</v>
      </c>
      <c r="C1512" s="1" t="n">
        <v>45788</v>
      </c>
      <c r="D1512" t="inlineStr">
        <is>
          <t>JÄMTLANDS LÄN</t>
        </is>
      </c>
      <c r="E1512" t="inlineStr">
        <is>
          <t>RAGUNDA</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15585-2024</t>
        </is>
      </c>
      <c r="B1513" s="1" t="n">
        <v>45401</v>
      </c>
      <c r="C1513" s="1" t="n">
        <v>45788</v>
      </c>
      <c r="D1513" t="inlineStr">
        <is>
          <t>JÄMTLANDS LÄN</t>
        </is>
      </c>
      <c r="E1513" t="inlineStr">
        <is>
          <t>RAGUNDA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15864-2024</t>
        </is>
      </c>
      <c r="B1514" s="1" t="n">
        <v>45405</v>
      </c>
      <c r="C1514" s="1" t="n">
        <v>45788</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15842-2024</t>
        </is>
      </c>
      <c r="B1515" s="1" t="n">
        <v>45405</v>
      </c>
      <c r="C1515" s="1" t="n">
        <v>45788</v>
      </c>
      <c r="D1515" t="inlineStr">
        <is>
          <t>JÄMTLANDS LÄN</t>
        </is>
      </c>
      <c r="E1515" t="inlineStr">
        <is>
          <t>RAGUNDA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16698-2024</t>
        </is>
      </c>
      <c r="B1516" s="1" t="n">
        <v>45409</v>
      </c>
      <c r="C1516" s="1" t="n">
        <v>45788</v>
      </c>
      <c r="D1516" t="inlineStr">
        <is>
          <t>JÄMTLANDS LÄN</t>
        </is>
      </c>
      <c r="E1516" t="inlineStr">
        <is>
          <t>RAGUNDA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16982-2024</t>
        </is>
      </c>
      <c r="B1517" s="1" t="n">
        <v>45412</v>
      </c>
      <c r="C1517" s="1" t="n">
        <v>45788</v>
      </c>
      <c r="D1517" t="inlineStr">
        <is>
          <t>JÄMTLANDS LÄN</t>
        </is>
      </c>
      <c r="E1517" t="inlineStr">
        <is>
          <t>RAGUNDA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17208-2024</t>
        </is>
      </c>
      <c r="B1518" s="1" t="n">
        <v>45414</v>
      </c>
      <c r="C1518" s="1" t="n">
        <v>45788</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17443-2024</t>
        </is>
      </c>
      <c r="B1519" s="1" t="n">
        <v>45415</v>
      </c>
      <c r="C1519" s="1" t="n">
        <v>45788</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17521-2024</t>
        </is>
      </c>
      <c r="B1520" s="1" t="n">
        <v>45415</v>
      </c>
      <c r="C1520" s="1" t="n">
        <v>45788</v>
      </c>
      <c r="D1520" t="inlineStr">
        <is>
          <t>JÄMTLANDS LÄN</t>
        </is>
      </c>
      <c r="E1520" t="inlineStr">
        <is>
          <t>RAGUNDA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17595-2024</t>
        </is>
      </c>
      <c r="B1521" s="1" t="n">
        <v>45416</v>
      </c>
      <c r="C1521" s="1" t="n">
        <v>45788</v>
      </c>
      <c r="D1521" t="inlineStr">
        <is>
          <t>JÄMTLANDS LÄN</t>
        </is>
      </c>
      <c r="E1521" t="inlineStr">
        <is>
          <t>RAGUNDA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18225-2024</t>
        </is>
      </c>
      <c r="B1522" s="1" t="n">
        <v>45420</v>
      </c>
      <c r="C1522" s="1" t="n">
        <v>45788</v>
      </c>
      <c r="D1522" t="inlineStr">
        <is>
          <t>JÄMTLANDS LÄN</t>
        </is>
      </c>
      <c r="E1522" t="inlineStr">
        <is>
          <t>RAGUNDA</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18615-2024</t>
        </is>
      </c>
      <c r="B1523" s="1" t="n">
        <v>45426</v>
      </c>
      <c r="C1523" s="1" t="n">
        <v>45788</v>
      </c>
      <c r="D1523" t="inlineStr">
        <is>
          <t>JÄMTLANDS LÄN</t>
        </is>
      </c>
      <c r="E1523" t="inlineStr">
        <is>
          <t>RAGUNDA</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18631-2024</t>
        </is>
      </c>
      <c r="B1524" s="1" t="n">
        <v>45426</v>
      </c>
      <c r="C1524" s="1" t="n">
        <v>45788</v>
      </c>
      <c r="D1524" t="inlineStr">
        <is>
          <t>JÄMTLANDS LÄN</t>
        </is>
      </c>
      <c r="E1524" t="inlineStr">
        <is>
          <t>RAGUNDA</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18635-2024</t>
        </is>
      </c>
      <c r="B1525" s="1" t="n">
        <v>45426</v>
      </c>
      <c r="C1525" s="1" t="n">
        <v>45788</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18612-2024</t>
        </is>
      </c>
      <c r="B1526" s="1" t="n">
        <v>45426</v>
      </c>
      <c r="C1526" s="1" t="n">
        <v>45788</v>
      </c>
      <c r="D1526" t="inlineStr">
        <is>
          <t>JÄMTLANDS LÄN</t>
        </is>
      </c>
      <c r="E1526" t="inlineStr">
        <is>
          <t>RAGUNDA</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18636-2024</t>
        </is>
      </c>
      <c r="B1527" s="1" t="n">
        <v>45426</v>
      </c>
      <c r="C1527" s="1" t="n">
        <v>45788</v>
      </c>
      <c r="D1527" t="inlineStr">
        <is>
          <t>JÄMTLANDS LÄN</t>
        </is>
      </c>
      <c r="E1527" t="inlineStr">
        <is>
          <t>RAGUNDA</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18610-2024</t>
        </is>
      </c>
      <c r="B1528" s="1" t="n">
        <v>45426</v>
      </c>
      <c r="C1528" s="1" t="n">
        <v>45788</v>
      </c>
      <c r="D1528" t="inlineStr">
        <is>
          <t>JÄMTLANDS LÄN</t>
        </is>
      </c>
      <c r="E1528" t="inlineStr">
        <is>
          <t>RAGUNDA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18614-2024</t>
        </is>
      </c>
      <c r="B1529" s="1" t="n">
        <v>45426</v>
      </c>
      <c r="C1529" s="1" t="n">
        <v>45788</v>
      </c>
      <c r="D1529" t="inlineStr">
        <is>
          <t>JÄMTLANDS LÄN</t>
        </is>
      </c>
      <c r="E1529" t="inlineStr">
        <is>
          <t>RAGUNDA</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18782-2024</t>
        </is>
      </c>
      <c r="B1530" s="1" t="n">
        <v>45426</v>
      </c>
      <c r="C1530" s="1" t="n">
        <v>45788</v>
      </c>
      <c r="D1530" t="inlineStr">
        <is>
          <t>JÄMTLANDS LÄN</t>
        </is>
      </c>
      <c r="E1530" t="inlineStr">
        <is>
          <t>RAGUNDA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18777-2024</t>
        </is>
      </c>
      <c r="B1531" s="1" t="n">
        <v>45426</v>
      </c>
      <c r="C1531" s="1" t="n">
        <v>45788</v>
      </c>
      <c r="D1531" t="inlineStr">
        <is>
          <t>JÄMTLANDS LÄN</t>
        </is>
      </c>
      <c r="E1531" t="inlineStr">
        <is>
          <t>RAGUNDA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18781-2024</t>
        </is>
      </c>
      <c r="B1532" s="1" t="n">
        <v>45426</v>
      </c>
      <c r="C1532" s="1" t="n">
        <v>45788</v>
      </c>
      <c r="D1532" t="inlineStr">
        <is>
          <t>JÄMTLANDS LÄN</t>
        </is>
      </c>
      <c r="E1532" t="inlineStr">
        <is>
          <t>RAGUNDA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18778-2024</t>
        </is>
      </c>
      <c r="B1533" s="1" t="n">
        <v>45426</v>
      </c>
      <c r="C1533" s="1" t="n">
        <v>45788</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19089-2024</t>
        </is>
      </c>
      <c r="B1534" s="1" t="n">
        <v>45428</v>
      </c>
      <c r="C1534" s="1" t="n">
        <v>45788</v>
      </c>
      <c r="D1534" t="inlineStr">
        <is>
          <t>JÄMTLANDS LÄN</t>
        </is>
      </c>
      <c r="E1534" t="inlineStr">
        <is>
          <t>RAGUNDA</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19329-2024</t>
        </is>
      </c>
      <c r="B1535" s="1" t="n">
        <v>45429</v>
      </c>
      <c r="C1535" s="1" t="n">
        <v>45788</v>
      </c>
      <c r="D1535" t="inlineStr">
        <is>
          <t>JÄMTLANDS LÄN</t>
        </is>
      </c>
      <c r="E1535" t="inlineStr">
        <is>
          <t>RAGUNDA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19335-2024</t>
        </is>
      </c>
      <c r="B1536" s="1" t="n">
        <v>45429</v>
      </c>
      <c r="C1536" s="1" t="n">
        <v>45788</v>
      </c>
      <c r="D1536" t="inlineStr">
        <is>
          <t>JÄMTLANDS LÄN</t>
        </is>
      </c>
      <c r="E1536" t="inlineStr">
        <is>
          <t>RAGUNDA</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19419-2024</t>
        </is>
      </c>
      <c r="B1537" s="1" t="n">
        <v>45429</v>
      </c>
      <c r="C1537" s="1" t="n">
        <v>45788</v>
      </c>
      <c r="D1537" t="inlineStr">
        <is>
          <t>JÄMTLANDS LÄN</t>
        </is>
      </c>
      <c r="E1537" t="inlineStr">
        <is>
          <t>RAGUNDA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19486-2024</t>
        </is>
      </c>
      <c r="B1538" s="1" t="n">
        <v>45429</v>
      </c>
      <c r="C1538" s="1" t="n">
        <v>45788</v>
      </c>
      <c r="D1538" t="inlineStr">
        <is>
          <t>JÄMTLANDS LÄN</t>
        </is>
      </c>
      <c r="E1538" t="inlineStr">
        <is>
          <t>RAGUNDA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19850-2024</t>
        </is>
      </c>
      <c r="B1539" s="1" t="n">
        <v>45433</v>
      </c>
      <c r="C1539" s="1" t="n">
        <v>45788</v>
      </c>
      <c r="D1539" t="inlineStr">
        <is>
          <t>JÄMTLANDS LÄN</t>
        </is>
      </c>
      <c r="E1539" t="inlineStr">
        <is>
          <t>RAGUNDA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19897-2024</t>
        </is>
      </c>
      <c r="B1540" s="1" t="n">
        <v>45433</v>
      </c>
      <c r="C1540" s="1" t="n">
        <v>45788</v>
      </c>
      <c r="D1540" t="inlineStr">
        <is>
          <t>JÄMTLANDS LÄN</t>
        </is>
      </c>
      <c r="E1540" t="inlineStr">
        <is>
          <t>RAGUNDA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19997-2024</t>
        </is>
      </c>
      <c r="B1541" s="1" t="n">
        <v>45434</v>
      </c>
      <c r="C1541" s="1" t="n">
        <v>45788</v>
      </c>
      <c r="D1541" t="inlineStr">
        <is>
          <t>JÄMTLANDS LÄN</t>
        </is>
      </c>
      <c r="E1541" t="inlineStr">
        <is>
          <t>RAGUNDA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20426-2024</t>
        </is>
      </c>
      <c r="B1542" s="1" t="n">
        <v>45435</v>
      </c>
      <c r="C1542" s="1" t="n">
        <v>45788</v>
      </c>
      <c r="D1542" t="inlineStr">
        <is>
          <t>JÄMTLANDS LÄN</t>
        </is>
      </c>
      <c r="E1542" t="inlineStr">
        <is>
          <t>RAGUNDA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20363-2024</t>
        </is>
      </c>
      <c r="B1543" s="1" t="n">
        <v>45435</v>
      </c>
      <c r="C1543" s="1" t="n">
        <v>45788</v>
      </c>
      <c r="D1543" t="inlineStr">
        <is>
          <t>JÄMTLANDS LÄN</t>
        </is>
      </c>
      <c r="E1543" t="inlineStr">
        <is>
          <t>RAGUNDA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20770-2024</t>
        </is>
      </c>
      <c r="B1544" s="1" t="n">
        <v>45437</v>
      </c>
      <c r="C1544" s="1" t="n">
        <v>45788</v>
      </c>
      <c r="D1544" t="inlineStr">
        <is>
          <t>JÄMTLANDS LÄN</t>
        </is>
      </c>
      <c r="E1544" t="inlineStr">
        <is>
          <t>RAGUNDA</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20773-2024</t>
        </is>
      </c>
      <c r="B1545" s="1" t="n">
        <v>45437</v>
      </c>
      <c r="C1545" s="1" t="n">
        <v>45788</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20772-2024</t>
        </is>
      </c>
      <c r="B1546" s="1" t="n">
        <v>45437</v>
      </c>
      <c r="C1546" s="1" t="n">
        <v>45788</v>
      </c>
      <c r="D1546" t="inlineStr">
        <is>
          <t>JÄMTLANDS LÄN</t>
        </is>
      </c>
      <c r="E1546" t="inlineStr">
        <is>
          <t>RAGUNDA</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21082-2024</t>
        </is>
      </c>
      <c r="B1547" s="1" t="n">
        <v>45440</v>
      </c>
      <c r="C1547" s="1" t="n">
        <v>45788</v>
      </c>
      <c r="D1547" t="inlineStr">
        <is>
          <t>JÄMTLANDS LÄN</t>
        </is>
      </c>
      <c r="E1547" t="inlineStr">
        <is>
          <t>RAGUNDA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21083-2024</t>
        </is>
      </c>
      <c r="B1548" s="1" t="n">
        <v>45440</v>
      </c>
      <c r="C1548" s="1" t="n">
        <v>45788</v>
      </c>
      <c r="D1548" t="inlineStr">
        <is>
          <t>JÄMTLANDS LÄN</t>
        </is>
      </c>
      <c r="E1548" t="inlineStr">
        <is>
          <t>RAGUNDA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21105-2024</t>
        </is>
      </c>
      <c r="B1549" s="1" t="n">
        <v>45440</v>
      </c>
      <c r="C1549" s="1" t="n">
        <v>45788</v>
      </c>
      <c r="D1549" t="inlineStr">
        <is>
          <t>JÄMTLANDS LÄN</t>
        </is>
      </c>
      <c r="E1549" t="inlineStr">
        <is>
          <t>RAGUNDA</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21401-2024</t>
        </is>
      </c>
      <c r="B1550" s="1" t="n">
        <v>45441</v>
      </c>
      <c r="C1550" s="1" t="n">
        <v>45788</v>
      </c>
      <c r="D1550" t="inlineStr">
        <is>
          <t>JÄMTLANDS LÄN</t>
        </is>
      </c>
      <c r="E1550" t="inlineStr">
        <is>
          <t>RAGUNDA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21524-2024</t>
        </is>
      </c>
      <c r="B1551" s="1" t="n">
        <v>45441</v>
      </c>
      <c r="C1551" s="1" t="n">
        <v>45788</v>
      </c>
      <c r="D1551" t="inlineStr">
        <is>
          <t>JÄMTLANDS LÄN</t>
        </is>
      </c>
      <c r="E1551" t="inlineStr">
        <is>
          <t>RAGUNDA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21853-2024</t>
        </is>
      </c>
      <c r="B1552" s="1" t="n">
        <v>45443</v>
      </c>
      <c r="C1552" s="1" t="n">
        <v>45788</v>
      </c>
      <c r="D1552" t="inlineStr">
        <is>
          <t>JÄMTLANDS LÄN</t>
        </is>
      </c>
      <c r="E1552" t="inlineStr">
        <is>
          <t>RAGUNDA</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22412-2024</t>
        </is>
      </c>
      <c r="B1553" s="1" t="n">
        <v>45446</v>
      </c>
      <c r="C1553" s="1" t="n">
        <v>45788</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22482-2024</t>
        </is>
      </c>
      <c r="B1554" s="1" t="n">
        <v>45447</v>
      </c>
      <c r="C1554" s="1" t="n">
        <v>45788</v>
      </c>
      <c r="D1554" t="inlineStr">
        <is>
          <t>JÄMTLANDS LÄN</t>
        </is>
      </c>
      <c r="E1554" t="inlineStr">
        <is>
          <t>RAGUNDA</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22311-2024</t>
        </is>
      </c>
      <c r="B1555" s="1" t="n">
        <v>45446</v>
      </c>
      <c r="C1555" s="1" t="n">
        <v>45788</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22948-2024</t>
        </is>
      </c>
      <c r="B1556" s="1" t="n">
        <v>45449</v>
      </c>
      <c r="C1556" s="1" t="n">
        <v>45788</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22941-2024</t>
        </is>
      </c>
      <c r="B1557" s="1" t="n">
        <v>45449</v>
      </c>
      <c r="C1557" s="1" t="n">
        <v>45788</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22951-2024</t>
        </is>
      </c>
      <c r="B1558" s="1" t="n">
        <v>45449</v>
      </c>
      <c r="C1558" s="1" t="n">
        <v>45788</v>
      </c>
      <c r="D1558" t="inlineStr">
        <is>
          <t>JÄMTLANDS LÄN</t>
        </is>
      </c>
      <c r="E1558" t="inlineStr">
        <is>
          <t>RAGUNDA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23223-2024</t>
        </is>
      </c>
      <c r="B1559" s="1" t="n">
        <v>45453</v>
      </c>
      <c r="C1559" s="1" t="n">
        <v>45788</v>
      </c>
      <c r="D1559" t="inlineStr">
        <is>
          <t>JÄMTLANDS LÄN</t>
        </is>
      </c>
      <c r="E1559" t="inlineStr">
        <is>
          <t>RAGUNDA</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23287-2024</t>
        </is>
      </c>
      <c r="B1560" s="1" t="n">
        <v>45453</v>
      </c>
      <c r="C1560" s="1" t="n">
        <v>45788</v>
      </c>
      <c r="D1560" t="inlineStr">
        <is>
          <t>JÄMTLANDS LÄN</t>
        </is>
      </c>
      <c r="E1560" t="inlineStr">
        <is>
          <t>RAGUNDA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23303-2024</t>
        </is>
      </c>
      <c r="B1561" s="1" t="n">
        <v>45453</v>
      </c>
      <c r="C1561" s="1" t="n">
        <v>45788</v>
      </c>
      <c r="D1561" t="inlineStr">
        <is>
          <t>JÄMTLANDS LÄN</t>
        </is>
      </c>
      <c r="E1561" t="inlineStr">
        <is>
          <t>RAGUNDA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23312-2024</t>
        </is>
      </c>
      <c r="B1562" s="1" t="n">
        <v>45453</v>
      </c>
      <c r="C1562" s="1" t="n">
        <v>45788</v>
      </c>
      <c r="D1562" t="inlineStr">
        <is>
          <t>JÄMTLANDS LÄN</t>
        </is>
      </c>
      <c r="E1562" t="inlineStr">
        <is>
          <t>RAGUNDA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23528-2024</t>
        </is>
      </c>
      <c r="B1563" s="1" t="n">
        <v>45454</v>
      </c>
      <c r="C1563" s="1" t="n">
        <v>45788</v>
      </c>
      <c r="D1563" t="inlineStr">
        <is>
          <t>JÄMTLANDS LÄN</t>
        </is>
      </c>
      <c r="E1563" t="inlineStr">
        <is>
          <t>RAGUNDA</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23535-2024</t>
        </is>
      </c>
      <c r="B1564" s="1" t="n">
        <v>45454</v>
      </c>
      <c r="C1564" s="1" t="n">
        <v>45788</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23567-2024</t>
        </is>
      </c>
      <c r="B1565" s="1" t="n">
        <v>45454</v>
      </c>
      <c r="C1565" s="1" t="n">
        <v>45788</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23727-2024</t>
        </is>
      </c>
      <c r="B1566" s="1" t="n">
        <v>45455</v>
      </c>
      <c r="C1566" s="1" t="n">
        <v>45788</v>
      </c>
      <c r="D1566" t="inlineStr">
        <is>
          <t>JÄMTLANDS LÄN</t>
        </is>
      </c>
      <c r="E1566" t="inlineStr">
        <is>
          <t>RAGUNDA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23734-2024</t>
        </is>
      </c>
      <c r="B1567" s="1" t="n">
        <v>45455</v>
      </c>
      <c r="C1567" s="1" t="n">
        <v>45788</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23726-2024</t>
        </is>
      </c>
      <c r="B1568" s="1" t="n">
        <v>45455</v>
      </c>
      <c r="C1568" s="1" t="n">
        <v>45788</v>
      </c>
      <c r="D1568" t="inlineStr">
        <is>
          <t>JÄMTLANDS LÄN</t>
        </is>
      </c>
      <c r="E1568" t="inlineStr">
        <is>
          <t>RAGUNDA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24207-2024</t>
        </is>
      </c>
      <c r="B1569" s="1" t="n">
        <v>45457</v>
      </c>
      <c r="C1569" s="1" t="n">
        <v>45788</v>
      </c>
      <c r="D1569" t="inlineStr">
        <is>
          <t>JÄMTLANDS LÄN</t>
        </is>
      </c>
      <c r="E1569" t="inlineStr">
        <is>
          <t>RAGUNDA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24197-2024</t>
        </is>
      </c>
      <c r="B1570" s="1" t="n">
        <v>45457</v>
      </c>
      <c r="C1570" s="1" t="n">
        <v>45788</v>
      </c>
      <c r="D1570" t="inlineStr">
        <is>
          <t>JÄMTLANDS LÄN</t>
        </is>
      </c>
      <c r="E1570" t="inlineStr">
        <is>
          <t>RAGUNDA</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24196-2024</t>
        </is>
      </c>
      <c r="B1571" s="1" t="n">
        <v>45457</v>
      </c>
      <c r="C1571" s="1" t="n">
        <v>45788</v>
      </c>
      <c r="D1571" t="inlineStr">
        <is>
          <t>JÄMTLANDS LÄN</t>
        </is>
      </c>
      <c r="E1571" t="inlineStr">
        <is>
          <t>RAGUNDA</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24224-2024</t>
        </is>
      </c>
      <c r="B1572" s="1" t="n">
        <v>45457</v>
      </c>
      <c r="C1572" s="1" t="n">
        <v>45788</v>
      </c>
      <c r="D1572" t="inlineStr">
        <is>
          <t>JÄMTLANDS LÄN</t>
        </is>
      </c>
      <c r="E1572" t="inlineStr">
        <is>
          <t>RAGUNDA</t>
        </is>
      </c>
      <c r="G1572" t="n">
        <v>31.5</v>
      </c>
      <c r="H1572" t="n">
        <v>0</v>
      </c>
      <c r="I1572" t="n">
        <v>0</v>
      </c>
      <c r="J1572" t="n">
        <v>0</v>
      </c>
      <c r="K1572" t="n">
        <v>0</v>
      </c>
      <c r="L1572" t="n">
        <v>0</v>
      </c>
      <c r="M1572" t="n">
        <v>0</v>
      </c>
      <c r="N1572" t="n">
        <v>0</v>
      </c>
      <c r="O1572" t="n">
        <v>0</v>
      </c>
      <c r="P1572" t="n">
        <v>0</v>
      </c>
      <c r="Q1572" t="n">
        <v>0</v>
      </c>
      <c r="R1572" s="2" t="inlineStr"/>
    </row>
    <row r="1573" ht="15" customHeight="1">
      <c r="A1573" t="inlineStr">
        <is>
          <t>A 24441-2024</t>
        </is>
      </c>
      <c r="B1573" s="1" t="n">
        <v>45458</v>
      </c>
      <c r="C1573" s="1" t="n">
        <v>45788</v>
      </c>
      <c r="D1573" t="inlineStr">
        <is>
          <t>JÄMTLANDS LÄN</t>
        </is>
      </c>
      <c r="E1573" t="inlineStr">
        <is>
          <t>RAGUNDA</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25366-2024</t>
        </is>
      </c>
      <c r="B1574" s="1" t="n">
        <v>45463</v>
      </c>
      <c r="C1574" s="1" t="n">
        <v>45788</v>
      </c>
      <c r="D1574" t="inlineStr">
        <is>
          <t>JÄMTLANDS LÄN</t>
        </is>
      </c>
      <c r="E1574" t="inlineStr">
        <is>
          <t>RAGUNDA</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25193-2024</t>
        </is>
      </c>
      <c r="B1575" s="1" t="n">
        <v>45462</v>
      </c>
      <c r="C1575" s="1" t="n">
        <v>45788</v>
      </c>
      <c r="D1575" t="inlineStr">
        <is>
          <t>JÄMTLANDS LÄN</t>
        </is>
      </c>
      <c r="E1575" t="inlineStr">
        <is>
          <t>RAGUNDA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25353-2024</t>
        </is>
      </c>
      <c r="B1576" s="1" t="n">
        <v>45463</v>
      </c>
      <c r="C1576" s="1" t="n">
        <v>45788</v>
      </c>
      <c r="D1576" t="inlineStr">
        <is>
          <t>JÄMTLANDS LÄN</t>
        </is>
      </c>
      <c r="E1576" t="inlineStr">
        <is>
          <t>RAGUNDA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25683-2024</t>
        </is>
      </c>
      <c r="B1577" s="1" t="n">
        <v>45464</v>
      </c>
      <c r="C1577" s="1" t="n">
        <v>45788</v>
      </c>
      <c r="D1577" t="inlineStr">
        <is>
          <t>JÄMTLANDS LÄN</t>
        </is>
      </c>
      <c r="E1577" t="inlineStr">
        <is>
          <t>RAGUNDA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25684-2024</t>
        </is>
      </c>
      <c r="B1578" s="1" t="n">
        <v>45464</v>
      </c>
      <c r="C1578" s="1" t="n">
        <v>45788</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25720-2024</t>
        </is>
      </c>
      <c r="B1579" s="1" t="n">
        <v>45464</v>
      </c>
      <c r="C1579" s="1" t="n">
        <v>45788</v>
      </c>
      <c r="D1579" t="inlineStr">
        <is>
          <t>JÄMTLANDS LÄN</t>
        </is>
      </c>
      <c r="E1579" t="inlineStr">
        <is>
          <t>RAGUNDA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25685-2024</t>
        </is>
      </c>
      <c r="B1580" s="1" t="n">
        <v>45464</v>
      </c>
      <c r="C1580" s="1" t="n">
        <v>45788</v>
      </c>
      <c r="D1580" t="inlineStr">
        <is>
          <t>JÄMTLANDS LÄN</t>
        </is>
      </c>
      <c r="E1580" t="inlineStr">
        <is>
          <t>RAGUNDA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26026-2024</t>
        </is>
      </c>
      <c r="B1581" s="1" t="n">
        <v>45468</v>
      </c>
      <c r="C1581" s="1" t="n">
        <v>45788</v>
      </c>
      <c r="D1581" t="inlineStr">
        <is>
          <t>JÄMTLANDS LÄN</t>
        </is>
      </c>
      <c r="E1581" t="inlineStr">
        <is>
          <t>RAGUNDA</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26282-2024</t>
        </is>
      </c>
      <c r="B1582" s="1" t="n">
        <v>45468</v>
      </c>
      <c r="C1582" s="1" t="n">
        <v>45788</v>
      </c>
      <c r="D1582" t="inlineStr">
        <is>
          <t>JÄMTLANDS LÄN</t>
        </is>
      </c>
      <c r="E1582" t="inlineStr">
        <is>
          <t>RAGUNDA</t>
        </is>
      </c>
      <c r="F1582" t="inlineStr">
        <is>
          <t>Kommuner</t>
        </is>
      </c>
      <c r="G1582" t="n">
        <v>20</v>
      </c>
      <c r="H1582" t="n">
        <v>0</v>
      </c>
      <c r="I1582" t="n">
        <v>0</v>
      </c>
      <c r="J1582" t="n">
        <v>0</v>
      </c>
      <c r="K1582" t="n">
        <v>0</v>
      </c>
      <c r="L1582" t="n">
        <v>0</v>
      </c>
      <c r="M1582" t="n">
        <v>0</v>
      </c>
      <c r="N1582" t="n">
        <v>0</v>
      </c>
      <c r="O1582" t="n">
        <v>0</v>
      </c>
      <c r="P1582" t="n">
        <v>0</v>
      </c>
      <c r="Q1582" t="n">
        <v>0</v>
      </c>
      <c r="R1582" s="2" t="inlineStr"/>
    </row>
    <row r="1583" ht="15" customHeight="1">
      <c r="A1583" t="inlineStr">
        <is>
          <t>A 26300-2024</t>
        </is>
      </c>
      <c r="B1583" s="1" t="n">
        <v>45469</v>
      </c>
      <c r="C1583" s="1" t="n">
        <v>45788</v>
      </c>
      <c r="D1583" t="inlineStr">
        <is>
          <t>JÄMTLANDS LÄN</t>
        </is>
      </c>
      <c r="E1583" t="inlineStr">
        <is>
          <t>RAGUNDA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26651-2024</t>
        </is>
      </c>
      <c r="B1584" s="1" t="n">
        <v>45470</v>
      </c>
      <c r="C1584" s="1" t="n">
        <v>45788</v>
      </c>
      <c r="D1584" t="inlineStr">
        <is>
          <t>JÄMTLANDS LÄN</t>
        </is>
      </c>
      <c r="E1584" t="inlineStr">
        <is>
          <t>RAGUNDA</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26645-2024</t>
        </is>
      </c>
      <c r="B1585" s="1" t="n">
        <v>45470</v>
      </c>
      <c r="C1585" s="1" t="n">
        <v>45788</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26652-2024</t>
        </is>
      </c>
      <c r="B1586" s="1" t="n">
        <v>45470</v>
      </c>
      <c r="C1586" s="1" t="n">
        <v>45788</v>
      </c>
      <c r="D1586" t="inlineStr">
        <is>
          <t>JÄMTLANDS LÄN</t>
        </is>
      </c>
      <c r="E1586" t="inlineStr">
        <is>
          <t>RAGUNDA</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26768-2024</t>
        </is>
      </c>
      <c r="B1587" s="1" t="n">
        <v>45470</v>
      </c>
      <c r="C1587" s="1" t="n">
        <v>45788</v>
      </c>
      <c r="D1587" t="inlineStr">
        <is>
          <t>JÄMTLANDS LÄN</t>
        </is>
      </c>
      <c r="E1587" t="inlineStr">
        <is>
          <t>RAGUNDA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27307-2024</t>
        </is>
      </c>
      <c r="B1588" s="1" t="n">
        <v>45472</v>
      </c>
      <c r="C1588" s="1" t="n">
        <v>45788</v>
      </c>
      <c r="D1588" t="inlineStr">
        <is>
          <t>JÄMTLANDS LÄN</t>
        </is>
      </c>
      <c r="E1588" t="inlineStr">
        <is>
          <t>RAGUNDA</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27499-2024</t>
        </is>
      </c>
      <c r="B1589" s="1" t="n">
        <v>45474</v>
      </c>
      <c r="C1589" s="1" t="n">
        <v>45788</v>
      </c>
      <c r="D1589" t="inlineStr">
        <is>
          <t>JÄMTLANDS LÄN</t>
        </is>
      </c>
      <c r="E1589" t="inlineStr">
        <is>
          <t>RAGUNDA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27647-2024</t>
        </is>
      </c>
      <c r="B1590" s="1" t="n">
        <v>45475</v>
      </c>
      <c r="C1590" s="1" t="n">
        <v>45788</v>
      </c>
      <c r="D1590" t="inlineStr">
        <is>
          <t>JÄMTLANDS LÄN</t>
        </is>
      </c>
      <c r="E1590" t="inlineStr">
        <is>
          <t>RAGUNDA</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27632-2024</t>
        </is>
      </c>
      <c r="B1591" s="1" t="n">
        <v>45475</v>
      </c>
      <c r="C1591" s="1" t="n">
        <v>45788</v>
      </c>
      <c r="D1591" t="inlineStr">
        <is>
          <t>JÄMTLANDS LÄN</t>
        </is>
      </c>
      <c r="E1591" t="inlineStr">
        <is>
          <t>RAGUNDA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27934-2024</t>
        </is>
      </c>
      <c r="B1592" s="1" t="n">
        <v>45476</v>
      </c>
      <c r="C1592" s="1" t="n">
        <v>45788</v>
      </c>
      <c r="D1592" t="inlineStr">
        <is>
          <t>JÄMTLANDS LÄN</t>
        </is>
      </c>
      <c r="E1592" t="inlineStr">
        <is>
          <t>RAGUNDA</t>
        </is>
      </c>
      <c r="F1592" t="inlineStr">
        <is>
          <t>SCA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27899-2024</t>
        </is>
      </c>
      <c r="B1593" s="1" t="n">
        <v>45476</v>
      </c>
      <c r="C1593" s="1" t="n">
        <v>45788</v>
      </c>
      <c r="D1593" t="inlineStr">
        <is>
          <t>JÄMTLANDS LÄN</t>
        </is>
      </c>
      <c r="E1593" t="inlineStr">
        <is>
          <t>RAGUNDA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28173-2024</t>
        </is>
      </c>
      <c r="B1594" s="1" t="n">
        <v>45477</v>
      </c>
      <c r="C1594" s="1" t="n">
        <v>45788</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28500-2024</t>
        </is>
      </c>
      <c r="B1595" s="1" t="n">
        <v>45478</v>
      </c>
      <c r="C1595" s="1" t="n">
        <v>45788</v>
      </c>
      <c r="D1595" t="inlineStr">
        <is>
          <t>JÄMTLANDS LÄN</t>
        </is>
      </c>
      <c r="E1595" t="inlineStr">
        <is>
          <t>RAGUNDA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28292-2024</t>
        </is>
      </c>
      <c r="B1596" s="1" t="n">
        <v>45477</v>
      </c>
      <c r="C1596" s="1" t="n">
        <v>45788</v>
      </c>
      <c r="D1596" t="inlineStr">
        <is>
          <t>JÄMTLANDS LÄN</t>
        </is>
      </c>
      <c r="E1596" t="inlineStr">
        <is>
          <t>RAGUNDA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28639-2024</t>
        </is>
      </c>
      <c r="B1597" s="1" t="n">
        <v>45478</v>
      </c>
      <c r="C1597" s="1" t="n">
        <v>45788</v>
      </c>
      <c r="D1597" t="inlineStr">
        <is>
          <t>JÄMTLANDS LÄN</t>
        </is>
      </c>
      <c r="E1597" t="inlineStr">
        <is>
          <t>RAGUNDA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28829-2024</t>
        </is>
      </c>
      <c r="B1598" s="1" t="n">
        <v>45478</v>
      </c>
      <c r="C1598" s="1" t="n">
        <v>45788</v>
      </c>
      <c r="D1598" t="inlineStr">
        <is>
          <t>JÄMTLANDS LÄN</t>
        </is>
      </c>
      <c r="E1598" t="inlineStr">
        <is>
          <t>RAGUNDA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28636-2024</t>
        </is>
      </c>
      <c r="B1599" s="1" t="n">
        <v>45478</v>
      </c>
      <c r="C1599" s="1" t="n">
        <v>45788</v>
      </c>
      <c r="D1599" t="inlineStr">
        <is>
          <t>JÄMTLANDS LÄN</t>
        </is>
      </c>
      <c r="E1599" t="inlineStr">
        <is>
          <t>RAGUNDA</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28641-2024</t>
        </is>
      </c>
      <c r="B1600" s="1" t="n">
        <v>45478</v>
      </c>
      <c r="C1600" s="1" t="n">
        <v>45788</v>
      </c>
      <c r="D1600" t="inlineStr">
        <is>
          <t>JÄMTLANDS LÄN</t>
        </is>
      </c>
      <c r="E1600" t="inlineStr">
        <is>
          <t>RAGUNDA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29257-2024</t>
        </is>
      </c>
      <c r="B1601" s="1" t="n">
        <v>45483</v>
      </c>
      <c r="C1601" s="1" t="n">
        <v>45788</v>
      </c>
      <c r="D1601" t="inlineStr">
        <is>
          <t>JÄMTLANDS LÄN</t>
        </is>
      </c>
      <c r="E1601" t="inlineStr">
        <is>
          <t>RAGUNDA</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29265-2024</t>
        </is>
      </c>
      <c r="B1602" s="1" t="n">
        <v>45483</v>
      </c>
      <c r="C1602" s="1" t="n">
        <v>45788</v>
      </c>
      <c r="D1602" t="inlineStr">
        <is>
          <t>JÄMTLANDS LÄN</t>
        </is>
      </c>
      <c r="E1602" t="inlineStr">
        <is>
          <t>RAGUNDA</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29263-2024</t>
        </is>
      </c>
      <c r="B1603" s="1" t="n">
        <v>45483</v>
      </c>
      <c r="C1603" s="1" t="n">
        <v>45788</v>
      </c>
      <c r="D1603" t="inlineStr">
        <is>
          <t>JÄMTLANDS LÄN</t>
        </is>
      </c>
      <c r="E1603" t="inlineStr">
        <is>
          <t>RAGUNDA</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29261-2024</t>
        </is>
      </c>
      <c r="B1604" s="1" t="n">
        <v>45483</v>
      </c>
      <c r="C1604" s="1" t="n">
        <v>45788</v>
      </c>
      <c r="D1604" t="inlineStr">
        <is>
          <t>JÄMTLANDS LÄN</t>
        </is>
      </c>
      <c r="E1604" t="inlineStr">
        <is>
          <t>RAGUNDA</t>
        </is>
      </c>
      <c r="F1604" t="inlineStr">
        <is>
          <t>SCA</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29311-2024</t>
        </is>
      </c>
      <c r="B1605" s="1" t="n">
        <v>45483</v>
      </c>
      <c r="C1605" s="1" t="n">
        <v>45788</v>
      </c>
      <c r="D1605" t="inlineStr">
        <is>
          <t>JÄMTLANDS LÄN</t>
        </is>
      </c>
      <c r="E1605" t="inlineStr">
        <is>
          <t>RAGUNDA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29920-2024</t>
        </is>
      </c>
      <c r="B1606" s="1" t="n">
        <v>45488</v>
      </c>
      <c r="C1606" s="1" t="n">
        <v>45788</v>
      </c>
      <c r="D1606" t="inlineStr">
        <is>
          <t>JÄMTLANDS LÄN</t>
        </is>
      </c>
      <c r="E1606" t="inlineStr">
        <is>
          <t>RAGUNDA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30053-2024</t>
        </is>
      </c>
      <c r="B1607" s="1" t="n">
        <v>45489</v>
      </c>
      <c r="C1607" s="1" t="n">
        <v>45788</v>
      </c>
      <c r="D1607" t="inlineStr">
        <is>
          <t>JÄMTLANDS LÄN</t>
        </is>
      </c>
      <c r="E1607" t="inlineStr">
        <is>
          <t>RAGUNDA</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30472-2024</t>
        </is>
      </c>
      <c r="B1608" s="1" t="n">
        <v>45492</v>
      </c>
      <c r="C1608" s="1" t="n">
        <v>45788</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30484-2024</t>
        </is>
      </c>
      <c r="B1609" s="1" t="n">
        <v>45491</v>
      </c>
      <c r="C1609" s="1" t="n">
        <v>45788</v>
      </c>
      <c r="D1609" t="inlineStr">
        <is>
          <t>JÄMTLANDS LÄN</t>
        </is>
      </c>
      <c r="E1609" t="inlineStr">
        <is>
          <t>RAGUNDA</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30637-2024</t>
        </is>
      </c>
      <c r="B1610" s="1" t="n">
        <v>45495</v>
      </c>
      <c r="C1610" s="1" t="n">
        <v>45788</v>
      </c>
      <c r="D1610" t="inlineStr">
        <is>
          <t>JÄMTLANDS LÄN</t>
        </is>
      </c>
      <c r="E1610" t="inlineStr">
        <is>
          <t>RAGUNDA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30642-2024</t>
        </is>
      </c>
      <c r="B1611" s="1" t="n">
        <v>45495</v>
      </c>
      <c r="C1611" s="1" t="n">
        <v>45788</v>
      </c>
      <c r="D1611" t="inlineStr">
        <is>
          <t>JÄMTLANDS LÄN</t>
        </is>
      </c>
      <c r="E1611" t="inlineStr">
        <is>
          <t>RAGUNDA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30771-2024</t>
        </is>
      </c>
      <c r="B1612" s="1" t="n">
        <v>45497</v>
      </c>
      <c r="C1612" s="1" t="n">
        <v>45788</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31111-2024</t>
        </is>
      </c>
      <c r="B1613" s="1" t="n">
        <v>45502</v>
      </c>
      <c r="C1613" s="1" t="n">
        <v>45788</v>
      </c>
      <c r="D1613" t="inlineStr">
        <is>
          <t>JÄMTLANDS LÄN</t>
        </is>
      </c>
      <c r="E1613" t="inlineStr">
        <is>
          <t>RAGUNDA</t>
        </is>
      </c>
      <c r="G1613" t="n">
        <v>17.8</v>
      </c>
      <c r="H1613" t="n">
        <v>0</v>
      </c>
      <c r="I1613" t="n">
        <v>0</v>
      </c>
      <c r="J1613" t="n">
        <v>0</v>
      </c>
      <c r="K1613" t="n">
        <v>0</v>
      </c>
      <c r="L1613" t="n">
        <v>0</v>
      </c>
      <c r="M1613" t="n">
        <v>0</v>
      </c>
      <c r="N1613" t="n">
        <v>0</v>
      </c>
      <c r="O1613" t="n">
        <v>0</v>
      </c>
      <c r="P1613" t="n">
        <v>0</v>
      </c>
      <c r="Q1613" t="n">
        <v>0</v>
      </c>
      <c r="R1613" s="2" t="inlineStr"/>
    </row>
    <row r="1614" ht="15" customHeight="1">
      <c r="A1614" t="inlineStr">
        <is>
          <t>A 31506-2024</t>
        </is>
      </c>
      <c r="B1614" s="1" t="n">
        <v>45505</v>
      </c>
      <c r="C1614" s="1" t="n">
        <v>45788</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31463-2024</t>
        </is>
      </c>
      <c r="B1615" s="1" t="n">
        <v>45505</v>
      </c>
      <c r="C1615" s="1" t="n">
        <v>45788</v>
      </c>
      <c r="D1615" t="inlineStr">
        <is>
          <t>JÄMTLANDS LÄN</t>
        </is>
      </c>
      <c r="E1615" t="inlineStr">
        <is>
          <t>RAGUNDA</t>
        </is>
      </c>
      <c r="F1615" t="inlineStr">
        <is>
          <t>SCA</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31636-2024</t>
        </is>
      </c>
      <c r="B1616" s="1" t="n">
        <v>45506</v>
      </c>
      <c r="C1616" s="1" t="n">
        <v>45788</v>
      </c>
      <c r="D1616" t="inlineStr">
        <is>
          <t>JÄMTLANDS LÄN</t>
        </is>
      </c>
      <c r="E1616" t="inlineStr">
        <is>
          <t>RAGUNDA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31879-2024</t>
        </is>
      </c>
      <c r="B1617" s="1" t="n">
        <v>45510</v>
      </c>
      <c r="C1617" s="1" t="n">
        <v>45788</v>
      </c>
      <c r="D1617" t="inlineStr">
        <is>
          <t>JÄMTLANDS LÄN</t>
        </is>
      </c>
      <c r="E1617" t="inlineStr">
        <is>
          <t>RAGUNDA</t>
        </is>
      </c>
      <c r="F1617" t="inlineStr">
        <is>
          <t>SCA</t>
        </is>
      </c>
      <c r="G1617" t="n">
        <v>24.9</v>
      </c>
      <c r="H1617" t="n">
        <v>0</v>
      </c>
      <c r="I1617" t="n">
        <v>0</v>
      </c>
      <c r="J1617" t="n">
        <v>0</v>
      </c>
      <c r="K1617" t="n">
        <v>0</v>
      </c>
      <c r="L1617" t="n">
        <v>0</v>
      </c>
      <c r="M1617" t="n">
        <v>0</v>
      </c>
      <c r="N1617" t="n">
        <v>0</v>
      </c>
      <c r="O1617" t="n">
        <v>0</v>
      </c>
      <c r="P1617" t="n">
        <v>0</v>
      </c>
      <c r="Q1617" t="n">
        <v>0</v>
      </c>
      <c r="R1617" s="2" t="inlineStr"/>
    </row>
    <row r="1618" ht="15" customHeight="1">
      <c r="A1618" t="inlineStr">
        <is>
          <t>A 32063-2024</t>
        </is>
      </c>
      <c r="B1618" s="1" t="n">
        <v>45510</v>
      </c>
      <c r="C1618" s="1" t="n">
        <v>45788</v>
      </c>
      <c r="D1618" t="inlineStr">
        <is>
          <t>JÄMTLANDS LÄN</t>
        </is>
      </c>
      <c r="E1618" t="inlineStr">
        <is>
          <t>RAGUNDA</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32258-2024</t>
        </is>
      </c>
      <c r="B1619" s="1" t="n">
        <v>45511</v>
      </c>
      <c r="C1619" s="1" t="n">
        <v>45788</v>
      </c>
      <c r="D1619" t="inlineStr">
        <is>
          <t>JÄMTLANDS LÄN</t>
        </is>
      </c>
      <c r="E1619" t="inlineStr">
        <is>
          <t>RAGUNDA</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32259-2024</t>
        </is>
      </c>
      <c r="B1620" s="1" t="n">
        <v>45511</v>
      </c>
      <c r="C1620" s="1" t="n">
        <v>45788</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32441-2024</t>
        </is>
      </c>
      <c r="B1621" s="1" t="n">
        <v>45513</v>
      </c>
      <c r="C1621" s="1" t="n">
        <v>45788</v>
      </c>
      <c r="D1621" t="inlineStr">
        <is>
          <t>JÄMTLANDS LÄN</t>
        </is>
      </c>
      <c r="E1621" t="inlineStr">
        <is>
          <t>RAGUNDA</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32638-2024</t>
        </is>
      </c>
      <c r="B1622" s="1" t="n">
        <v>45514</v>
      </c>
      <c r="C1622" s="1" t="n">
        <v>45788</v>
      </c>
      <c r="D1622" t="inlineStr">
        <is>
          <t>JÄMTLANDS LÄN</t>
        </is>
      </c>
      <c r="E1622" t="inlineStr">
        <is>
          <t>RAGUNDA</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32910-2024</t>
        </is>
      </c>
      <c r="B1623" s="1" t="n">
        <v>45517</v>
      </c>
      <c r="C1623" s="1" t="n">
        <v>45788</v>
      </c>
      <c r="D1623" t="inlineStr">
        <is>
          <t>JÄMTLANDS LÄN</t>
        </is>
      </c>
      <c r="E1623" t="inlineStr">
        <is>
          <t>RAGUNDA</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32904-2024</t>
        </is>
      </c>
      <c r="B1624" s="1" t="n">
        <v>45517</v>
      </c>
      <c r="C1624" s="1" t="n">
        <v>45788</v>
      </c>
      <c r="D1624" t="inlineStr">
        <is>
          <t>JÄMTLANDS LÄN</t>
        </is>
      </c>
      <c r="E1624" t="inlineStr">
        <is>
          <t>RAGUNDA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35311-2024</t>
        </is>
      </c>
      <c r="B1625" s="1" t="n">
        <v>45530</v>
      </c>
      <c r="C1625" s="1" t="n">
        <v>45788</v>
      </c>
      <c r="D1625" t="inlineStr">
        <is>
          <t>JÄMTLANDS LÄN</t>
        </is>
      </c>
      <c r="E1625" t="inlineStr">
        <is>
          <t>RAGUNDA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35153-2024</t>
        </is>
      </c>
      <c r="B1626" s="1" t="n">
        <v>45530</v>
      </c>
      <c r="C1626" s="1" t="n">
        <v>45788</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35986-2024</t>
        </is>
      </c>
      <c r="B1627" s="1" t="n">
        <v>45533</v>
      </c>
      <c r="C1627" s="1" t="n">
        <v>45788</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36246-2024</t>
        </is>
      </c>
      <c r="B1628" s="1" t="n">
        <v>45534</v>
      </c>
      <c r="C1628" s="1" t="n">
        <v>45788</v>
      </c>
      <c r="D1628" t="inlineStr">
        <is>
          <t>JÄMTLANDS LÄN</t>
        </is>
      </c>
      <c r="E1628" t="inlineStr">
        <is>
          <t>RAGUNDA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36340-2024</t>
        </is>
      </c>
      <c r="B1629" s="1" t="n">
        <v>45534</v>
      </c>
      <c r="C1629" s="1" t="n">
        <v>45788</v>
      </c>
      <c r="D1629" t="inlineStr">
        <is>
          <t>JÄMTLANDS LÄN</t>
        </is>
      </c>
      <c r="E1629" t="inlineStr">
        <is>
          <t>RAGUNDA</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36317-2024</t>
        </is>
      </c>
      <c r="B1630" s="1" t="n">
        <v>45534</v>
      </c>
      <c r="C1630" s="1" t="n">
        <v>45788</v>
      </c>
      <c r="D1630" t="inlineStr">
        <is>
          <t>JÄMTLANDS LÄN</t>
        </is>
      </c>
      <c r="E1630" t="inlineStr">
        <is>
          <t>RAGUNDA</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37242-2024</t>
        </is>
      </c>
      <c r="B1631" s="1" t="n">
        <v>45540</v>
      </c>
      <c r="C1631" s="1" t="n">
        <v>45788</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37266-2024</t>
        </is>
      </c>
      <c r="B1632" s="1" t="n">
        <v>45540</v>
      </c>
      <c r="C1632" s="1" t="n">
        <v>45788</v>
      </c>
      <c r="D1632" t="inlineStr">
        <is>
          <t>JÄMTLANDS LÄN</t>
        </is>
      </c>
      <c r="E1632" t="inlineStr">
        <is>
          <t>RAGUNDA</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37265-2024</t>
        </is>
      </c>
      <c r="B1633" s="1" t="n">
        <v>45540</v>
      </c>
      <c r="C1633" s="1" t="n">
        <v>45788</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37268-2024</t>
        </is>
      </c>
      <c r="B1634" s="1" t="n">
        <v>45540</v>
      </c>
      <c r="C1634" s="1" t="n">
        <v>45788</v>
      </c>
      <c r="D1634" t="inlineStr">
        <is>
          <t>JÄMTLANDS LÄN</t>
        </is>
      </c>
      <c r="E1634" t="inlineStr">
        <is>
          <t>RAGUNDA</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38027-2024</t>
        </is>
      </c>
      <c r="B1635" s="1" t="n">
        <v>45544</v>
      </c>
      <c r="C1635" s="1" t="n">
        <v>45788</v>
      </c>
      <c r="D1635" t="inlineStr">
        <is>
          <t>JÄMTLANDS LÄN</t>
        </is>
      </c>
      <c r="E1635" t="inlineStr">
        <is>
          <t>RAGUNDA</t>
        </is>
      </c>
      <c r="F1635" t="inlineStr">
        <is>
          <t>SCA</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38191-2024</t>
        </is>
      </c>
      <c r="B1636" s="1" t="n">
        <v>45545</v>
      </c>
      <c r="C1636" s="1" t="n">
        <v>45788</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38192-2024</t>
        </is>
      </c>
      <c r="B1637" s="1" t="n">
        <v>45545</v>
      </c>
      <c r="C1637" s="1" t="n">
        <v>45788</v>
      </c>
      <c r="D1637" t="inlineStr">
        <is>
          <t>JÄMTLANDS LÄN</t>
        </is>
      </c>
      <c r="E1637" t="inlineStr">
        <is>
          <t>RAGUNDA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38189-2024</t>
        </is>
      </c>
      <c r="B1638" s="1" t="n">
        <v>45545</v>
      </c>
      <c r="C1638" s="1" t="n">
        <v>45788</v>
      </c>
      <c r="D1638" t="inlineStr">
        <is>
          <t>JÄMTLANDS LÄN</t>
        </is>
      </c>
      <c r="E1638" t="inlineStr">
        <is>
          <t>RAGUNDA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38312-2024</t>
        </is>
      </c>
      <c r="B1639" s="1" t="n">
        <v>45545</v>
      </c>
      <c r="C1639" s="1" t="n">
        <v>45788</v>
      </c>
      <c r="D1639" t="inlineStr">
        <is>
          <t>JÄMTLANDS LÄN</t>
        </is>
      </c>
      <c r="E1639" t="inlineStr">
        <is>
          <t>RAGUNDA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38506-2024</t>
        </is>
      </c>
      <c r="B1640" s="1" t="n">
        <v>45546</v>
      </c>
      <c r="C1640" s="1" t="n">
        <v>45788</v>
      </c>
      <c r="D1640" t="inlineStr">
        <is>
          <t>JÄMTLANDS LÄN</t>
        </is>
      </c>
      <c r="E1640" t="inlineStr">
        <is>
          <t>RAGUNDA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38548-2024</t>
        </is>
      </c>
      <c r="B1641" s="1" t="n">
        <v>45546</v>
      </c>
      <c r="C1641" s="1" t="n">
        <v>45788</v>
      </c>
      <c r="D1641" t="inlineStr">
        <is>
          <t>JÄMTLANDS LÄN</t>
        </is>
      </c>
      <c r="E1641" t="inlineStr">
        <is>
          <t>RAGUNDA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38571-2024</t>
        </is>
      </c>
      <c r="B1642" s="1" t="n">
        <v>45546</v>
      </c>
      <c r="C1642" s="1" t="n">
        <v>45788</v>
      </c>
      <c r="D1642" t="inlineStr">
        <is>
          <t>JÄMTLANDS LÄN</t>
        </is>
      </c>
      <c r="E1642" t="inlineStr">
        <is>
          <t>RAGUNDA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38825-2024</t>
        </is>
      </c>
      <c r="B1643" s="1" t="n">
        <v>45547</v>
      </c>
      <c r="C1643" s="1" t="n">
        <v>45788</v>
      </c>
      <c r="D1643" t="inlineStr">
        <is>
          <t>JÄMTLANDS LÄN</t>
        </is>
      </c>
      <c r="E1643" t="inlineStr">
        <is>
          <t>RAGUNDA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39494-2024</t>
        </is>
      </c>
      <c r="B1644" s="1" t="n">
        <v>45551</v>
      </c>
      <c r="C1644" s="1" t="n">
        <v>45788</v>
      </c>
      <c r="D1644" t="inlineStr">
        <is>
          <t>JÄMTLANDS LÄN</t>
        </is>
      </c>
      <c r="E1644" t="inlineStr">
        <is>
          <t>RAGUNDA</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39608-2024</t>
        </is>
      </c>
      <c r="B1645" s="1" t="n">
        <v>45552</v>
      </c>
      <c r="C1645" s="1" t="n">
        <v>45788</v>
      </c>
      <c r="D1645" t="inlineStr">
        <is>
          <t>JÄMTLANDS LÄN</t>
        </is>
      </c>
      <c r="E1645" t="inlineStr">
        <is>
          <t>RAGUNDA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39626-2024</t>
        </is>
      </c>
      <c r="B1646" s="1" t="n">
        <v>45552</v>
      </c>
      <c r="C1646" s="1" t="n">
        <v>45788</v>
      </c>
      <c r="D1646" t="inlineStr">
        <is>
          <t>JÄMTLANDS LÄN</t>
        </is>
      </c>
      <c r="E1646" t="inlineStr">
        <is>
          <t>RAGUNDA</t>
        </is>
      </c>
      <c r="G1646" t="n">
        <v>23.5</v>
      </c>
      <c r="H1646" t="n">
        <v>0</v>
      </c>
      <c r="I1646" t="n">
        <v>0</v>
      </c>
      <c r="J1646" t="n">
        <v>0</v>
      </c>
      <c r="K1646" t="n">
        <v>0</v>
      </c>
      <c r="L1646" t="n">
        <v>0</v>
      </c>
      <c r="M1646" t="n">
        <v>0</v>
      </c>
      <c r="N1646" t="n">
        <v>0</v>
      </c>
      <c r="O1646" t="n">
        <v>0</v>
      </c>
      <c r="P1646" t="n">
        <v>0</v>
      </c>
      <c r="Q1646" t="n">
        <v>0</v>
      </c>
      <c r="R1646" s="2" t="inlineStr"/>
    </row>
    <row r="1647" ht="15" customHeight="1">
      <c r="A1647" t="inlineStr">
        <is>
          <t>A 40246-2024</t>
        </is>
      </c>
      <c r="B1647" s="1" t="n">
        <v>45554</v>
      </c>
      <c r="C1647" s="1" t="n">
        <v>45788</v>
      </c>
      <c r="D1647" t="inlineStr">
        <is>
          <t>JÄMTLANDS LÄN</t>
        </is>
      </c>
      <c r="E1647" t="inlineStr">
        <is>
          <t>RAGUNDA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40405-2024</t>
        </is>
      </c>
      <c r="B1648" s="1" t="n">
        <v>45555</v>
      </c>
      <c r="C1648" s="1" t="n">
        <v>45788</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40365-2024</t>
        </is>
      </c>
      <c r="B1649" s="1" t="n">
        <v>45555</v>
      </c>
      <c r="C1649" s="1" t="n">
        <v>45788</v>
      </c>
      <c r="D1649" t="inlineStr">
        <is>
          <t>JÄMTLANDS LÄN</t>
        </is>
      </c>
      <c r="E1649" t="inlineStr">
        <is>
          <t>RAGUNDA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40919-2024</t>
        </is>
      </c>
      <c r="B1650" s="1" t="n">
        <v>45558</v>
      </c>
      <c r="C1650" s="1" t="n">
        <v>45788</v>
      </c>
      <c r="D1650" t="inlineStr">
        <is>
          <t>JÄMTLANDS LÄN</t>
        </is>
      </c>
      <c r="E1650" t="inlineStr">
        <is>
          <t>RAGUNDA</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41344-2024</t>
        </is>
      </c>
      <c r="B1651" s="1" t="n">
        <v>45559</v>
      </c>
      <c r="C1651" s="1" t="n">
        <v>45788</v>
      </c>
      <c r="D1651" t="inlineStr">
        <is>
          <t>JÄMTLANDS LÄN</t>
        </is>
      </c>
      <c r="E1651" t="inlineStr">
        <is>
          <t>RAGUNDA</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41343-2024</t>
        </is>
      </c>
      <c r="B1652" s="1" t="n">
        <v>45559</v>
      </c>
      <c r="C1652" s="1" t="n">
        <v>45788</v>
      </c>
      <c r="D1652" t="inlineStr">
        <is>
          <t>JÄMTLANDS LÄN</t>
        </is>
      </c>
      <c r="E1652" t="inlineStr">
        <is>
          <t>RAGUNDA</t>
        </is>
      </c>
      <c r="F1652" t="inlineStr">
        <is>
          <t>SCA</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41378-2024</t>
        </is>
      </c>
      <c r="B1653" s="1" t="n">
        <v>45559</v>
      </c>
      <c r="C1653" s="1" t="n">
        <v>45788</v>
      </c>
      <c r="D1653" t="inlineStr">
        <is>
          <t>JÄMTLANDS LÄN</t>
        </is>
      </c>
      <c r="E1653" t="inlineStr">
        <is>
          <t>RAGUNDA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41685-2024</t>
        </is>
      </c>
      <c r="B1654" s="1" t="n">
        <v>45560</v>
      </c>
      <c r="C1654" s="1" t="n">
        <v>45788</v>
      </c>
      <c r="D1654" t="inlineStr">
        <is>
          <t>JÄMTLANDS LÄN</t>
        </is>
      </c>
      <c r="E1654" t="inlineStr">
        <is>
          <t>RAGUNDA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41531-2024</t>
        </is>
      </c>
      <c r="B1655" s="1" t="n">
        <v>45560</v>
      </c>
      <c r="C1655" s="1" t="n">
        <v>45788</v>
      </c>
      <c r="D1655" t="inlineStr">
        <is>
          <t>JÄMTLANDS LÄN</t>
        </is>
      </c>
      <c r="E1655" t="inlineStr">
        <is>
          <t>RAGUNDA</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41422-2024</t>
        </is>
      </c>
      <c r="B1656" s="1" t="n">
        <v>45560</v>
      </c>
      <c r="C1656" s="1" t="n">
        <v>45788</v>
      </c>
      <c r="D1656" t="inlineStr">
        <is>
          <t>JÄMTLANDS LÄN</t>
        </is>
      </c>
      <c r="E1656" t="inlineStr">
        <is>
          <t>RAGUNDA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41690-2024</t>
        </is>
      </c>
      <c r="B1657" s="1" t="n">
        <v>45560</v>
      </c>
      <c r="C1657" s="1" t="n">
        <v>45788</v>
      </c>
      <c r="D1657" t="inlineStr">
        <is>
          <t>JÄMTLANDS LÄN</t>
        </is>
      </c>
      <c r="E1657" t="inlineStr">
        <is>
          <t>RAGUNDA</t>
        </is>
      </c>
      <c r="F1657" t="inlineStr">
        <is>
          <t>SCA</t>
        </is>
      </c>
      <c r="G1657" t="n">
        <v>38.6</v>
      </c>
      <c r="H1657" t="n">
        <v>0</v>
      </c>
      <c r="I1657" t="n">
        <v>0</v>
      </c>
      <c r="J1657" t="n">
        <v>0</v>
      </c>
      <c r="K1657" t="n">
        <v>0</v>
      </c>
      <c r="L1657" t="n">
        <v>0</v>
      </c>
      <c r="M1657" t="n">
        <v>0</v>
      </c>
      <c r="N1657" t="n">
        <v>0</v>
      </c>
      <c r="O1657" t="n">
        <v>0</v>
      </c>
      <c r="P1657" t="n">
        <v>0</v>
      </c>
      <c r="Q1657" t="n">
        <v>0</v>
      </c>
      <c r="R1657" s="2" t="inlineStr"/>
    </row>
    <row r="1658" ht="15" customHeight="1">
      <c r="A1658" t="inlineStr">
        <is>
          <t>A 41759-2024</t>
        </is>
      </c>
      <c r="B1658" s="1" t="n">
        <v>45561</v>
      </c>
      <c r="C1658" s="1" t="n">
        <v>45788</v>
      </c>
      <c r="D1658" t="inlineStr">
        <is>
          <t>JÄMTLANDS LÄN</t>
        </is>
      </c>
      <c r="E1658" t="inlineStr">
        <is>
          <t>RAGUNDA</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41772-2024</t>
        </is>
      </c>
      <c r="B1659" s="1" t="n">
        <v>45561</v>
      </c>
      <c r="C1659" s="1" t="n">
        <v>45788</v>
      </c>
      <c r="D1659" t="inlineStr">
        <is>
          <t>JÄMTLANDS LÄN</t>
        </is>
      </c>
      <c r="E1659" t="inlineStr">
        <is>
          <t>RAGUNDA</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42135-2024</t>
        </is>
      </c>
      <c r="B1660" s="1" t="n">
        <v>45562</v>
      </c>
      <c r="C1660" s="1" t="n">
        <v>45788</v>
      </c>
      <c r="D1660" t="inlineStr">
        <is>
          <t>JÄMTLANDS LÄN</t>
        </is>
      </c>
      <c r="E1660" t="inlineStr">
        <is>
          <t>RAGUNDA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42544-2024</t>
        </is>
      </c>
      <c r="B1661" s="1" t="n">
        <v>45565</v>
      </c>
      <c r="C1661" s="1" t="n">
        <v>45788</v>
      </c>
      <c r="D1661" t="inlineStr">
        <is>
          <t>JÄMTLANDS LÄN</t>
        </is>
      </c>
      <c r="E1661" t="inlineStr">
        <is>
          <t>RAGUNDA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42875-2024</t>
        </is>
      </c>
      <c r="B1662" s="1" t="n">
        <v>45566</v>
      </c>
      <c r="C1662" s="1" t="n">
        <v>45788</v>
      </c>
      <c r="D1662" t="inlineStr">
        <is>
          <t>JÄMTLANDS LÄN</t>
        </is>
      </c>
      <c r="E1662" t="inlineStr">
        <is>
          <t>RAGUNDA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42998-2024</t>
        </is>
      </c>
      <c r="B1663" s="1" t="n">
        <v>45567</v>
      </c>
      <c r="C1663" s="1" t="n">
        <v>45788</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42994-2024</t>
        </is>
      </c>
      <c r="B1664" s="1" t="n">
        <v>45567</v>
      </c>
      <c r="C1664" s="1" t="n">
        <v>45788</v>
      </c>
      <c r="D1664" t="inlineStr">
        <is>
          <t>JÄMTLANDS LÄN</t>
        </is>
      </c>
      <c r="E1664" t="inlineStr">
        <is>
          <t>RAGUNDA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43339-2024</t>
        </is>
      </c>
      <c r="B1665" s="1" t="n">
        <v>45568</v>
      </c>
      <c r="C1665" s="1" t="n">
        <v>45788</v>
      </c>
      <c r="D1665" t="inlineStr">
        <is>
          <t>JÄMTLANDS LÄN</t>
        </is>
      </c>
      <c r="E1665" t="inlineStr">
        <is>
          <t>RAGUNDA</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43738-2024</t>
        </is>
      </c>
      <c r="B1666" s="1" t="n">
        <v>45569</v>
      </c>
      <c r="C1666" s="1" t="n">
        <v>45788</v>
      </c>
      <c r="D1666" t="inlineStr">
        <is>
          <t>JÄMTLANDS LÄN</t>
        </is>
      </c>
      <c r="E1666" t="inlineStr">
        <is>
          <t>RAGUNDA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44070-2024</t>
        </is>
      </c>
      <c r="B1667" s="1" t="n">
        <v>45572</v>
      </c>
      <c r="C1667" s="1" t="n">
        <v>45788</v>
      </c>
      <c r="D1667" t="inlineStr">
        <is>
          <t>JÄMTLANDS LÄN</t>
        </is>
      </c>
      <c r="E1667" t="inlineStr">
        <is>
          <t>RAGUNDA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44066-2024</t>
        </is>
      </c>
      <c r="B1668" s="1" t="n">
        <v>45572</v>
      </c>
      <c r="C1668" s="1" t="n">
        <v>45788</v>
      </c>
      <c r="D1668" t="inlineStr">
        <is>
          <t>JÄMTLANDS LÄN</t>
        </is>
      </c>
      <c r="E1668" t="inlineStr">
        <is>
          <t>RAGUNDA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44242-2024</t>
        </is>
      </c>
      <c r="B1669" s="1" t="n">
        <v>45573</v>
      </c>
      <c r="C1669" s="1" t="n">
        <v>45788</v>
      </c>
      <c r="D1669" t="inlineStr">
        <is>
          <t>JÄMTLANDS LÄN</t>
        </is>
      </c>
      <c r="E1669" t="inlineStr">
        <is>
          <t>RAGUNDA</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44598-2024</t>
        </is>
      </c>
      <c r="B1670" s="1" t="n">
        <v>45574</v>
      </c>
      <c r="C1670" s="1" t="n">
        <v>45788</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44755-2024</t>
        </is>
      </c>
      <c r="B1671" s="1" t="n">
        <v>45574</v>
      </c>
      <c r="C1671" s="1" t="n">
        <v>45788</v>
      </c>
      <c r="D1671" t="inlineStr">
        <is>
          <t>JÄMTLANDS LÄN</t>
        </is>
      </c>
      <c r="E1671" t="inlineStr">
        <is>
          <t>RAGUNDA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44759-2024</t>
        </is>
      </c>
      <c r="B1672" s="1" t="n">
        <v>45574</v>
      </c>
      <c r="C1672" s="1" t="n">
        <v>45788</v>
      </c>
      <c r="D1672" t="inlineStr">
        <is>
          <t>JÄMTLANDS LÄN</t>
        </is>
      </c>
      <c r="E1672" t="inlineStr">
        <is>
          <t>RAGUNDA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44766-2024</t>
        </is>
      </c>
      <c r="B1673" s="1" t="n">
        <v>45574</v>
      </c>
      <c r="C1673" s="1" t="n">
        <v>45788</v>
      </c>
      <c r="D1673" t="inlineStr">
        <is>
          <t>JÄMTLANDS LÄN</t>
        </is>
      </c>
      <c r="E1673" t="inlineStr">
        <is>
          <t>RAGUNDA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44778-2024</t>
        </is>
      </c>
      <c r="B1674" s="1" t="n">
        <v>45574</v>
      </c>
      <c r="C1674" s="1" t="n">
        <v>45788</v>
      </c>
      <c r="D1674" t="inlineStr">
        <is>
          <t>JÄMTLANDS LÄN</t>
        </is>
      </c>
      <c r="E1674" t="inlineStr">
        <is>
          <t>RAGUNDA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44597-2024</t>
        </is>
      </c>
      <c r="B1675" s="1" t="n">
        <v>45574</v>
      </c>
      <c r="C1675" s="1" t="n">
        <v>45788</v>
      </c>
      <c r="D1675" t="inlineStr">
        <is>
          <t>JÄMTLANDS LÄN</t>
        </is>
      </c>
      <c r="E1675" t="inlineStr">
        <is>
          <t>RAGUNDA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44605-2024</t>
        </is>
      </c>
      <c r="B1676" s="1" t="n">
        <v>45574</v>
      </c>
      <c r="C1676" s="1" t="n">
        <v>45788</v>
      </c>
      <c r="D1676" t="inlineStr">
        <is>
          <t>JÄMTLANDS LÄN</t>
        </is>
      </c>
      <c r="E1676" t="inlineStr">
        <is>
          <t>RAGUNDA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44494-2024</t>
        </is>
      </c>
      <c r="B1677" s="1" t="n">
        <v>45574</v>
      </c>
      <c r="C1677" s="1" t="n">
        <v>45788</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44498-2024</t>
        </is>
      </c>
      <c r="B1678" s="1" t="n">
        <v>45574</v>
      </c>
      <c r="C1678" s="1" t="n">
        <v>45788</v>
      </c>
      <c r="D1678" t="inlineStr">
        <is>
          <t>JÄMTLANDS LÄN</t>
        </is>
      </c>
      <c r="E1678" t="inlineStr">
        <is>
          <t>RAGUNDA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44727-2024</t>
        </is>
      </c>
      <c r="B1679" s="1" t="n">
        <v>45574</v>
      </c>
      <c r="C1679" s="1" t="n">
        <v>45788</v>
      </c>
      <c r="D1679" t="inlineStr">
        <is>
          <t>JÄMTLANDS LÄN</t>
        </is>
      </c>
      <c r="E1679" t="inlineStr">
        <is>
          <t>RAGUNDA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44953-2024</t>
        </is>
      </c>
      <c r="B1680" s="1" t="n">
        <v>45575</v>
      </c>
      <c r="C1680" s="1" t="n">
        <v>45788</v>
      </c>
      <c r="D1680" t="inlineStr">
        <is>
          <t>JÄMTLANDS LÄN</t>
        </is>
      </c>
      <c r="E1680" t="inlineStr">
        <is>
          <t>RAGUNDA</t>
        </is>
      </c>
      <c r="F1680" t="inlineStr">
        <is>
          <t>SCA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45273-2024</t>
        </is>
      </c>
      <c r="B1681" s="1" t="n">
        <v>45576</v>
      </c>
      <c r="C1681" s="1" t="n">
        <v>45788</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45631-2024</t>
        </is>
      </c>
      <c r="B1682" s="1" t="n">
        <v>45579</v>
      </c>
      <c r="C1682" s="1" t="n">
        <v>45788</v>
      </c>
      <c r="D1682" t="inlineStr">
        <is>
          <t>JÄMTLANDS LÄN</t>
        </is>
      </c>
      <c r="E1682" t="inlineStr">
        <is>
          <t>RAGUNDA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45879-2024</t>
        </is>
      </c>
      <c r="B1683" s="1" t="n">
        <v>45580</v>
      </c>
      <c r="C1683" s="1" t="n">
        <v>45788</v>
      </c>
      <c r="D1683" t="inlineStr">
        <is>
          <t>JÄMTLANDS LÄN</t>
        </is>
      </c>
      <c r="E1683" t="inlineStr">
        <is>
          <t>RAGUNDA</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46211-2024</t>
        </is>
      </c>
      <c r="B1684" s="1" t="n">
        <v>45581</v>
      </c>
      <c r="C1684" s="1" t="n">
        <v>45788</v>
      </c>
      <c r="D1684" t="inlineStr">
        <is>
          <t>JÄMTLANDS LÄN</t>
        </is>
      </c>
      <c r="E1684" t="inlineStr">
        <is>
          <t>RAGUNDA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46090-2024</t>
        </is>
      </c>
      <c r="B1685" s="1" t="n">
        <v>45581</v>
      </c>
      <c r="C1685" s="1" t="n">
        <v>45788</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46250-2024</t>
        </is>
      </c>
      <c r="B1686" s="1" t="n">
        <v>45581</v>
      </c>
      <c r="C1686" s="1" t="n">
        <v>45788</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46637-2024</t>
        </is>
      </c>
      <c r="B1687" s="1" t="n">
        <v>45583</v>
      </c>
      <c r="C1687" s="1" t="n">
        <v>45788</v>
      </c>
      <c r="D1687" t="inlineStr">
        <is>
          <t>JÄMTLANDS LÄN</t>
        </is>
      </c>
      <c r="E1687" t="inlineStr">
        <is>
          <t>RAGUNDA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47658-2024</t>
        </is>
      </c>
      <c r="B1688" s="1" t="n">
        <v>45588</v>
      </c>
      <c r="C1688" s="1" t="n">
        <v>45788</v>
      </c>
      <c r="D1688" t="inlineStr">
        <is>
          <t>JÄMTLANDS LÄN</t>
        </is>
      </c>
      <c r="E1688" t="inlineStr">
        <is>
          <t>RAGUNDA</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47720-2024</t>
        </is>
      </c>
      <c r="B1689" s="1" t="n">
        <v>45588</v>
      </c>
      <c r="C1689" s="1" t="n">
        <v>45788</v>
      </c>
      <c r="D1689" t="inlineStr">
        <is>
          <t>JÄMTLANDS LÄN</t>
        </is>
      </c>
      <c r="E1689" t="inlineStr">
        <is>
          <t>RAGUNDA</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48147-2024</t>
        </is>
      </c>
      <c r="B1690" s="1" t="n">
        <v>45589</v>
      </c>
      <c r="C1690" s="1" t="n">
        <v>45788</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48249-2024</t>
        </is>
      </c>
      <c r="B1691" s="1" t="n">
        <v>45590</v>
      </c>
      <c r="C1691" s="1" t="n">
        <v>45788</v>
      </c>
      <c r="D1691" t="inlineStr">
        <is>
          <t>JÄMTLANDS LÄN</t>
        </is>
      </c>
      <c r="E1691" t="inlineStr">
        <is>
          <t>RAGUNDA</t>
        </is>
      </c>
      <c r="F1691" t="inlineStr">
        <is>
          <t>SCA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48192-2024</t>
        </is>
      </c>
      <c r="B1692" s="1" t="n">
        <v>45590</v>
      </c>
      <c r="C1692" s="1" t="n">
        <v>45788</v>
      </c>
      <c r="D1692" t="inlineStr">
        <is>
          <t>JÄMTLANDS LÄN</t>
        </is>
      </c>
      <c r="E1692" t="inlineStr">
        <is>
          <t>RAGUNDA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48666-2024</t>
        </is>
      </c>
      <c r="B1693" s="1" t="n">
        <v>45593</v>
      </c>
      <c r="C1693" s="1" t="n">
        <v>45788</v>
      </c>
      <c r="D1693" t="inlineStr">
        <is>
          <t>JÄMTLANDS LÄN</t>
        </is>
      </c>
      <c r="E1693" t="inlineStr">
        <is>
          <t>RAGUNDA</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49229-2024</t>
        </is>
      </c>
      <c r="B1694" s="1" t="n">
        <v>45595</v>
      </c>
      <c r="C1694" s="1" t="n">
        <v>45788</v>
      </c>
      <c r="D1694" t="inlineStr">
        <is>
          <t>JÄMTLANDS LÄN</t>
        </is>
      </c>
      <c r="E1694" t="inlineStr">
        <is>
          <t>RAGUNDA</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49239-2024</t>
        </is>
      </c>
      <c r="B1695" s="1" t="n">
        <v>45595</v>
      </c>
      <c r="C1695" s="1" t="n">
        <v>45788</v>
      </c>
      <c r="D1695" t="inlineStr">
        <is>
          <t>JÄMTLANDS LÄN</t>
        </is>
      </c>
      <c r="E1695" t="inlineStr">
        <is>
          <t>RAGUNDA</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49348-2024</t>
        </is>
      </c>
      <c r="B1696" s="1" t="n">
        <v>45595</v>
      </c>
      <c r="C1696" s="1" t="n">
        <v>45788</v>
      </c>
      <c r="D1696" t="inlineStr">
        <is>
          <t>JÄMTLANDS LÄN</t>
        </is>
      </c>
      <c r="E1696" t="inlineStr">
        <is>
          <t>RAGUNDA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49649-2024</t>
        </is>
      </c>
      <c r="B1697" s="1" t="n">
        <v>45596</v>
      </c>
      <c r="C1697" s="1" t="n">
        <v>45788</v>
      </c>
      <c r="D1697" t="inlineStr">
        <is>
          <t>JÄMTLANDS LÄN</t>
        </is>
      </c>
      <c r="E1697" t="inlineStr">
        <is>
          <t>RAGUNDA</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49650-2024</t>
        </is>
      </c>
      <c r="B1698" s="1" t="n">
        <v>45596</v>
      </c>
      <c r="C1698" s="1" t="n">
        <v>45788</v>
      </c>
      <c r="D1698" t="inlineStr">
        <is>
          <t>JÄMTLANDS LÄN</t>
        </is>
      </c>
      <c r="E1698" t="inlineStr">
        <is>
          <t>RAGUNDA</t>
        </is>
      </c>
      <c r="F1698" t="inlineStr">
        <is>
          <t>Naturvårdsverket</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49653-2024</t>
        </is>
      </c>
      <c r="B1699" s="1" t="n">
        <v>45596</v>
      </c>
      <c r="C1699" s="1" t="n">
        <v>45788</v>
      </c>
      <c r="D1699" t="inlineStr">
        <is>
          <t>JÄMTLANDS LÄN</t>
        </is>
      </c>
      <c r="E1699" t="inlineStr">
        <is>
          <t>RAGUNDA</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49647-2024</t>
        </is>
      </c>
      <c r="B1700" s="1" t="n">
        <v>45596</v>
      </c>
      <c r="C1700" s="1" t="n">
        <v>45788</v>
      </c>
      <c r="D1700" t="inlineStr">
        <is>
          <t>JÄMTLANDS LÄN</t>
        </is>
      </c>
      <c r="E1700" t="inlineStr">
        <is>
          <t>RAGUNDA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49651-2024</t>
        </is>
      </c>
      <c r="B1701" s="1" t="n">
        <v>45596</v>
      </c>
      <c r="C1701" s="1" t="n">
        <v>45788</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49787-2024</t>
        </is>
      </c>
      <c r="B1702" s="1" t="n">
        <v>45597</v>
      </c>
      <c r="C1702" s="1" t="n">
        <v>45788</v>
      </c>
      <c r="D1702" t="inlineStr">
        <is>
          <t>JÄMTLANDS LÄN</t>
        </is>
      </c>
      <c r="E1702" t="inlineStr">
        <is>
          <t>RAGUNDA</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50011-2024</t>
        </is>
      </c>
      <c r="B1703" s="1" t="n">
        <v>45598</v>
      </c>
      <c r="C1703" s="1" t="n">
        <v>45788</v>
      </c>
      <c r="D1703" t="inlineStr">
        <is>
          <t>JÄMTLANDS LÄN</t>
        </is>
      </c>
      <c r="E1703" t="inlineStr">
        <is>
          <t>RAGUNDA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50521-2024</t>
        </is>
      </c>
      <c r="B1704" s="1" t="n">
        <v>45601</v>
      </c>
      <c r="C1704" s="1" t="n">
        <v>45788</v>
      </c>
      <c r="D1704" t="inlineStr">
        <is>
          <t>JÄMTLANDS LÄN</t>
        </is>
      </c>
      <c r="E1704" t="inlineStr">
        <is>
          <t>RAGUNDA</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50555-2024</t>
        </is>
      </c>
      <c r="B1705" s="1" t="n">
        <v>45601</v>
      </c>
      <c r="C1705" s="1" t="n">
        <v>45788</v>
      </c>
      <c r="D1705" t="inlineStr">
        <is>
          <t>JÄMTLANDS LÄN</t>
        </is>
      </c>
      <c r="E1705" t="inlineStr">
        <is>
          <t>RAGUNDA</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50432-2024</t>
        </is>
      </c>
      <c r="B1706" s="1" t="n">
        <v>45601</v>
      </c>
      <c r="C1706" s="1" t="n">
        <v>45788</v>
      </c>
      <c r="D1706" t="inlineStr">
        <is>
          <t>JÄMTLANDS LÄN</t>
        </is>
      </c>
      <c r="E1706" t="inlineStr">
        <is>
          <t>RAGUNDA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50503-2024</t>
        </is>
      </c>
      <c r="B1707" s="1" t="n">
        <v>45601</v>
      </c>
      <c r="C1707" s="1" t="n">
        <v>45788</v>
      </c>
      <c r="D1707" t="inlineStr">
        <is>
          <t>JÄMTLANDS LÄN</t>
        </is>
      </c>
      <c r="E1707" t="inlineStr">
        <is>
          <t>RAGUNDA</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50623-2024</t>
        </is>
      </c>
      <c r="B1708" s="1" t="n">
        <v>45601</v>
      </c>
      <c r="C1708" s="1" t="n">
        <v>45788</v>
      </c>
      <c r="D1708" t="inlineStr">
        <is>
          <t>JÄMTLANDS LÄN</t>
        </is>
      </c>
      <c r="E1708" t="inlineStr">
        <is>
          <t>RAGUNDA</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50431-2024</t>
        </is>
      </c>
      <c r="B1709" s="1" t="n">
        <v>45601</v>
      </c>
      <c r="C1709" s="1" t="n">
        <v>45788</v>
      </c>
      <c r="D1709" t="inlineStr">
        <is>
          <t>JÄMTLANDS LÄN</t>
        </is>
      </c>
      <c r="E1709" t="inlineStr">
        <is>
          <t>RAGUNDA</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51066-2024</t>
        </is>
      </c>
      <c r="B1710" s="1" t="n">
        <v>45603</v>
      </c>
      <c r="C1710" s="1" t="n">
        <v>45788</v>
      </c>
      <c r="D1710" t="inlineStr">
        <is>
          <t>JÄMTLANDS LÄN</t>
        </is>
      </c>
      <c r="E1710" t="inlineStr">
        <is>
          <t>RAGUNDA</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51245-2024</t>
        </is>
      </c>
      <c r="B1711" s="1" t="n">
        <v>45603</v>
      </c>
      <c r="C1711" s="1" t="n">
        <v>45788</v>
      </c>
      <c r="D1711" t="inlineStr">
        <is>
          <t>JÄMTLANDS LÄN</t>
        </is>
      </c>
      <c r="E1711" t="inlineStr">
        <is>
          <t>RAGUNDA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51049-2024</t>
        </is>
      </c>
      <c r="B1712" s="1" t="n">
        <v>45603</v>
      </c>
      <c r="C1712" s="1" t="n">
        <v>45788</v>
      </c>
      <c r="D1712" t="inlineStr">
        <is>
          <t>JÄMTLANDS LÄN</t>
        </is>
      </c>
      <c r="E1712" t="inlineStr">
        <is>
          <t>RAGUNDA</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51396-2024</t>
        </is>
      </c>
      <c r="B1713" s="1" t="n">
        <v>45604</v>
      </c>
      <c r="C1713" s="1" t="n">
        <v>45788</v>
      </c>
      <c r="D1713" t="inlineStr">
        <is>
          <t>JÄMTLANDS LÄN</t>
        </is>
      </c>
      <c r="E1713" t="inlineStr">
        <is>
          <t>RAGUNDA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51412-2024</t>
        </is>
      </c>
      <c r="B1714" s="1" t="n">
        <v>45604</v>
      </c>
      <c r="C1714" s="1" t="n">
        <v>45788</v>
      </c>
      <c r="D1714" t="inlineStr">
        <is>
          <t>JÄMTLANDS LÄN</t>
        </is>
      </c>
      <c r="E1714" t="inlineStr">
        <is>
          <t>RAGUNDA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51335-2024</t>
        </is>
      </c>
      <c r="B1715" s="1" t="n">
        <v>45604</v>
      </c>
      <c r="C1715" s="1" t="n">
        <v>45788</v>
      </c>
      <c r="D1715" t="inlineStr">
        <is>
          <t>JÄMTLANDS LÄN</t>
        </is>
      </c>
      <c r="E1715" t="inlineStr">
        <is>
          <t>RAGUNDA</t>
        </is>
      </c>
      <c r="F1715" t="inlineStr">
        <is>
          <t>SCA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51579-2024</t>
        </is>
      </c>
      <c r="B1716" s="1" t="n">
        <v>45604</v>
      </c>
      <c r="C1716" s="1" t="n">
        <v>45788</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51389-2024</t>
        </is>
      </c>
      <c r="B1717" s="1" t="n">
        <v>45604</v>
      </c>
      <c r="C1717" s="1" t="n">
        <v>45788</v>
      </c>
      <c r="D1717" t="inlineStr">
        <is>
          <t>JÄMTLANDS LÄN</t>
        </is>
      </c>
      <c r="E1717" t="inlineStr">
        <is>
          <t>RAGUNDA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51393-2024</t>
        </is>
      </c>
      <c r="B1718" s="1" t="n">
        <v>45604</v>
      </c>
      <c r="C1718" s="1" t="n">
        <v>45788</v>
      </c>
      <c r="D1718" t="inlineStr">
        <is>
          <t>JÄMTLANDS LÄN</t>
        </is>
      </c>
      <c r="E1718" t="inlineStr">
        <is>
          <t>RAGUNDA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51397-2024</t>
        </is>
      </c>
      <c r="B1719" s="1" t="n">
        <v>45604</v>
      </c>
      <c r="C1719" s="1" t="n">
        <v>45788</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51417-2024</t>
        </is>
      </c>
      <c r="B1720" s="1" t="n">
        <v>45604</v>
      </c>
      <c r="C1720" s="1" t="n">
        <v>45788</v>
      </c>
      <c r="D1720" t="inlineStr">
        <is>
          <t>JÄMTLANDS LÄN</t>
        </is>
      </c>
      <c r="E1720" t="inlineStr">
        <is>
          <t>RAGUNDA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52013-2024</t>
        </is>
      </c>
      <c r="B1721" s="1" t="n">
        <v>45607</v>
      </c>
      <c r="C1721" s="1" t="n">
        <v>45788</v>
      </c>
      <c r="D1721" t="inlineStr">
        <is>
          <t>JÄMTLANDS LÄN</t>
        </is>
      </c>
      <c r="E1721" t="inlineStr">
        <is>
          <t>RAGUNDA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52228-2024</t>
        </is>
      </c>
      <c r="B1722" s="1" t="n">
        <v>45608</v>
      </c>
      <c r="C1722" s="1" t="n">
        <v>45788</v>
      </c>
      <c r="D1722" t="inlineStr">
        <is>
          <t>JÄMTLANDS LÄN</t>
        </is>
      </c>
      <c r="E1722" t="inlineStr">
        <is>
          <t>RAGUNDA</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52148-2024</t>
        </is>
      </c>
      <c r="B1723" s="1" t="n">
        <v>45608</v>
      </c>
      <c r="C1723" s="1" t="n">
        <v>45788</v>
      </c>
      <c r="D1723" t="inlineStr">
        <is>
          <t>JÄMTLANDS LÄN</t>
        </is>
      </c>
      <c r="E1723" t="inlineStr">
        <is>
          <t>RAGUNDA</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52345-2024</t>
        </is>
      </c>
      <c r="B1724" s="1" t="n">
        <v>45609</v>
      </c>
      <c r="C1724" s="1" t="n">
        <v>45788</v>
      </c>
      <c r="D1724" t="inlineStr">
        <is>
          <t>JÄMTLANDS LÄN</t>
        </is>
      </c>
      <c r="E1724" t="inlineStr">
        <is>
          <t>RAGUNDA</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52599-2024</t>
        </is>
      </c>
      <c r="B1725" s="1" t="n">
        <v>45609</v>
      </c>
      <c r="C1725" s="1" t="n">
        <v>45788</v>
      </c>
      <c r="D1725" t="inlineStr">
        <is>
          <t>JÄMTLANDS LÄN</t>
        </is>
      </c>
      <c r="E1725" t="inlineStr">
        <is>
          <t>RAGUNDA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52708-2024</t>
        </is>
      </c>
      <c r="B1726" s="1" t="n">
        <v>45610</v>
      </c>
      <c r="C1726" s="1" t="n">
        <v>45788</v>
      </c>
      <c r="D1726" t="inlineStr">
        <is>
          <t>JÄMTLANDS LÄN</t>
        </is>
      </c>
      <c r="E1726" t="inlineStr">
        <is>
          <t>RAGUNDA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53171-2024</t>
        </is>
      </c>
      <c r="B1727" s="1" t="n">
        <v>45611</v>
      </c>
      <c r="C1727" s="1" t="n">
        <v>45788</v>
      </c>
      <c r="D1727" t="inlineStr">
        <is>
          <t>JÄMTLANDS LÄN</t>
        </is>
      </c>
      <c r="E1727" t="inlineStr">
        <is>
          <t>RAGUNDA</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53133-2024</t>
        </is>
      </c>
      <c r="B1728" s="1" t="n">
        <v>45611</v>
      </c>
      <c r="C1728" s="1" t="n">
        <v>45788</v>
      </c>
      <c r="D1728" t="inlineStr">
        <is>
          <t>JÄMTLANDS LÄN</t>
        </is>
      </c>
      <c r="E1728" t="inlineStr">
        <is>
          <t>RAGUNDA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53136-2024</t>
        </is>
      </c>
      <c r="B1729" s="1" t="n">
        <v>45611</v>
      </c>
      <c r="C1729" s="1" t="n">
        <v>45788</v>
      </c>
      <c r="D1729" t="inlineStr">
        <is>
          <t>JÄMTLANDS LÄN</t>
        </is>
      </c>
      <c r="E1729" t="inlineStr">
        <is>
          <t>RAGUNDA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53144-2024</t>
        </is>
      </c>
      <c r="B1730" s="1" t="n">
        <v>45611</v>
      </c>
      <c r="C1730" s="1" t="n">
        <v>45788</v>
      </c>
      <c r="D1730" t="inlineStr">
        <is>
          <t>JÄMTLANDS LÄN</t>
        </is>
      </c>
      <c r="E1730" t="inlineStr">
        <is>
          <t>RAGUNDA</t>
        </is>
      </c>
      <c r="F1730" t="inlineStr">
        <is>
          <t>SCA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53135-2024</t>
        </is>
      </c>
      <c r="B1731" s="1" t="n">
        <v>45611</v>
      </c>
      <c r="C1731" s="1" t="n">
        <v>45788</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53134-2024</t>
        </is>
      </c>
      <c r="B1732" s="1" t="n">
        <v>45611</v>
      </c>
      <c r="C1732" s="1" t="n">
        <v>45788</v>
      </c>
      <c r="D1732" t="inlineStr">
        <is>
          <t>JÄMTLANDS LÄN</t>
        </is>
      </c>
      <c r="E1732" t="inlineStr">
        <is>
          <t>RAGUNDA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53551-2024</t>
        </is>
      </c>
      <c r="B1733" s="1" t="n">
        <v>45614</v>
      </c>
      <c r="C1733" s="1" t="n">
        <v>45788</v>
      </c>
      <c r="D1733" t="inlineStr">
        <is>
          <t>JÄMTLANDS LÄN</t>
        </is>
      </c>
      <c r="E1733" t="inlineStr">
        <is>
          <t>RAGUNDA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53561-2024</t>
        </is>
      </c>
      <c r="B1734" s="1" t="n">
        <v>45614</v>
      </c>
      <c r="C1734" s="1" t="n">
        <v>45788</v>
      </c>
      <c r="D1734" t="inlineStr">
        <is>
          <t>JÄMTLANDS LÄN</t>
        </is>
      </c>
      <c r="E1734" t="inlineStr">
        <is>
          <t>RAGUNDA</t>
        </is>
      </c>
      <c r="F1734" t="inlineStr">
        <is>
          <t>Naturvårdsverket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53264-2024</t>
        </is>
      </c>
      <c r="B1735" s="1" t="n">
        <v>45614</v>
      </c>
      <c r="C1735" s="1" t="n">
        <v>45788</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53549-2024</t>
        </is>
      </c>
      <c r="B1736" s="1" t="n">
        <v>45614</v>
      </c>
      <c r="C1736" s="1" t="n">
        <v>45788</v>
      </c>
      <c r="D1736" t="inlineStr">
        <is>
          <t>JÄMTLANDS LÄN</t>
        </is>
      </c>
      <c r="E1736" t="inlineStr">
        <is>
          <t>RAGUNDA</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53263-2024</t>
        </is>
      </c>
      <c r="B1737" s="1" t="n">
        <v>45614</v>
      </c>
      <c r="C1737" s="1" t="n">
        <v>45788</v>
      </c>
      <c r="D1737" t="inlineStr">
        <is>
          <t>JÄMTLANDS LÄN</t>
        </is>
      </c>
      <c r="E1737" t="inlineStr">
        <is>
          <t>RAGUNDA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53714-2024</t>
        </is>
      </c>
      <c r="B1738" s="1" t="n">
        <v>45615</v>
      </c>
      <c r="C1738" s="1" t="n">
        <v>45788</v>
      </c>
      <c r="D1738" t="inlineStr">
        <is>
          <t>JÄMTLANDS LÄN</t>
        </is>
      </c>
      <c r="E1738" t="inlineStr">
        <is>
          <t>RAGUNDA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53740-2024</t>
        </is>
      </c>
      <c r="B1739" s="1" t="n">
        <v>45615</v>
      </c>
      <c r="C1739" s="1" t="n">
        <v>45788</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53757-2024</t>
        </is>
      </c>
      <c r="B1740" s="1" t="n">
        <v>45615</v>
      </c>
      <c r="C1740" s="1" t="n">
        <v>45788</v>
      </c>
      <c r="D1740" t="inlineStr">
        <is>
          <t>JÄMTLANDS LÄN</t>
        </is>
      </c>
      <c r="E1740" t="inlineStr">
        <is>
          <t>RAGUNDA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53990-2024</t>
        </is>
      </c>
      <c r="B1741" s="1" t="n">
        <v>45616</v>
      </c>
      <c r="C1741" s="1" t="n">
        <v>45788</v>
      </c>
      <c r="D1741" t="inlineStr">
        <is>
          <t>JÄMTLANDS LÄN</t>
        </is>
      </c>
      <c r="E1741" t="inlineStr">
        <is>
          <t>RAGUNDA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54061-2024</t>
        </is>
      </c>
      <c r="B1742" s="1" t="n">
        <v>45616</v>
      </c>
      <c r="C1742" s="1" t="n">
        <v>45788</v>
      </c>
      <c r="D1742" t="inlineStr">
        <is>
          <t>JÄMTLANDS LÄN</t>
        </is>
      </c>
      <c r="E1742" t="inlineStr">
        <is>
          <t>RAGUNDA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54092-2024</t>
        </is>
      </c>
      <c r="B1743" s="1" t="n">
        <v>45616</v>
      </c>
      <c r="C1743" s="1" t="n">
        <v>45788</v>
      </c>
      <c r="D1743" t="inlineStr">
        <is>
          <t>JÄMTLANDS LÄN</t>
        </is>
      </c>
      <c r="E1743" t="inlineStr">
        <is>
          <t>RAGUNDA</t>
        </is>
      </c>
      <c r="F1743" t="inlineStr">
        <is>
          <t>Naturvårdsverket</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53989-2024</t>
        </is>
      </c>
      <c r="B1744" s="1" t="n">
        <v>45616</v>
      </c>
      <c r="C1744" s="1" t="n">
        <v>45788</v>
      </c>
      <c r="D1744" t="inlineStr">
        <is>
          <t>JÄMTLANDS LÄN</t>
        </is>
      </c>
      <c r="E1744" t="inlineStr">
        <is>
          <t>RAGUNDA</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54232-2024</t>
        </is>
      </c>
      <c r="B1745" s="1" t="n">
        <v>45616</v>
      </c>
      <c r="C1745" s="1" t="n">
        <v>45788</v>
      </c>
      <c r="D1745" t="inlineStr">
        <is>
          <t>JÄMTLANDS LÄN</t>
        </is>
      </c>
      <c r="E1745" t="inlineStr">
        <is>
          <t>RAGUNDA</t>
        </is>
      </c>
      <c r="F1745" t="inlineStr">
        <is>
          <t>Naturvårdsverket</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54339-2024</t>
        </is>
      </c>
      <c r="B1746" s="1" t="n">
        <v>45617</v>
      </c>
      <c r="C1746" s="1" t="n">
        <v>45788</v>
      </c>
      <c r="D1746" t="inlineStr">
        <is>
          <t>JÄMTLANDS LÄN</t>
        </is>
      </c>
      <c r="E1746" t="inlineStr">
        <is>
          <t>RAGUNDA</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54476-2024</t>
        </is>
      </c>
      <c r="B1747" s="1" t="n">
        <v>45617</v>
      </c>
      <c r="C1747" s="1" t="n">
        <v>45788</v>
      </c>
      <c r="D1747" t="inlineStr">
        <is>
          <t>JÄMTLANDS LÄN</t>
        </is>
      </c>
      <c r="E1747" t="inlineStr">
        <is>
          <t>RAGUNDA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54733-2024</t>
        </is>
      </c>
      <c r="B1748" s="1" t="n">
        <v>45618</v>
      </c>
      <c r="C1748" s="1" t="n">
        <v>45788</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54694-2024</t>
        </is>
      </c>
      <c r="B1749" s="1" t="n">
        <v>45618</v>
      </c>
      <c r="C1749" s="1" t="n">
        <v>45788</v>
      </c>
      <c r="D1749" t="inlineStr">
        <is>
          <t>JÄMTLANDS LÄN</t>
        </is>
      </c>
      <c r="E1749" t="inlineStr">
        <is>
          <t>RAGUNDA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54764-2024</t>
        </is>
      </c>
      <c r="B1750" s="1" t="n">
        <v>45618</v>
      </c>
      <c r="C1750" s="1" t="n">
        <v>45788</v>
      </c>
      <c r="D1750" t="inlineStr">
        <is>
          <t>JÄMTLANDS LÄN</t>
        </is>
      </c>
      <c r="E1750" t="inlineStr">
        <is>
          <t>RAGUNDA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55222-2024</t>
        </is>
      </c>
      <c r="B1751" s="1" t="n">
        <v>45621</v>
      </c>
      <c r="C1751" s="1" t="n">
        <v>45788</v>
      </c>
      <c r="D1751" t="inlineStr">
        <is>
          <t>JÄMTLANDS LÄN</t>
        </is>
      </c>
      <c r="E1751" t="inlineStr">
        <is>
          <t>RAGUNDA</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55489-2024</t>
        </is>
      </c>
      <c r="B1752" s="1" t="n">
        <v>45622</v>
      </c>
      <c r="C1752" s="1" t="n">
        <v>45788</v>
      </c>
      <c r="D1752" t="inlineStr">
        <is>
          <t>JÄMTLANDS LÄN</t>
        </is>
      </c>
      <c r="E1752" t="inlineStr">
        <is>
          <t>RAGUNDA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55571-2024</t>
        </is>
      </c>
      <c r="B1753" s="1" t="n">
        <v>45622</v>
      </c>
      <c r="C1753" s="1" t="n">
        <v>45788</v>
      </c>
      <c r="D1753" t="inlineStr">
        <is>
          <t>JÄMTLANDS LÄN</t>
        </is>
      </c>
      <c r="E1753" t="inlineStr">
        <is>
          <t>RAGUNDA</t>
        </is>
      </c>
      <c r="F1753" t="inlineStr">
        <is>
          <t>SCA</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55421-2024</t>
        </is>
      </c>
      <c r="B1754" s="1" t="n">
        <v>45622</v>
      </c>
      <c r="C1754" s="1" t="n">
        <v>45788</v>
      </c>
      <c r="D1754" t="inlineStr">
        <is>
          <t>JÄMTLANDS LÄN</t>
        </is>
      </c>
      <c r="E1754" t="inlineStr">
        <is>
          <t>RAGUNDA</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55508-2024</t>
        </is>
      </c>
      <c r="B1755" s="1" t="n">
        <v>45622</v>
      </c>
      <c r="C1755" s="1" t="n">
        <v>45788</v>
      </c>
      <c r="D1755" t="inlineStr">
        <is>
          <t>JÄMTLANDS LÄN</t>
        </is>
      </c>
      <c r="E1755" t="inlineStr">
        <is>
          <t>RAGUNDA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55536-2024</t>
        </is>
      </c>
      <c r="B1756" s="1" t="n">
        <v>45622</v>
      </c>
      <c r="C1756" s="1" t="n">
        <v>45788</v>
      </c>
      <c r="D1756" t="inlineStr">
        <is>
          <t>JÄMTLANDS LÄN</t>
        </is>
      </c>
      <c r="E1756" t="inlineStr">
        <is>
          <t>RAGUNDA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55514-2024</t>
        </is>
      </c>
      <c r="B1757" s="1" t="n">
        <v>45622</v>
      </c>
      <c r="C1757" s="1" t="n">
        <v>45788</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55524-2024</t>
        </is>
      </c>
      <c r="B1758" s="1" t="n">
        <v>45622</v>
      </c>
      <c r="C1758" s="1" t="n">
        <v>45788</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55533-2024</t>
        </is>
      </c>
      <c r="B1759" s="1" t="n">
        <v>45622</v>
      </c>
      <c r="C1759" s="1" t="n">
        <v>45788</v>
      </c>
      <c r="D1759" t="inlineStr">
        <is>
          <t>JÄMTLANDS LÄN</t>
        </is>
      </c>
      <c r="E1759" t="inlineStr">
        <is>
          <t>RAGUNDA</t>
        </is>
      </c>
      <c r="F1759" t="inlineStr">
        <is>
          <t>SCA</t>
        </is>
      </c>
      <c r="G1759" t="n">
        <v>26.3</v>
      </c>
      <c r="H1759" t="n">
        <v>0</v>
      </c>
      <c r="I1759" t="n">
        <v>0</v>
      </c>
      <c r="J1759" t="n">
        <v>0</v>
      </c>
      <c r="K1759" t="n">
        <v>0</v>
      </c>
      <c r="L1759" t="n">
        <v>0</v>
      </c>
      <c r="M1759" t="n">
        <v>0</v>
      </c>
      <c r="N1759" t="n">
        <v>0</v>
      </c>
      <c r="O1759" t="n">
        <v>0</v>
      </c>
      <c r="P1759" t="n">
        <v>0</v>
      </c>
      <c r="Q1759" t="n">
        <v>0</v>
      </c>
      <c r="R1759" s="2" t="inlineStr"/>
    </row>
    <row r="1760" ht="15" customHeight="1">
      <c r="A1760" t="inlineStr">
        <is>
          <t>A 55803-2024</t>
        </is>
      </c>
      <c r="B1760" s="1" t="n">
        <v>45623</v>
      </c>
      <c r="C1760" s="1" t="n">
        <v>45788</v>
      </c>
      <c r="D1760" t="inlineStr">
        <is>
          <t>JÄMTLANDS LÄN</t>
        </is>
      </c>
      <c r="E1760" t="inlineStr">
        <is>
          <t>RAGUNDA</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55804-2024</t>
        </is>
      </c>
      <c r="B1761" s="1" t="n">
        <v>45623</v>
      </c>
      <c r="C1761" s="1" t="n">
        <v>45788</v>
      </c>
      <c r="D1761" t="inlineStr">
        <is>
          <t>JÄMTLANDS LÄN</t>
        </is>
      </c>
      <c r="E1761" t="inlineStr">
        <is>
          <t>RAGUNDA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56504-2024</t>
        </is>
      </c>
      <c r="B1762" s="1" t="n">
        <v>45625</v>
      </c>
      <c r="C1762" s="1" t="n">
        <v>45788</v>
      </c>
      <c r="D1762" t="inlineStr">
        <is>
          <t>JÄMTLANDS LÄN</t>
        </is>
      </c>
      <c r="E1762" t="inlineStr">
        <is>
          <t>RAGUNDA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56893-2024</t>
        </is>
      </c>
      <c r="B1763" s="1" t="n">
        <v>45628</v>
      </c>
      <c r="C1763" s="1" t="n">
        <v>45788</v>
      </c>
      <c r="D1763" t="inlineStr">
        <is>
          <t>JÄMTLANDS LÄN</t>
        </is>
      </c>
      <c r="E1763" t="inlineStr">
        <is>
          <t>RAGUNDA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57086-2024</t>
        </is>
      </c>
      <c r="B1764" s="1" t="n">
        <v>45629</v>
      </c>
      <c r="C1764" s="1" t="n">
        <v>45788</v>
      </c>
      <c r="D1764" t="inlineStr">
        <is>
          <t>JÄMTLANDS LÄN</t>
        </is>
      </c>
      <c r="E1764" t="inlineStr">
        <is>
          <t>RAGUNDA</t>
        </is>
      </c>
      <c r="F1764" t="inlineStr">
        <is>
          <t>SCA</t>
        </is>
      </c>
      <c r="G1764" t="n">
        <v>24.6</v>
      </c>
      <c r="H1764" t="n">
        <v>0</v>
      </c>
      <c r="I1764" t="n">
        <v>0</v>
      </c>
      <c r="J1764" t="n">
        <v>0</v>
      </c>
      <c r="K1764" t="n">
        <v>0</v>
      </c>
      <c r="L1764" t="n">
        <v>0</v>
      </c>
      <c r="M1764" t="n">
        <v>0</v>
      </c>
      <c r="N1764" t="n">
        <v>0</v>
      </c>
      <c r="O1764" t="n">
        <v>0</v>
      </c>
      <c r="P1764" t="n">
        <v>0</v>
      </c>
      <c r="Q1764" t="n">
        <v>0</v>
      </c>
      <c r="R1764" s="2" t="inlineStr"/>
    </row>
    <row r="1765" ht="15" customHeight="1">
      <c r="A1765" t="inlineStr">
        <is>
          <t>A 57112-2024</t>
        </is>
      </c>
      <c r="B1765" s="1" t="n">
        <v>45629</v>
      </c>
      <c r="C1765" s="1" t="n">
        <v>45788</v>
      </c>
      <c r="D1765" t="inlineStr">
        <is>
          <t>JÄMTLANDS LÄN</t>
        </is>
      </c>
      <c r="E1765" t="inlineStr">
        <is>
          <t>RAGUNDA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57116-2024</t>
        </is>
      </c>
      <c r="B1766" s="1" t="n">
        <v>45629</v>
      </c>
      <c r="C1766" s="1" t="n">
        <v>45788</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57064-2024</t>
        </is>
      </c>
      <c r="B1767" s="1" t="n">
        <v>45629</v>
      </c>
      <c r="C1767" s="1" t="n">
        <v>45788</v>
      </c>
      <c r="D1767" t="inlineStr">
        <is>
          <t>JÄMTLANDS LÄN</t>
        </is>
      </c>
      <c r="E1767" t="inlineStr">
        <is>
          <t>RAGUNDA</t>
        </is>
      </c>
      <c r="F1767" t="inlineStr">
        <is>
          <t>Naturvårdsverket</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57170-2024</t>
        </is>
      </c>
      <c r="B1768" s="1" t="n">
        <v>45629</v>
      </c>
      <c r="C1768" s="1" t="n">
        <v>45788</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57749-2024</t>
        </is>
      </c>
      <c r="B1769" s="1" t="n">
        <v>45630</v>
      </c>
      <c r="C1769" s="1" t="n">
        <v>45788</v>
      </c>
      <c r="D1769" t="inlineStr">
        <is>
          <t>JÄMTLANDS LÄN</t>
        </is>
      </c>
      <c r="E1769" t="inlineStr">
        <is>
          <t>RAGUNDA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57842-2024</t>
        </is>
      </c>
      <c r="B1770" s="1" t="n">
        <v>45631</v>
      </c>
      <c r="C1770" s="1" t="n">
        <v>45788</v>
      </c>
      <c r="D1770" t="inlineStr">
        <is>
          <t>JÄMTLANDS LÄN</t>
        </is>
      </c>
      <c r="E1770" t="inlineStr">
        <is>
          <t>RAGUNDA</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57889-2024</t>
        </is>
      </c>
      <c r="B1771" s="1" t="n">
        <v>45631</v>
      </c>
      <c r="C1771" s="1" t="n">
        <v>45788</v>
      </c>
      <c r="D1771" t="inlineStr">
        <is>
          <t>JÄMTLANDS LÄN</t>
        </is>
      </c>
      <c r="E1771" t="inlineStr">
        <is>
          <t>RAGUNDA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57992-2024</t>
        </is>
      </c>
      <c r="B1772" s="1" t="n">
        <v>45631</v>
      </c>
      <c r="C1772" s="1" t="n">
        <v>45788</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58563-2024</t>
        </is>
      </c>
      <c r="B1773" s="1" t="n">
        <v>45635</v>
      </c>
      <c r="C1773" s="1" t="n">
        <v>45788</v>
      </c>
      <c r="D1773" t="inlineStr">
        <is>
          <t>JÄMTLANDS LÄN</t>
        </is>
      </c>
      <c r="E1773" t="inlineStr">
        <is>
          <t>RAGUNDA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58630-2024</t>
        </is>
      </c>
      <c r="B1774" s="1" t="n">
        <v>45635</v>
      </c>
      <c r="C1774" s="1" t="n">
        <v>45788</v>
      </c>
      <c r="D1774" t="inlineStr">
        <is>
          <t>JÄMTLANDS LÄN</t>
        </is>
      </c>
      <c r="E1774" t="inlineStr">
        <is>
          <t>RAGUNDA</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58564-2024</t>
        </is>
      </c>
      <c r="B1775" s="1" t="n">
        <v>45635</v>
      </c>
      <c r="C1775" s="1" t="n">
        <v>45788</v>
      </c>
      <c r="D1775" t="inlineStr">
        <is>
          <t>JÄMTLANDS LÄN</t>
        </is>
      </c>
      <c r="E1775" t="inlineStr">
        <is>
          <t>RAGUNDA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58562-2024</t>
        </is>
      </c>
      <c r="B1776" s="1" t="n">
        <v>45635</v>
      </c>
      <c r="C1776" s="1" t="n">
        <v>45788</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58955-2024</t>
        </is>
      </c>
      <c r="B1777" s="1" t="n">
        <v>45636</v>
      </c>
      <c r="C1777" s="1" t="n">
        <v>45788</v>
      </c>
      <c r="D1777" t="inlineStr">
        <is>
          <t>JÄMTLANDS LÄN</t>
        </is>
      </c>
      <c r="E1777" t="inlineStr">
        <is>
          <t>RAGUNDA</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58847-2024</t>
        </is>
      </c>
      <c r="B1778" s="1" t="n">
        <v>45636</v>
      </c>
      <c r="C1778" s="1" t="n">
        <v>45788</v>
      </c>
      <c r="D1778" t="inlineStr">
        <is>
          <t>JÄMTLANDS LÄN</t>
        </is>
      </c>
      <c r="E1778" t="inlineStr">
        <is>
          <t>RAGUNDA</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58843-2024</t>
        </is>
      </c>
      <c r="B1779" s="1" t="n">
        <v>45636</v>
      </c>
      <c r="C1779" s="1" t="n">
        <v>45788</v>
      </c>
      <c r="D1779" t="inlineStr">
        <is>
          <t>JÄMTLANDS LÄN</t>
        </is>
      </c>
      <c r="E1779" t="inlineStr">
        <is>
          <t>RAGUNDA</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58844-2024</t>
        </is>
      </c>
      <c r="B1780" s="1" t="n">
        <v>45636</v>
      </c>
      <c r="C1780" s="1" t="n">
        <v>45788</v>
      </c>
      <c r="D1780" t="inlineStr">
        <is>
          <t>JÄMTLANDS LÄN</t>
        </is>
      </c>
      <c r="E1780" t="inlineStr">
        <is>
          <t>RAGUNDA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59556-2024</t>
        </is>
      </c>
      <c r="B1781" s="1" t="n">
        <v>45638</v>
      </c>
      <c r="C1781" s="1" t="n">
        <v>45788</v>
      </c>
      <c r="D1781" t="inlineStr">
        <is>
          <t>JÄMTLANDS LÄN</t>
        </is>
      </c>
      <c r="E1781" t="inlineStr">
        <is>
          <t>RAGUNDA</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59492-2024</t>
        </is>
      </c>
      <c r="B1782" s="1" t="n">
        <v>45638</v>
      </c>
      <c r="C1782" s="1" t="n">
        <v>45788</v>
      </c>
      <c r="D1782" t="inlineStr">
        <is>
          <t>JÄMTLANDS LÄN</t>
        </is>
      </c>
      <c r="E1782" t="inlineStr">
        <is>
          <t>RAGUNDA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59496-2024</t>
        </is>
      </c>
      <c r="B1783" s="1" t="n">
        <v>45638</v>
      </c>
      <c r="C1783" s="1" t="n">
        <v>45788</v>
      </c>
      <c r="D1783" t="inlineStr">
        <is>
          <t>JÄMTLANDS LÄN</t>
        </is>
      </c>
      <c r="E1783" t="inlineStr">
        <is>
          <t>RAGUNDA</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59372-2024</t>
        </is>
      </c>
      <c r="B1784" s="1" t="n">
        <v>45638</v>
      </c>
      <c r="C1784" s="1" t="n">
        <v>45788</v>
      </c>
      <c r="D1784" t="inlineStr">
        <is>
          <t>JÄMTLANDS LÄN</t>
        </is>
      </c>
      <c r="E1784" t="inlineStr">
        <is>
          <t>RAGUNDA</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59800-2024</t>
        </is>
      </c>
      <c r="B1785" s="1" t="n">
        <v>45639</v>
      </c>
      <c r="C1785" s="1" t="n">
        <v>45788</v>
      </c>
      <c r="D1785" t="inlineStr">
        <is>
          <t>JÄMTLANDS LÄN</t>
        </is>
      </c>
      <c r="E1785" t="inlineStr">
        <is>
          <t>RAGUNDA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59670-2024</t>
        </is>
      </c>
      <c r="B1786" s="1" t="n">
        <v>45639</v>
      </c>
      <c r="C1786" s="1" t="n">
        <v>45788</v>
      </c>
      <c r="D1786" t="inlineStr">
        <is>
          <t>JÄMTLANDS LÄN</t>
        </is>
      </c>
      <c r="E1786" t="inlineStr">
        <is>
          <t>RAGUNDA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59759-2024</t>
        </is>
      </c>
      <c r="B1787" s="1" t="n">
        <v>45639</v>
      </c>
      <c r="C1787" s="1" t="n">
        <v>45788</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59649-2024</t>
        </is>
      </c>
      <c r="B1788" s="1" t="n">
        <v>45639</v>
      </c>
      <c r="C1788" s="1" t="n">
        <v>45788</v>
      </c>
      <c r="D1788" t="inlineStr">
        <is>
          <t>JÄMTLANDS LÄN</t>
        </is>
      </c>
      <c r="E1788" t="inlineStr">
        <is>
          <t>RAGUNDA</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60045-2024</t>
        </is>
      </c>
      <c r="B1789" s="1" t="n">
        <v>45642</v>
      </c>
      <c r="C1789" s="1" t="n">
        <v>45788</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60762-2024</t>
        </is>
      </c>
      <c r="B1790" s="1" t="n">
        <v>45644</v>
      </c>
      <c r="C1790" s="1" t="n">
        <v>45788</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60935-2024</t>
        </is>
      </c>
      <c r="B1791" s="1" t="n">
        <v>45645</v>
      </c>
      <c r="C1791" s="1" t="n">
        <v>45788</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61107-2024</t>
        </is>
      </c>
      <c r="B1792" s="1" t="n">
        <v>45645</v>
      </c>
      <c r="C1792" s="1" t="n">
        <v>45788</v>
      </c>
      <c r="D1792" t="inlineStr">
        <is>
          <t>JÄMTLANDS LÄN</t>
        </is>
      </c>
      <c r="E1792" t="inlineStr">
        <is>
          <t>RAGUNDA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61106-2024</t>
        </is>
      </c>
      <c r="B1793" s="1" t="n">
        <v>45645</v>
      </c>
      <c r="C1793" s="1" t="n">
        <v>45788</v>
      </c>
      <c r="D1793" t="inlineStr">
        <is>
          <t>JÄMTLANDS LÄN</t>
        </is>
      </c>
      <c r="E1793" t="inlineStr">
        <is>
          <t>RAGUNDA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60936-2024</t>
        </is>
      </c>
      <c r="B1794" s="1" t="n">
        <v>45645</v>
      </c>
      <c r="C1794" s="1" t="n">
        <v>45788</v>
      </c>
      <c r="D1794" t="inlineStr">
        <is>
          <t>JÄMTLANDS LÄN</t>
        </is>
      </c>
      <c r="E1794" t="inlineStr">
        <is>
          <t>RAGUNDA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61109-2024</t>
        </is>
      </c>
      <c r="B1795" s="1" t="n">
        <v>45645</v>
      </c>
      <c r="C1795" s="1" t="n">
        <v>45788</v>
      </c>
      <c r="D1795" t="inlineStr">
        <is>
          <t>JÄMTLANDS LÄN</t>
        </is>
      </c>
      <c r="E1795" t="inlineStr">
        <is>
          <t>RAGUNDA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61058-2024</t>
        </is>
      </c>
      <c r="B1796" s="1" t="n">
        <v>45645</v>
      </c>
      <c r="C1796" s="1" t="n">
        <v>45788</v>
      </c>
      <c r="D1796" t="inlineStr">
        <is>
          <t>JÄMTLANDS LÄN</t>
        </is>
      </c>
      <c r="E1796" t="inlineStr">
        <is>
          <t>RAGUNDA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61324-2024</t>
        </is>
      </c>
      <c r="B1797" s="1" t="n">
        <v>45646</v>
      </c>
      <c r="C1797" s="1" t="n">
        <v>45788</v>
      </c>
      <c r="D1797" t="inlineStr">
        <is>
          <t>JÄMTLANDS LÄN</t>
        </is>
      </c>
      <c r="E1797" t="inlineStr">
        <is>
          <t>RAGUNDA</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61340-2024</t>
        </is>
      </c>
      <c r="B1798" s="1" t="n">
        <v>45646</v>
      </c>
      <c r="C1798" s="1" t="n">
        <v>45788</v>
      </c>
      <c r="D1798" t="inlineStr">
        <is>
          <t>JÄMTLANDS LÄN</t>
        </is>
      </c>
      <c r="E1798" t="inlineStr">
        <is>
          <t>RAGUNDA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61460-2024</t>
        </is>
      </c>
      <c r="B1799" s="1" t="n">
        <v>45646</v>
      </c>
      <c r="C1799" s="1" t="n">
        <v>45788</v>
      </c>
      <c r="D1799" t="inlineStr">
        <is>
          <t>JÄMTLANDS LÄN</t>
        </is>
      </c>
      <c r="E1799" t="inlineStr">
        <is>
          <t>RAGUNDA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61598-2024</t>
        </is>
      </c>
      <c r="B1800" s="1" t="n">
        <v>45646</v>
      </c>
      <c r="C1800" s="1" t="n">
        <v>45788</v>
      </c>
      <c r="D1800" t="inlineStr">
        <is>
          <t>JÄMTLANDS LÄN</t>
        </is>
      </c>
      <c r="E1800" t="inlineStr">
        <is>
          <t>RAGUNDA</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95-2025</t>
        </is>
      </c>
      <c r="B1801" s="1" t="n">
        <v>45649</v>
      </c>
      <c r="C1801" s="1" t="n">
        <v>45788</v>
      </c>
      <c r="D1801" t="inlineStr">
        <is>
          <t>JÄMTLANDS LÄN</t>
        </is>
      </c>
      <c r="E1801" t="inlineStr">
        <is>
          <t>RAGUNDA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98-2025</t>
        </is>
      </c>
      <c r="B1802" s="1" t="n">
        <v>45649</v>
      </c>
      <c r="C1802" s="1" t="n">
        <v>45788</v>
      </c>
      <c r="D1802" t="inlineStr">
        <is>
          <t>JÄMTLANDS LÄN</t>
        </is>
      </c>
      <c r="E1802" t="inlineStr">
        <is>
          <t>RAGUNDA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61923-2024</t>
        </is>
      </c>
      <c r="B1803" s="1" t="n">
        <v>45653</v>
      </c>
      <c r="C1803" s="1" t="n">
        <v>45788</v>
      </c>
      <c r="D1803" t="inlineStr">
        <is>
          <t>JÄMTLANDS LÄN</t>
        </is>
      </c>
      <c r="E1803" t="inlineStr">
        <is>
          <t>RAGUNDA</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62135-2024</t>
        </is>
      </c>
      <c r="B1804" s="1" t="n">
        <v>45656</v>
      </c>
      <c r="C1804" s="1" t="n">
        <v>45788</v>
      </c>
      <c r="D1804" t="inlineStr">
        <is>
          <t>JÄMTLANDS LÄN</t>
        </is>
      </c>
      <c r="E1804" t="inlineStr">
        <is>
          <t>RAGUNDA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62105-2024</t>
        </is>
      </c>
      <c r="B1805" s="1" t="n">
        <v>45656</v>
      </c>
      <c r="C1805" s="1" t="n">
        <v>45788</v>
      </c>
      <c r="D1805" t="inlineStr">
        <is>
          <t>JÄMTLANDS LÄN</t>
        </is>
      </c>
      <c r="E1805" t="inlineStr">
        <is>
          <t>RAGUNDA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62115-2024</t>
        </is>
      </c>
      <c r="B1806" s="1" t="n">
        <v>45656</v>
      </c>
      <c r="C1806" s="1" t="n">
        <v>45788</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163-2025</t>
        </is>
      </c>
      <c r="B1807" s="1" t="n">
        <v>45659</v>
      </c>
      <c r="C1807" s="1" t="n">
        <v>45788</v>
      </c>
      <c r="D1807" t="inlineStr">
        <is>
          <t>JÄMTLANDS LÄN</t>
        </is>
      </c>
      <c r="E1807" t="inlineStr">
        <is>
          <t>RAGUNDA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179-2025</t>
        </is>
      </c>
      <c r="B1808" s="1" t="n">
        <v>45659</v>
      </c>
      <c r="C1808" s="1" t="n">
        <v>45788</v>
      </c>
      <c r="D1808" t="inlineStr">
        <is>
          <t>JÄMTLANDS LÄN</t>
        </is>
      </c>
      <c r="E1808" t="inlineStr">
        <is>
          <t>RAGUNDA</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503-2025</t>
        </is>
      </c>
      <c r="B1809" s="1" t="n">
        <v>45664</v>
      </c>
      <c r="C1809" s="1" t="n">
        <v>45788</v>
      </c>
      <c r="D1809" t="inlineStr">
        <is>
          <t>JÄMTLANDS LÄN</t>
        </is>
      </c>
      <c r="E1809" t="inlineStr">
        <is>
          <t>RAGUNDA</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564-2025</t>
        </is>
      </c>
      <c r="B1810" s="1" t="n">
        <v>45664</v>
      </c>
      <c r="C1810" s="1" t="n">
        <v>45788</v>
      </c>
      <c r="D1810" t="inlineStr">
        <is>
          <t>JÄMTLANDS LÄN</t>
        </is>
      </c>
      <c r="E1810" t="inlineStr">
        <is>
          <t>RAGUNDA</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504-2025</t>
        </is>
      </c>
      <c r="B1811" s="1" t="n">
        <v>45664</v>
      </c>
      <c r="C1811" s="1" t="n">
        <v>45788</v>
      </c>
      <c r="D1811" t="inlineStr">
        <is>
          <t>JÄMTLANDS LÄN</t>
        </is>
      </c>
      <c r="E1811" t="inlineStr">
        <is>
          <t>RAGUNDA</t>
        </is>
      </c>
      <c r="F1811" t="inlineStr">
        <is>
          <t>SCA</t>
        </is>
      </c>
      <c r="G1811" t="n">
        <v>22.5</v>
      </c>
      <c r="H1811" t="n">
        <v>0</v>
      </c>
      <c r="I1811" t="n">
        <v>0</v>
      </c>
      <c r="J1811" t="n">
        <v>0</v>
      </c>
      <c r="K1811" t="n">
        <v>0</v>
      </c>
      <c r="L1811" t="n">
        <v>0</v>
      </c>
      <c r="M1811" t="n">
        <v>0</v>
      </c>
      <c r="N1811" t="n">
        <v>0</v>
      </c>
      <c r="O1811" t="n">
        <v>0</v>
      </c>
      <c r="P1811" t="n">
        <v>0</v>
      </c>
      <c r="Q1811" t="n">
        <v>0</v>
      </c>
      <c r="R1811" s="2" t="inlineStr"/>
    </row>
    <row r="1812" ht="15" customHeight="1">
      <c r="A1812" t="inlineStr">
        <is>
          <t>A 893-2025</t>
        </is>
      </c>
      <c r="B1812" s="1" t="n">
        <v>45665</v>
      </c>
      <c r="C1812" s="1" t="n">
        <v>45788</v>
      </c>
      <c r="D1812" t="inlineStr">
        <is>
          <t>JÄMTLANDS LÄN</t>
        </is>
      </c>
      <c r="E1812" t="inlineStr">
        <is>
          <t>RAGUNDA</t>
        </is>
      </c>
      <c r="F1812" t="inlineStr">
        <is>
          <t>SCA</t>
        </is>
      </c>
      <c r="G1812" t="n">
        <v>45.1</v>
      </c>
      <c r="H1812" t="n">
        <v>0</v>
      </c>
      <c r="I1812" t="n">
        <v>0</v>
      </c>
      <c r="J1812" t="n">
        <v>0</v>
      </c>
      <c r="K1812" t="n">
        <v>0</v>
      </c>
      <c r="L1812" t="n">
        <v>0</v>
      </c>
      <c r="M1812" t="n">
        <v>0</v>
      </c>
      <c r="N1812" t="n">
        <v>0</v>
      </c>
      <c r="O1812" t="n">
        <v>0</v>
      </c>
      <c r="P1812" t="n">
        <v>0</v>
      </c>
      <c r="Q1812" t="n">
        <v>0</v>
      </c>
      <c r="R1812" s="2" t="inlineStr"/>
    </row>
    <row r="1813" ht="15" customHeight="1">
      <c r="A1813" t="inlineStr">
        <is>
          <t>A 1145-2025</t>
        </is>
      </c>
      <c r="B1813" s="1" t="n">
        <v>45666</v>
      </c>
      <c r="C1813" s="1" t="n">
        <v>45788</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993-2025</t>
        </is>
      </c>
      <c r="B1814" s="1" t="n">
        <v>45666</v>
      </c>
      <c r="C1814" s="1" t="n">
        <v>45788</v>
      </c>
      <c r="D1814" t="inlineStr">
        <is>
          <t>JÄMTLANDS LÄN</t>
        </is>
      </c>
      <c r="E1814" t="inlineStr">
        <is>
          <t>RAGUNDA</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985-2025</t>
        </is>
      </c>
      <c r="B1815" s="1" t="n">
        <v>45666</v>
      </c>
      <c r="C1815" s="1" t="n">
        <v>45788</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1308-2025</t>
        </is>
      </c>
      <c r="B1816" s="1" t="n">
        <v>45667</v>
      </c>
      <c r="C1816" s="1" t="n">
        <v>45788</v>
      </c>
      <c r="D1816" t="inlineStr">
        <is>
          <t>JÄMTLANDS LÄN</t>
        </is>
      </c>
      <c r="E1816" t="inlineStr">
        <is>
          <t>RAGUNDA</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1325-2025</t>
        </is>
      </c>
      <c r="B1817" s="1" t="n">
        <v>45667</v>
      </c>
      <c r="C1817" s="1" t="n">
        <v>45788</v>
      </c>
      <c r="D1817" t="inlineStr">
        <is>
          <t>JÄMTLANDS LÄN</t>
        </is>
      </c>
      <c r="E1817" t="inlineStr">
        <is>
          <t>RAGUNDA</t>
        </is>
      </c>
      <c r="F1817" t="inlineStr">
        <is>
          <t>SCA</t>
        </is>
      </c>
      <c r="G1817" t="n">
        <v>20.2</v>
      </c>
      <c r="H1817" t="n">
        <v>0</v>
      </c>
      <c r="I1817" t="n">
        <v>0</v>
      </c>
      <c r="J1817" t="n">
        <v>0</v>
      </c>
      <c r="K1817" t="n">
        <v>0</v>
      </c>
      <c r="L1817" t="n">
        <v>0</v>
      </c>
      <c r="M1817" t="n">
        <v>0</v>
      </c>
      <c r="N1817" t="n">
        <v>0</v>
      </c>
      <c r="O1817" t="n">
        <v>0</v>
      </c>
      <c r="P1817" t="n">
        <v>0</v>
      </c>
      <c r="Q1817" t="n">
        <v>0</v>
      </c>
      <c r="R1817" s="2" t="inlineStr"/>
    </row>
    <row r="1818" ht="15" customHeight="1">
      <c r="A1818" t="inlineStr">
        <is>
          <t>A 1340-2025</t>
        </is>
      </c>
      <c r="B1818" s="1" t="n">
        <v>45667</v>
      </c>
      <c r="C1818" s="1" t="n">
        <v>45788</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1250-2025</t>
        </is>
      </c>
      <c r="B1819" s="1" t="n">
        <v>45667</v>
      </c>
      <c r="C1819" s="1" t="n">
        <v>45788</v>
      </c>
      <c r="D1819" t="inlineStr">
        <is>
          <t>JÄMTLANDS LÄN</t>
        </is>
      </c>
      <c r="E1819" t="inlineStr">
        <is>
          <t>RAGUNDA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1326-2025</t>
        </is>
      </c>
      <c r="B1820" s="1" t="n">
        <v>45667</v>
      </c>
      <c r="C1820" s="1" t="n">
        <v>45788</v>
      </c>
      <c r="D1820" t="inlineStr">
        <is>
          <t>JÄMTLANDS LÄN</t>
        </is>
      </c>
      <c r="E1820" t="inlineStr">
        <is>
          <t>RAGUNDA</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1809-2025</t>
        </is>
      </c>
      <c r="B1821" s="1" t="n">
        <v>45671</v>
      </c>
      <c r="C1821" s="1" t="n">
        <v>45788</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1911-2025</t>
        </is>
      </c>
      <c r="B1822" s="1" t="n">
        <v>45671</v>
      </c>
      <c r="C1822" s="1" t="n">
        <v>45788</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1837-2025</t>
        </is>
      </c>
      <c r="B1823" s="1" t="n">
        <v>45671</v>
      </c>
      <c r="C1823" s="1" t="n">
        <v>45788</v>
      </c>
      <c r="D1823" t="inlineStr">
        <is>
          <t>JÄMTLANDS LÄN</t>
        </is>
      </c>
      <c r="E1823" t="inlineStr">
        <is>
          <t>RAGUNDA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1912-2025</t>
        </is>
      </c>
      <c r="B1824" s="1" t="n">
        <v>45671</v>
      </c>
      <c r="C1824" s="1" t="n">
        <v>45788</v>
      </c>
      <c r="D1824" t="inlineStr">
        <is>
          <t>JÄMTLANDS LÄN</t>
        </is>
      </c>
      <c r="E1824" t="inlineStr">
        <is>
          <t>RAGUNDA</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2001-2025</t>
        </is>
      </c>
      <c r="B1825" s="1" t="n">
        <v>45672</v>
      </c>
      <c r="C1825" s="1" t="n">
        <v>45788</v>
      </c>
      <c r="D1825" t="inlineStr">
        <is>
          <t>JÄMTLANDS LÄN</t>
        </is>
      </c>
      <c r="E1825" t="inlineStr">
        <is>
          <t>RAGUNDA</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1985-2025</t>
        </is>
      </c>
      <c r="B1826" s="1" t="n">
        <v>45672</v>
      </c>
      <c r="C1826" s="1" t="n">
        <v>45788</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2103-2025</t>
        </is>
      </c>
      <c r="B1827" s="1" t="n">
        <v>45672</v>
      </c>
      <c r="C1827" s="1" t="n">
        <v>45788</v>
      </c>
      <c r="D1827" t="inlineStr">
        <is>
          <t>JÄMTLANDS LÄN</t>
        </is>
      </c>
      <c r="E1827" t="inlineStr">
        <is>
          <t>RAGUNDA</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2339-2025</t>
        </is>
      </c>
      <c r="B1828" s="1" t="n">
        <v>45673</v>
      </c>
      <c r="C1828" s="1" t="n">
        <v>45788</v>
      </c>
      <c r="D1828" t="inlineStr">
        <is>
          <t>JÄMTLANDS LÄN</t>
        </is>
      </c>
      <c r="E1828" t="inlineStr">
        <is>
          <t>RAGUNDA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2758-2025</t>
        </is>
      </c>
      <c r="B1829" s="1" t="n">
        <v>45677</v>
      </c>
      <c r="C1829" s="1" t="n">
        <v>45788</v>
      </c>
      <c r="D1829" t="inlineStr">
        <is>
          <t>JÄMTLANDS LÄN</t>
        </is>
      </c>
      <c r="E1829" t="inlineStr">
        <is>
          <t>RAGUNDA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2762-2025</t>
        </is>
      </c>
      <c r="B1830" s="1" t="n">
        <v>45677</v>
      </c>
      <c r="C1830" s="1" t="n">
        <v>45788</v>
      </c>
      <c r="D1830" t="inlineStr">
        <is>
          <t>JÄMTLANDS LÄN</t>
        </is>
      </c>
      <c r="E1830" t="inlineStr">
        <is>
          <t>RAGUNDA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3104-2025</t>
        </is>
      </c>
      <c r="B1831" s="1" t="n">
        <v>45678</v>
      </c>
      <c r="C1831" s="1" t="n">
        <v>45788</v>
      </c>
      <c r="D1831" t="inlineStr">
        <is>
          <t>JÄMTLANDS LÄN</t>
        </is>
      </c>
      <c r="E1831" t="inlineStr">
        <is>
          <t>RAGUNDA</t>
        </is>
      </c>
      <c r="F1831" t="inlineStr">
        <is>
          <t>SCA</t>
        </is>
      </c>
      <c r="G1831" t="n">
        <v>46.2</v>
      </c>
      <c r="H1831" t="n">
        <v>0</v>
      </c>
      <c r="I1831" t="n">
        <v>0</v>
      </c>
      <c r="J1831" t="n">
        <v>0</v>
      </c>
      <c r="K1831" t="n">
        <v>0</v>
      </c>
      <c r="L1831" t="n">
        <v>0</v>
      </c>
      <c r="M1831" t="n">
        <v>0</v>
      </c>
      <c r="N1831" t="n">
        <v>0</v>
      </c>
      <c r="O1831" t="n">
        <v>0</v>
      </c>
      <c r="P1831" t="n">
        <v>0</v>
      </c>
      <c r="Q1831" t="n">
        <v>0</v>
      </c>
      <c r="R1831" s="2" t="inlineStr"/>
    </row>
    <row r="1832" ht="15" customHeight="1">
      <c r="A1832" t="inlineStr">
        <is>
          <t>A 3186-2025</t>
        </is>
      </c>
      <c r="B1832" s="1" t="n">
        <v>45679</v>
      </c>
      <c r="C1832" s="1" t="n">
        <v>45788</v>
      </c>
      <c r="D1832" t="inlineStr">
        <is>
          <t>JÄMTLANDS LÄN</t>
        </is>
      </c>
      <c r="E1832" t="inlineStr">
        <is>
          <t>RAGUNDA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3502-2025</t>
        </is>
      </c>
      <c r="B1833" s="1" t="n">
        <v>45680</v>
      </c>
      <c r="C1833" s="1" t="n">
        <v>45788</v>
      </c>
      <c r="D1833" t="inlineStr">
        <is>
          <t>JÄMTLANDS LÄN</t>
        </is>
      </c>
      <c r="E1833" t="inlineStr">
        <is>
          <t>RAGUNDA</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3765-2025</t>
        </is>
      </c>
      <c r="B1834" s="1" t="n">
        <v>45681</v>
      </c>
      <c r="C1834" s="1" t="n">
        <v>45788</v>
      </c>
      <c r="D1834" t="inlineStr">
        <is>
          <t>JÄMTLANDS LÄN</t>
        </is>
      </c>
      <c r="E1834" t="inlineStr">
        <is>
          <t>RAGUNDA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3767-2025</t>
        </is>
      </c>
      <c r="B1835" s="1" t="n">
        <v>45681</v>
      </c>
      <c r="C1835" s="1" t="n">
        <v>45788</v>
      </c>
      <c r="D1835" t="inlineStr">
        <is>
          <t>JÄMTLANDS LÄN</t>
        </is>
      </c>
      <c r="E1835" t="inlineStr">
        <is>
          <t>RAGUNDA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3770-2025</t>
        </is>
      </c>
      <c r="B1836" s="1" t="n">
        <v>45681</v>
      </c>
      <c r="C1836" s="1" t="n">
        <v>45788</v>
      </c>
      <c r="D1836" t="inlineStr">
        <is>
          <t>JÄMTLANDS LÄN</t>
        </is>
      </c>
      <c r="E1836" t="inlineStr">
        <is>
          <t>RAGUNDA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3720-2025</t>
        </is>
      </c>
      <c r="B1837" s="1" t="n">
        <v>45681</v>
      </c>
      <c r="C1837" s="1" t="n">
        <v>45788</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4573-2025</t>
        </is>
      </c>
      <c r="B1838" s="1" t="n">
        <v>45687</v>
      </c>
      <c r="C1838" s="1" t="n">
        <v>45788</v>
      </c>
      <c r="D1838" t="inlineStr">
        <is>
          <t>JÄMTLANDS LÄN</t>
        </is>
      </c>
      <c r="E1838" t="inlineStr">
        <is>
          <t>RAGUNDA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4571-2025</t>
        </is>
      </c>
      <c r="B1839" s="1" t="n">
        <v>45687</v>
      </c>
      <c r="C1839" s="1" t="n">
        <v>45788</v>
      </c>
      <c r="D1839" t="inlineStr">
        <is>
          <t>JÄMTLANDS LÄN</t>
        </is>
      </c>
      <c r="E1839" t="inlineStr">
        <is>
          <t>RAGUNDA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4916-2025</t>
        </is>
      </c>
      <c r="B1840" s="1" t="n">
        <v>45688</v>
      </c>
      <c r="C1840" s="1" t="n">
        <v>45788</v>
      </c>
      <c r="D1840" t="inlineStr">
        <is>
          <t>JÄMTLANDS LÄN</t>
        </is>
      </c>
      <c r="E1840" t="inlineStr">
        <is>
          <t>RAGUNDA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4907-2025</t>
        </is>
      </c>
      <c r="B1841" s="1" t="n">
        <v>45688</v>
      </c>
      <c r="C1841" s="1" t="n">
        <v>45788</v>
      </c>
      <c r="D1841" t="inlineStr">
        <is>
          <t>JÄMTLANDS LÄN</t>
        </is>
      </c>
      <c r="E1841" t="inlineStr">
        <is>
          <t>RAGUNDA</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4846-2025</t>
        </is>
      </c>
      <c r="B1842" s="1" t="n">
        <v>45688</v>
      </c>
      <c r="C1842" s="1" t="n">
        <v>45788</v>
      </c>
      <c r="D1842" t="inlineStr">
        <is>
          <t>JÄMTLANDS LÄN</t>
        </is>
      </c>
      <c r="E1842" t="inlineStr">
        <is>
          <t>RAGUNDA</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4866-2025</t>
        </is>
      </c>
      <c r="B1843" s="1" t="n">
        <v>45688</v>
      </c>
      <c r="C1843" s="1" t="n">
        <v>45788</v>
      </c>
      <c r="D1843" t="inlineStr">
        <is>
          <t>JÄMTLANDS LÄN</t>
        </is>
      </c>
      <c r="E1843" t="inlineStr">
        <is>
          <t>RAGUNDA</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4922-2025</t>
        </is>
      </c>
      <c r="B1844" s="1" t="n">
        <v>45688</v>
      </c>
      <c r="C1844" s="1" t="n">
        <v>45788</v>
      </c>
      <c r="D1844" t="inlineStr">
        <is>
          <t>JÄMTLANDS LÄN</t>
        </is>
      </c>
      <c r="E1844" t="inlineStr">
        <is>
          <t>RAGUNDA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4885-2025</t>
        </is>
      </c>
      <c r="B1845" s="1" t="n">
        <v>45688</v>
      </c>
      <c r="C1845" s="1" t="n">
        <v>45788</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5048-2025</t>
        </is>
      </c>
      <c r="B1846" s="1" t="n">
        <v>45691</v>
      </c>
      <c r="C1846" s="1" t="n">
        <v>45788</v>
      </c>
      <c r="D1846" t="inlineStr">
        <is>
          <t>JÄMTLANDS LÄN</t>
        </is>
      </c>
      <c r="E1846" t="inlineStr">
        <is>
          <t>RAGUNDA</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5307-2025</t>
        </is>
      </c>
      <c r="B1847" s="1" t="n">
        <v>45692</v>
      </c>
      <c r="C1847" s="1" t="n">
        <v>45788</v>
      </c>
      <c r="D1847" t="inlineStr">
        <is>
          <t>JÄMTLANDS LÄN</t>
        </is>
      </c>
      <c r="E1847" t="inlineStr">
        <is>
          <t>RAGUNDA</t>
        </is>
      </c>
      <c r="F1847" t="inlineStr">
        <is>
          <t>SCA</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5308-2025</t>
        </is>
      </c>
      <c r="B1848" s="1" t="n">
        <v>45692</v>
      </c>
      <c r="C1848" s="1" t="n">
        <v>45788</v>
      </c>
      <c r="D1848" t="inlineStr">
        <is>
          <t>JÄMTLANDS LÄN</t>
        </is>
      </c>
      <c r="E1848" t="inlineStr">
        <is>
          <t>RAGUNDA</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5313-2025</t>
        </is>
      </c>
      <c r="B1849" s="1" t="n">
        <v>45692</v>
      </c>
      <c r="C1849" s="1" t="n">
        <v>45788</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5357-2025</t>
        </is>
      </c>
      <c r="B1850" s="1" t="n">
        <v>45692</v>
      </c>
      <c r="C1850" s="1" t="n">
        <v>45788</v>
      </c>
      <c r="D1850" t="inlineStr">
        <is>
          <t>JÄMTLANDS LÄN</t>
        </is>
      </c>
      <c r="E1850" t="inlineStr">
        <is>
          <t>RAGUNDA</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5806-2025</t>
        </is>
      </c>
      <c r="B1851" s="1" t="n">
        <v>45694</v>
      </c>
      <c r="C1851" s="1" t="n">
        <v>45788</v>
      </c>
      <c r="D1851" t="inlineStr">
        <is>
          <t>JÄMTLANDS LÄN</t>
        </is>
      </c>
      <c r="E1851" t="inlineStr">
        <is>
          <t>RAGUNDA</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5930-2025</t>
        </is>
      </c>
      <c r="B1852" s="1" t="n">
        <v>45695</v>
      </c>
      <c r="C1852" s="1" t="n">
        <v>45788</v>
      </c>
      <c r="D1852" t="inlineStr">
        <is>
          <t>JÄMTLANDS LÄN</t>
        </is>
      </c>
      <c r="E1852" t="inlineStr">
        <is>
          <t>RAGUNDA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5938-2025</t>
        </is>
      </c>
      <c r="B1853" s="1" t="n">
        <v>45695</v>
      </c>
      <c r="C1853" s="1" t="n">
        <v>45788</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5971-2025</t>
        </is>
      </c>
      <c r="B1854" s="1" t="n">
        <v>45695</v>
      </c>
      <c r="C1854" s="1" t="n">
        <v>45788</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6257-2025</t>
        </is>
      </c>
      <c r="B1855" s="1" t="n">
        <v>45698</v>
      </c>
      <c r="C1855" s="1" t="n">
        <v>45788</v>
      </c>
      <c r="D1855" t="inlineStr">
        <is>
          <t>JÄMTLANDS LÄN</t>
        </is>
      </c>
      <c r="E1855" t="inlineStr">
        <is>
          <t>RAGUNDA</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6716-2025</t>
        </is>
      </c>
      <c r="B1856" s="1" t="n">
        <v>45700</v>
      </c>
      <c r="C1856" s="1" t="n">
        <v>45788</v>
      </c>
      <c r="D1856" t="inlineStr">
        <is>
          <t>JÄMTLANDS LÄN</t>
        </is>
      </c>
      <c r="E1856" t="inlineStr">
        <is>
          <t>RAGUNDA</t>
        </is>
      </c>
      <c r="F1856" t="inlineStr">
        <is>
          <t>SCA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6611-2025</t>
        </is>
      </c>
      <c r="B1857" s="1" t="n">
        <v>45700</v>
      </c>
      <c r="C1857" s="1" t="n">
        <v>45788</v>
      </c>
      <c r="D1857" t="inlineStr">
        <is>
          <t>JÄMTLANDS LÄN</t>
        </is>
      </c>
      <c r="E1857" t="inlineStr">
        <is>
          <t>RAGUNDA</t>
        </is>
      </c>
      <c r="F1857" t="inlineStr">
        <is>
          <t>SCA</t>
        </is>
      </c>
      <c r="G1857" t="n">
        <v>22.5</v>
      </c>
      <c r="H1857" t="n">
        <v>0</v>
      </c>
      <c r="I1857" t="n">
        <v>0</v>
      </c>
      <c r="J1857" t="n">
        <v>0</v>
      </c>
      <c r="K1857" t="n">
        <v>0</v>
      </c>
      <c r="L1857" t="n">
        <v>0</v>
      </c>
      <c r="M1857" t="n">
        <v>0</v>
      </c>
      <c r="N1857" t="n">
        <v>0</v>
      </c>
      <c r="O1857" t="n">
        <v>0</v>
      </c>
      <c r="P1857" t="n">
        <v>0</v>
      </c>
      <c r="Q1857" t="n">
        <v>0</v>
      </c>
      <c r="R1857" s="2" t="inlineStr"/>
    </row>
    <row r="1858" ht="15" customHeight="1">
      <c r="A1858" t="inlineStr">
        <is>
          <t>A 6694-2025</t>
        </is>
      </c>
      <c r="B1858" s="1" t="n">
        <v>45700</v>
      </c>
      <c r="C1858" s="1" t="n">
        <v>45788</v>
      </c>
      <c r="D1858" t="inlineStr">
        <is>
          <t>JÄMTLANDS LÄN</t>
        </is>
      </c>
      <c r="E1858" t="inlineStr">
        <is>
          <t>RAGUNDA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6821-2025</t>
        </is>
      </c>
      <c r="B1859" s="1" t="n">
        <v>45700</v>
      </c>
      <c r="C1859" s="1" t="n">
        <v>45788</v>
      </c>
      <c r="D1859" t="inlineStr">
        <is>
          <t>JÄMTLANDS LÄN</t>
        </is>
      </c>
      <c r="E1859" t="inlineStr">
        <is>
          <t>RAGUNDA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6881-2025</t>
        </is>
      </c>
      <c r="B1860" s="1" t="n">
        <v>45701</v>
      </c>
      <c r="C1860" s="1" t="n">
        <v>45788</v>
      </c>
      <c r="D1860" t="inlineStr">
        <is>
          <t>JÄMTLANDS LÄN</t>
        </is>
      </c>
      <c r="E1860" t="inlineStr">
        <is>
          <t>RAGUNDA</t>
        </is>
      </c>
      <c r="F1860" t="inlineStr">
        <is>
          <t>SCA</t>
        </is>
      </c>
      <c r="G1860" t="n">
        <v>18.4</v>
      </c>
      <c r="H1860" t="n">
        <v>0</v>
      </c>
      <c r="I1860" t="n">
        <v>0</v>
      </c>
      <c r="J1860" t="n">
        <v>0</v>
      </c>
      <c r="K1860" t="n">
        <v>0</v>
      </c>
      <c r="L1860" t="n">
        <v>0</v>
      </c>
      <c r="M1860" t="n">
        <v>0</v>
      </c>
      <c r="N1860" t="n">
        <v>0</v>
      </c>
      <c r="O1860" t="n">
        <v>0</v>
      </c>
      <c r="P1860" t="n">
        <v>0</v>
      </c>
      <c r="Q1860" t="n">
        <v>0</v>
      </c>
      <c r="R1860" s="2" t="inlineStr"/>
    </row>
    <row r="1861" ht="15" customHeight="1">
      <c r="A1861" t="inlineStr">
        <is>
          <t>A 7284-2025</t>
        </is>
      </c>
      <c r="B1861" s="1" t="n">
        <v>45702</v>
      </c>
      <c r="C1861" s="1" t="n">
        <v>45788</v>
      </c>
      <c r="D1861" t="inlineStr">
        <is>
          <t>JÄMTLANDS LÄN</t>
        </is>
      </c>
      <c r="E1861" t="inlineStr">
        <is>
          <t>RAGUNDA</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7281-2025</t>
        </is>
      </c>
      <c r="B1862" s="1" t="n">
        <v>45702</v>
      </c>
      <c r="C1862" s="1" t="n">
        <v>45788</v>
      </c>
      <c r="D1862" t="inlineStr">
        <is>
          <t>JÄMTLANDS LÄN</t>
        </is>
      </c>
      <c r="E1862" t="inlineStr">
        <is>
          <t>RAGUNDA</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7838-2025</t>
        </is>
      </c>
      <c r="B1863" s="1" t="n">
        <v>45706</v>
      </c>
      <c r="C1863" s="1" t="n">
        <v>45788</v>
      </c>
      <c r="D1863" t="inlineStr">
        <is>
          <t>JÄMTLANDS LÄN</t>
        </is>
      </c>
      <c r="E1863" t="inlineStr">
        <is>
          <t>RAGUNDA</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7668-2025</t>
        </is>
      </c>
      <c r="B1864" s="1" t="n">
        <v>45706</v>
      </c>
      <c r="C1864" s="1" t="n">
        <v>45788</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8775-2025</t>
        </is>
      </c>
      <c r="B1865" s="1" t="n">
        <v>45712</v>
      </c>
      <c r="C1865" s="1" t="n">
        <v>45788</v>
      </c>
      <c r="D1865" t="inlineStr">
        <is>
          <t>JÄMTLANDS LÄN</t>
        </is>
      </c>
      <c r="E1865" t="inlineStr">
        <is>
          <t>RAGUNDA</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8779-2025</t>
        </is>
      </c>
      <c r="B1866" s="1" t="n">
        <v>45712</v>
      </c>
      <c r="C1866" s="1" t="n">
        <v>45788</v>
      </c>
      <c r="D1866" t="inlineStr">
        <is>
          <t>JÄMTLANDS LÄN</t>
        </is>
      </c>
      <c r="E1866" t="inlineStr">
        <is>
          <t>RAGUNDA</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8800-2025</t>
        </is>
      </c>
      <c r="B1867" s="1" t="n">
        <v>45712</v>
      </c>
      <c r="C1867" s="1" t="n">
        <v>45788</v>
      </c>
      <c r="D1867" t="inlineStr">
        <is>
          <t>JÄMTLANDS LÄN</t>
        </is>
      </c>
      <c r="E1867" t="inlineStr">
        <is>
          <t>RAGUNDA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8776-2025</t>
        </is>
      </c>
      <c r="B1868" s="1" t="n">
        <v>45712</v>
      </c>
      <c r="C1868" s="1" t="n">
        <v>45788</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9262-2025</t>
        </is>
      </c>
      <c r="B1869" s="1" t="n">
        <v>45714</v>
      </c>
      <c r="C1869" s="1" t="n">
        <v>45788</v>
      </c>
      <c r="D1869" t="inlineStr">
        <is>
          <t>JÄMTLANDS LÄN</t>
        </is>
      </c>
      <c r="E1869" t="inlineStr">
        <is>
          <t>RAGUNDA</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9266-2025</t>
        </is>
      </c>
      <c r="B1870" s="1" t="n">
        <v>45714</v>
      </c>
      <c r="C1870" s="1" t="n">
        <v>45788</v>
      </c>
      <c r="D1870" t="inlineStr">
        <is>
          <t>JÄMTLANDS LÄN</t>
        </is>
      </c>
      <c r="E1870" t="inlineStr">
        <is>
          <t>RAGUNDA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9232-2025</t>
        </is>
      </c>
      <c r="B1871" s="1" t="n">
        <v>45714</v>
      </c>
      <c r="C1871" s="1" t="n">
        <v>45788</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9504-2025</t>
        </is>
      </c>
      <c r="B1872" s="1" t="n">
        <v>45714</v>
      </c>
      <c r="C1872" s="1" t="n">
        <v>45788</v>
      </c>
      <c r="D1872" t="inlineStr">
        <is>
          <t>JÄMTLANDS LÄN</t>
        </is>
      </c>
      <c r="E1872" t="inlineStr">
        <is>
          <t>RAGUNDA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9567-2025</t>
        </is>
      </c>
      <c r="B1873" s="1" t="n">
        <v>45715</v>
      </c>
      <c r="C1873" s="1" t="n">
        <v>45788</v>
      </c>
      <c r="D1873" t="inlineStr">
        <is>
          <t>JÄMTLANDS LÄN</t>
        </is>
      </c>
      <c r="E1873" t="inlineStr">
        <is>
          <t>RAGUNDA</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9548-2025</t>
        </is>
      </c>
      <c r="B1874" s="1" t="n">
        <v>45715</v>
      </c>
      <c r="C1874" s="1" t="n">
        <v>45788</v>
      </c>
      <c r="D1874" t="inlineStr">
        <is>
          <t>JÄMTLANDS LÄN</t>
        </is>
      </c>
      <c r="E1874" t="inlineStr">
        <is>
          <t>RAGUNDA</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9847-2025</t>
        </is>
      </c>
      <c r="B1875" s="1" t="n">
        <v>45716</v>
      </c>
      <c r="C1875" s="1" t="n">
        <v>45788</v>
      </c>
      <c r="D1875" t="inlineStr">
        <is>
          <t>JÄMTLANDS LÄN</t>
        </is>
      </c>
      <c r="E1875" t="inlineStr">
        <is>
          <t>RAGUNDA</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9823-2025</t>
        </is>
      </c>
      <c r="B1876" s="1" t="n">
        <v>45716</v>
      </c>
      <c r="C1876" s="1" t="n">
        <v>45788</v>
      </c>
      <c r="D1876" t="inlineStr">
        <is>
          <t>JÄMTLANDS LÄN</t>
        </is>
      </c>
      <c r="E1876" t="inlineStr">
        <is>
          <t>RAGUNDA</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10788-2025</t>
        </is>
      </c>
      <c r="B1877" s="1" t="n">
        <v>45722</v>
      </c>
      <c r="C1877" s="1" t="n">
        <v>45788</v>
      </c>
      <c r="D1877" t="inlineStr">
        <is>
          <t>JÄMTLANDS LÄN</t>
        </is>
      </c>
      <c r="E1877" t="inlineStr">
        <is>
          <t>RAGUNDA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10754-2025</t>
        </is>
      </c>
      <c r="B1878" s="1" t="n">
        <v>45722</v>
      </c>
      <c r="C1878" s="1" t="n">
        <v>45788</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11058-2025</t>
        </is>
      </c>
      <c r="B1879" s="1" t="n">
        <v>45723</v>
      </c>
      <c r="C1879" s="1" t="n">
        <v>45788</v>
      </c>
      <c r="D1879" t="inlineStr">
        <is>
          <t>JÄMTLANDS LÄN</t>
        </is>
      </c>
      <c r="E1879" t="inlineStr">
        <is>
          <t>RAGUNDA</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11147-2025</t>
        </is>
      </c>
      <c r="B1880" s="1" t="n">
        <v>45723</v>
      </c>
      <c r="C1880" s="1" t="n">
        <v>45788</v>
      </c>
      <c r="D1880" t="inlineStr">
        <is>
          <t>JÄMTLANDS LÄN</t>
        </is>
      </c>
      <c r="E1880" t="inlineStr">
        <is>
          <t>RAGUNDA</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11107-2025</t>
        </is>
      </c>
      <c r="B1881" s="1" t="n">
        <v>45723</v>
      </c>
      <c r="C1881" s="1" t="n">
        <v>45788</v>
      </c>
      <c r="D1881" t="inlineStr">
        <is>
          <t>JÄMTLANDS LÄN</t>
        </is>
      </c>
      <c r="E1881" t="inlineStr">
        <is>
          <t>RAGUNDA</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11245-2025</t>
        </is>
      </c>
      <c r="B1882" s="1" t="n">
        <v>45726</v>
      </c>
      <c r="C1882" s="1" t="n">
        <v>45788</v>
      </c>
      <c r="D1882" t="inlineStr">
        <is>
          <t>JÄMTLANDS LÄN</t>
        </is>
      </c>
      <c r="E1882" t="inlineStr">
        <is>
          <t>RAGUNDA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11249-2025</t>
        </is>
      </c>
      <c r="B1883" s="1" t="n">
        <v>45726</v>
      </c>
      <c r="C1883" s="1" t="n">
        <v>45788</v>
      </c>
      <c r="D1883" t="inlineStr">
        <is>
          <t>JÄMTLANDS LÄN</t>
        </is>
      </c>
      <c r="E1883" t="inlineStr">
        <is>
          <t>RAGUNDA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11252-2025</t>
        </is>
      </c>
      <c r="B1884" s="1" t="n">
        <v>45726</v>
      </c>
      <c r="C1884" s="1" t="n">
        <v>45788</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11253-2025</t>
        </is>
      </c>
      <c r="B1885" s="1" t="n">
        <v>45726</v>
      </c>
      <c r="C1885" s="1" t="n">
        <v>45788</v>
      </c>
      <c r="D1885" t="inlineStr">
        <is>
          <t>JÄMTLANDS LÄN</t>
        </is>
      </c>
      <c r="E1885" t="inlineStr">
        <is>
          <t>RAGUNDA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12204-2025</t>
        </is>
      </c>
      <c r="B1886" s="1" t="n">
        <v>45729</v>
      </c>
      <c r="C1886" s="1" t="n">
        <v>45788</v>
      </c>
      <c r="D1886" t="inlineStr">
        <is>
          <t>JÄMTLANDS LÄN</t>
        </is>
      </c>
      <c r="E1886" t="inlineStr">
        <is>
          <t>RAGUNDA</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12475-2025</t>
        </is>
      </c>
      <c r="B1887" s="1" t="n">
        <v>45730</v>
      </c>
      <c r="C1887" s="1" t="n">
        <v>45788</v>
      </c>
      <c r="D1887" t="inlineStr">
        <is>
          <t>JÄMTLANDS LÄN</t>
        </is>
      </c>
      <c r="E1887" t="inlineStr">
        <is>
          <t>RAGUNDA</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12405-2025</t>
        </is>
      </c>
      <c r="B1888" s="1" t="n">
        <v>45730</v>
      </c>
      <c r="C1888" s="1" t="n">
        <v>45788</v>
      </c>
      <c r="D1888" t="inlineStr">
        <is>
          <t>JÄMTLANDS LÄN</t>
        </is>
      </c>
      <c r="E1888" t="inlineStr">
        <is>
          <t>RAGUNDA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12464-2025</t>
        </is>
      </c>
      <c r="B1889" s="1" t="n">
        <v>45730</v>
      </c>
      <c r="C1889" s="1" t="n">
        <v>45788</v>
      </c>
      <c r="D1889" t="inlineStr">
        <is>
          <t>JÄMTLANDS LÄN</t>
        </is>
      </c>
      <c r="E1889" t="inlineStr">
        <is>
          <t>RAGUNDA</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12808-2025</t>
        </is>
      </c>
      <c r="B1890" s="1" t="n">
        <v>45733</v>
      </c>
      <c r="C1890" s="1" t="n">
        <v>45788</v>
      </c>
      <c r="D1890" t="inlineStr">
        <is>
          <t>JÄMTLANDS LÄN</t>
        </is>
      </c>
      <c r="E1890" t="inlineStr">
        <is>
          <t>RAGUNDA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12805-2025</t>
        </is>
      </c>
      <c r="B1891" s="1" t="n">
        <v>45733</v>
      </c>
      <c r="C1891" s="1" t="n">
        <v>45788</v>
      </c>
      <c r="D1891" t="inlineStr">
        <is>
          <t>JÄMTLANDS LÄN</t>
        </is>
      </c>
      <c r="E1891" t="inlineStr">
        <is>
          <t>RAGUNDA</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12976-2025</t>
        </is>
      </c>
      <c r="B1892" s="1" t="n">
        <v>45734</v>
      </c>
      <c r="C1892" s="1" t="n">
        <v>45788</v>
      </c>
      <c r="D1892" t="inlineStr">
        <is>
          <t>JÄMTLANDS LÄN</t>
        </is>
      </c>
      <c r="E1892" t="inlineStr">
        <is>
          <t>RAGUNDA</t>
        </is>
      </c>
      <c r="G1892" t="n">
        <v>24.2</v>
      </c>
      <c r="H1892" t="n">
        <v>0</v>
      </c>
      <c r="I1892" t="n">
        <v>0</v>
      </c>
      <c r="J1892" t="n">
        <v>0</v>
      </c>
      <c r="K1892" t="n">
        <v>0</v>
      </c>
      <c r="L1892" t="n">
        <v>0</v>
      </c>
      <c r="M1892" t="n">
        <v>0</v>
      </c>
      <c r="N1892" t="n">
        <v>0</v>
      </c>
      <c r="O1892" t="n">
        <v>0</v>
      </c>
      <c r="P1892" t="n">
        <v>0</v>
      </c>
      <c r="Q1892" t="n">
        <v>0</v>
      </c>
      <c r="R1892" s="2" t="inlineStr"/>
    </row>
    <row r="1893" ht="15" customHeight="1">
      <c r="A1893" t="inlineStr">
        <is>
          <t>A 12983-2025</t>
        </is>
      </c>
      <c r="B1893" s="1" t="n">
        <v>45734</v>
      </c>
      <c r="C1893" s="1" t="n">
        <v>45788</v>
      </c>
      <c r="D1893" t="inlineStr">
        <is>
          <t>JÄMTLANDS LÄN</t>
        </is>
      </c>
      <c r="E1893" t="inlineStr">
        <is>
          <t>RAGUNDA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13263-2025</t>
        </is>
      </c>
      <c r="B1894" s="1" t="n">
        <v>45735</v>
      </c>
      <c r="C1894" s="1" t="n">
        <v>45788</v>
      </c>
      <c r="D1894" t="inlineStr">
        <is>
          <t>JÄMTLANDS LÄN</t>
        </is>
      </c>
      <c r="E1894" t="inlineStr">
        <is>
          <t>RAGUNDA</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13264-2025</t>
        </is>
      </c>
      <c r="B1895" s="1" t="n">
        <v>45735</v>
      </c>
      <c r="C1895" s="1" t="n">
        <v>45788</v>
      </c>
      <c r="D1895" t="inlineStr">
        <is>
          <t>JÄMTLANDS LÄN</t>
        </is>
      </c>
      <c r="E1895" t="inlineStr">
        <is>
          <t>RAGUNDA</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13276-2025</t>
        </is>
      </c>
      <c r="B1896" s="1" t="n">
        <v>45735</v>
      </c>
      <c r="C1896" s="1" t="n">
        <v>45788</v>
      </c>
      <c r="D1896" t="inlineStr">
        <is>
          <t>JÄMTLANDS LÄN</t>
        </is>
      </c>
      <c r="E1896" t="inlineStr">
        <is>
          <t>RAGUNDA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13389-2025</t>
        </is>
      </c>
      <c r="B1897" s="1" t="n">
        <v>45735</v>
      </c>
      <c r="C1897" s="1" t="n">
        <v>45788</v>
      </c>
      <c r="D1897" t="inlineStr">
        <is>
          <t>JÄMTLANDS LÄN</t>
        </is>
      </c>
      <c r="E1897" t="inlineStr">
        <is>
          <t>RAGUNDA</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13472-2025</t>
        </is>
      </c>
      <c r="B1898" s="1" t="n">
        <v>45736</v>
      </c>
      <c r="C1898" s="1" t="n">
        <v>45788</v>
      </c>
      <c r="D1898" t="inlineStr">
        <is>
          <t>JÄMTLANDS LÄN</t>
        </is>
      </c>
      <c r="E1898" t="inlineStr">
        <is>
          <t>RAGUNDA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13890-2025</t>
        </is>
      </c>
      <c r="B1899" s="1" t="n">
        <v>45737</v>
      </c>
      <c r="C1899" s="1" t="n">
        <v>45788</v>
      </c>
      <c r="D1899" t="inlineStr">
        <is>
          <t>JÄMTLANDS LÄN</t>
        </is>
      </c>
      <c r="E1899" t="inlineStr">
        <is>
          <t>RAGUNDA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13905-2025</t>
        </is>
      </c>
      <c r="B1900" s="1" t="n">
        <v>45737</v>
      </c>
      <c r="C1900" s="1" t="n">
        <v>45788</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13941-2025</t>
        </is>
      </c>
      <c r="B1901" s="1" t="n">
        <v>45737</v>
      </c>
      <c r="C1901" s="1" t="n">
        <v>45788</v>
      </c>
      <c r="D1901" t="inlineStr">
        <is>
          <t>JÄMTLANDS LÄN</t>
        </is>
      </c>
      <c r="E1901" t="inlineStr">
        <is>
          <t>RAGUNDA</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14512-2025</t>
        </is>
      </c>
      <c r="B1902" s="1" t="n">
        <v>45741</v>
      </c>
      <c r="C1902" s="1" t="n">
        <v>45788</v>
      </c>
      <c r="D1902" t="inlineStr">
        <is>
          <t>JÄMTLANDS LÄN</t>
        </is>
      </c>
      <c r="E1902" t="inlineStr">
        <is>
          <t>RAGUNDA</t>
        </is>
      </c>
      <c r="F1902" t="inlineStr">
        <is>
          <t>SCA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14513-2025</t>
        </is>
      </c>
      <c r="B1903" s="1" t="n">
        <v>45741</v>
      </c>
      <c r="C1903" s="1" t="n">
        <v>45788</v>
      </c>
      <c r="D1903" t="inlineStr">
        <is>
          <t>JÄMTLANDS LÄN</t>
        </is>
      </c>
      <c r="E1903" t="inlineStr">
        <is>
          <t>RAGUNDA</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15034-2025</t>
        </is>
      </c>
      <c r="B1904" s="1" t="n">
        <v>45743</v>
      </c>
      <c r="C1904" s="1" t="n">
        <v>45788</v>
      </c>
      <c r="D1904" t="inlineStr">
        <is>
          <t>JÄMTLANDS LÄN</t>
        </is>
      </c>
      <c r="E1904" t="inlineStr">
        <is>
          <t>RAGUNDA</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14821-2025</t>
        </is>
      </c>
      <c r="B1905" s="1" t="n">
        <v>45743</v>
      </c>
      <c r="C1905" s="1" t="n">
        <v>45788</v>
      </c>
      <c r="D1905" t="inlineStr">
        <is>
          <t>JÄMTLANDS LÄN</t>
        </is>
      </c>
      <c r="E1905" t="inlineStr">
        <is>
          <t>RAGUNDA</t>
        </is>
      </c>
      <c r="F1905" t="inlineStr">
        <is>
          <t>Kyrkan</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14932-2025</t>
        </is>
      </c>
      <c r="B1906" s="1" t="n">
        <v>45743</v>
      </c>
      <c r="C1906" s="1" t="n">
        <v>45788</v>
      </c>
      <c r="D1906" t="inlineStr">
        <is>
          <t>JÄMTLANDS LÄN</t>
        </is>
      </c>
      <c r="E1906" t="inlineStr">
        <is>
          <t>RAGUNDA</t>
        </is>
      </c>
      <c r="F1906" t="inlineStr">
        <is>
          <t>SCA</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14818-2025</t>
        </is>
      </c>
      <c r="B1907" s="1" t="n">
        <v>45743</v>
      </c>
      <c r="C1907" s="1" t="n">
        <v>45788</v>
      </c>
      <c r="D1907" t="inlineStr">
        <is>
          <t>JÄMTLANDS LÄN</t>
        </is>
      </c>
      <c r="E1907" t="inlineStr">
        <is>
          <t>RAGUNDA</t>
        </is>
      </c>
      <c r="F1907" t="inlineStr">
        <is>
          <t>Kyrkan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15554-2025</t>
        </is>
      </c>
      <c r="B1908" s="1" t="n">
        <v>45747</v>
      </c>
      <c r="C1908" s="1" t="n">
        <v>45788</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15641-2025</t>
        </is>
      </c>
      <c r="B1909" s="1" t="n">
        <v>45748</v>
      </c>
      <c r="C1909" s="1" t="n">
        <v>45788</v>
      </c>
      <c r="D1909" t="inlineStr">
        <is>
          <t>JÄMTLANDS LÄN</t>
        </is>
      </c>
      <c r="E1909" t="inlineStr">
        <is>
          <t>RAGUNDA</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16124-2025</t>
        </is>
      </c>
      <c r="B1910" s="1" t="n">
        <v>45750</v>
      </c>
      <c r="C1910" s="1" t="n">
        <v>45788</v>
      </c>
      <c r="D1910" t="inlineStr">
        <is>
          <t>JÄMTLANDS LÄN</t>
        </is>
      </c>
      <c r="E1910" t="inlineStr">
        <is>
          <t>RAGUNDA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16127-2025</t>
        </is>
      </c>
      <c r="B1911" s="1" t="n">
        <v>45750</v>
      </c>
      <c r="C1911" s="1" t="n">
        <v>45788</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16334-2025</t>
        </is>
      </c>
      <c r="B1912" s="1" t="n">
        <v>45751</v>
      </c>
      <c r="C1912" s="1" t="n">
        <v>45788</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16320-2025</t>
        </is>
      </c>
      <c r="B1913" s="1" t="n">
        <v>45751</v>
      </c>
      <c r="C1913" s="1" t="n">
        <v>45788</v>
      </c>
      <c r="D1913" t="inlineStr">
        <is>
          <t>JÄMTLANDS LÄN</t>
        </is>
      </c>
      <c r="E1913" t="inlineStr">
        <is>
          <t>RAGUNDA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16321-2025</t>
        </is>
      </c>
      <c r="B1914" s="1" t="n">
        <v>45751</v>
      </c>
      <c r="C1914" s="1" t="n">
        <v>45788</v>
      </c>
      <c r="D1914" t="inlineStr">
        <is>
          <t>JÄMTLANDS LÄN</t>
        </is>
      </c>
      <c r="E1914" t="inlineStr">
        <is>
          <t>RAGUNDA</t>
        </is>
      </c>
      <c r="F1914" t="inlineStr">
        <is>
          <t>SCA</t>
        </is>
      </c>
      <c r="G1914" t="n">
        <v>63.3</v>
      </c>
      <c r="H1914" t="n">
        <v>0</v>
      </c>
      <c r="I1914" t="n">
        <v>0</v>
      </c>
      <c r="J1914" t="n">
        <v>0</v>
      </c>
      <c r="K1914" t="n">
        <v>0</v>
      </c>
      <c r="L1914" t="n">
        <v>0</v>
      </c>
      <c r="M1914" t="n">
        <v>0</v>
      </c>
      <c r="N1914" t="n">
        <v>0</v>
      </c>
      <c r="O1914" t="n">
        <v>0</v>
      </c>
      <c r="P1914" t="n">
        <v>0</v>
      </c>
      <c r="Q1914" t="n">
        <v>0</v>
      </c>
      <c r="R1914" s="2" t="inlineStr"/>
    </row>
    <row r="1915" ht="15" customHeight="1">
      <c r="A1915" t="inlineStr">
        <is>
          <t>A 16635-2025</t>
        </is>
      </c>
      <c r="B1915" s="1" t="n">
        <v>45754</v>
      </c>
      <c r="C1915" s="1" t="n">
        <v>45788</v>
      </c>
      <c r="D1915" t="inlineStr">
        <is>
          <t>JÄMTLANDS LÄN</t>
        </is>
      </c>
      <c r="E1915" t="inlineStr">
        <is>
          <t>RAGUNDA</t>
        </is>
      </c>
      <c r="F1915" t="inlineStr">
        <is>
          <t>SCA</t>
        </is>
      </c>
      <c r="G1915" t="n">
        <v>55.4</v>
      </c>
      <c r="H1915" t="n">
        <v>0</v>
      </c>
      <c r="I1915" t="n">
        <v>0</v>
      </c>
      <c r="J1915" t="n">
        <v>0</v>
      </c>
      <c r="K1915" t="n">
        <v>0</v>
      </c>
      <c r="L1915" t="n">
        <v>0</v>
      </c>
      <c r="M1915" t="n">
        <v>0</v>
      </c>
      <c r="N1915" t="n">
        <v>0</v>
      </c>
      <c r="O1915" t="n">
        <v>0</v>
      </c>
      <c r="P1915" t="n">
        <v>0</v>
      </c>
      <c r="Q1915" t="n">
        <v>0</v>
      </c>
      <c r="R1915" s="2" t="inlineStr"/>
    </row>
    <row r="1916" ht="15" customHeight="1">
      <c r="A1916" t="inlineStr">
        <is>
          <t>A 17323-2025</t>
        </is>
      </c>
      <c r="B1916" s="1" t="n">
        <v>45756</v>
      </c>
      <c r="C1916" s="1" t="n">
        <v>45788</v>
      </c>
      <c r="D1916" t="inlineStr">
        <is>
          <t>JÄMTLANDS LÄN</t>
        </is>
      </c>
      <c r="E1916" t="inlineStr">
        <is>
          <t>RAGUNDA</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17667-2025</t>
        </is>
      </c>
      <c r="B1917" s="1" t="n">
        <v>45758</v>
      </c>
      <c r="C1917" s="1" t="n">
        <v>45788</v>
      </c>
      <c r="D1917" t="inlineStr">
        <is>
          <t>JÄMTLANDS LÄN</t>
        </is>
      </c>
      <c r="E1917" t="inlineStr">
        <is>
          <t>RAGUNDA</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18194-2025</t>
        </is>
      </c>
      <c r="B1918" s="1" t="n">
        <v>45761</v>
      </c>
      <c r="C1918" s="1" t="n">
        <v>45788</v>
      </c>
      <c r="D1918" t="inlineStr">
        <is>
          <t>JÄMTLANDS LÄN</t>
        </is>
      </c>
      <c r="E1918" t="inlineStr">
        <is>
          <t>RAGUNDA</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18284-2025</t>
        </is>
      </c>
      <c r="B1919" s="1" t="n">
        <v>45762</v>
      </c>
      <c r="C1919" s="1" t="n">
        <v>45788</v>
      </c>
      <c r="D1919" t="inlineStr">
        <is>
          <t>JÄMTLANDS LÄN</t>
        </is>
      </c>
      <c r="E1919" t="inlineStr">
        <is>
          <t>RAGUNDA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18989-2025</t>
        </is>
      </c>
      <c r="B1920" s="1" t="n">
        <v>45764</v>
      </c>
      <c r="C1920" s="1" t="n">
        <v>45788</v>
      </c>
      <c r="D1920" t="inlineStr">
        <is>
          <t>JÄMTLANDS LÄN</t>
        </is>
      </c>
      <c r="E1920" t="inlineStr">
        <is>
          <t>RAGUNDA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45788</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19403-2025</t>
        </is>
      </c>
      <c r="B1922" s="1" t="n">
        <v>45769</v>
      </c>
      <c r="C1922" s="1" t="n">
        <v>45788</v>
      </c>
      <c r="D1922" t="inlineStr">
        <is>
          <t>JÄMTLANDS LÄN</t>
        </is>
      </c>
      <c r="E1922" t="inlineStr">
        <is>
          <t>RAGUNDA</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19405-2025</t>
        </is>
      </c>
      <c r="B1923" s="1" t="n">
        <v>45769</v>
      </c>
      <c r="C1923" s="1" t="n">
        <v>45788</v>
      </c>
      <c r="D1923" t="inlineStr">
        <is>
          <t>JÄMTLANDS LÄN</t>
        </is>
      </c>
      <c r="E1923" t="inlineStr">
        <is>
          <t>RAGUNDA</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19408-2025</t>
        </is>
      </c>
      <c r="B1924" s="1" t="n">
        <v>45769</v>
      </c>
      <c r="C1924" s="1" t="n">
        <v>45788</v>
      </c>
      <c r="D1924" t="inlineStr">
        <is>
          <t>JÄMTLANDS LÄN</t>
        </is>
      </c>
      <c r="E1924" t="inlineStr">
        <is>
          <t>RAGUNDA</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19313-2025</t>
        </is>
      </c>
      <c r="B1925" s="1" t="n">
        <v>45769</v>
      </c>
      <c r="C1925" s="1" t="n">
        <v>45788</v>
      </c>
      <c r="D1925" t="inlineStr">
        <is>
          <t>JÄMTLANDS LÄN</t>
        </is>
      </c>
      <c r="E1925" t="inlineStr">
        <is>
          <t>RAGUNDA</t>
        </is>
      </c>
      <c r="F1925" t="inlineStr">
        <is>
          <t>SCA</t>
        </is>
      </c>
      <c r="G1925" t="n">
        <v>12.4</v>
      </c>
      <c r="H1925" t="n">
        <v>0</v>
      </c>
      <c r="I1925" t="n">
        <v>0</v>
      </c>
      <c r="J1925" t="n">
        <v>0</v>
      </c>
      <c r="K1925" t="n">
        <v>0</v>
      </c>
      <c r="L1925" t="n">
        <v>0</v>
      </c>
      <c r="M1925" t="n">
        <v>0</v>
      </c>
      <c r="N1925" t="n">
        <v>0</v>
      </c>
      <c r="O1925" t="n">
        <v>0</v>
      </c>
      <c r="P1925" t="n">
        <v>0</v>
      </c>
      <c r="Q1925" t="n">
        <v>0</v>
      </c>
      <c r="R1925" s="2" t="inlineStr"/>
    </row>
    <row r="1926" ht="15" customHeight="1">
      <c r="A1926" t="inlineStr">
        <is>
          <t>A 19401-2025</t>
        </is>
      </c>
      <c r="B1926" s="1" t="n">
        <v>45769</v>
      </c>
      <c r="C1926" s="1" t="n">
        <v>45788</v>
      </c>
      <c r="D1926" t="inlineStr">
        <is>
          <t>JÄMTLANDS LÄN</t>
        </is>
      </c>
      <c r="E1926" t="inlineStr">
        <is>
          <t>RAGUNDA</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19383-2025</t>
        </is>
      </c>
      <c r="B1927" s="1" t="n">
        <v>45769</v>
      </c>
      <c r="C1927" s="1" t="n">
        <v>45788</v>
      </c>
      <c r="D1927" t="inlineStr">
        <is>
          <t>JÄMTLANDS LÄN</t>
        </is>
      </c>
      <c r="E1927" t="inlineStr">
        <is>
          <t>RAGUNDA</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19400-2025</t>
        </is>
      </c>
      <c r="B1928" s="1" t="n">
        <v>45769</v>
      </c>
      <c r="C1928" s="1" t="n">
        <v>45788</v>
      </c>
      <c r="D1928" t="inlineStr">
        <is>
          <t>JÄMTLANDS LÄN</t>
        </is>
      </c>
      <c r="E1928" t="inlineStr">
        <is>
          <t>RAGUNDA</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19384-2025</t>
        </is>
      </c>
      <c r="B1929" s="1" t="n">
        <v>45769</v>
      </c>
      <c r="C1929" s="1" t="n">
        <v>45788</v>
      </c>
      <c r="D1929" t="inlineStr">
        <is>
          <t>JÄMTLANDS LÄN</t>
        </is>
      </c>
      <c r="E1929" t="inlineStr">
        <is>
          <t>RAGUNDA</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19264-2025</t>
        </is>
      </c>
      <c r="B1930" s="1" t="n">
        <v>45769</v>
      </c>
      <c r="C1930" s="1" t="n">
        <v>45788</v>
      </c>
      <c r="D1930" t="inlineStr">
        <is>
          <t>JÄMTLANDS LÄN</t>
        </is>
      </c>
      <c r="E1930" t="inlineStr">
        <is>
          <t>RAGUNDA</t>
        </is>
      </c>
      <c r="F1930" t="inlineStr">
        <is>
          <t>SCA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19263-2025</t>
        </is>
      </c>
      <c r="B1931" s="1" t="n">
        <v>45769</v>
      </c>
      <c r="C1931" s="1" t="n">
        <v>45788</v>
      </c>
      <c r="D1931" t="inlineStr">
        <is>
          <t>JÄMTLANDS LÄN</t>
        </is>
      </c>
      <c r="E1931" t="inlineStr">
        <is>
          <t>RAGUNDA</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19265-2025</t>
        </is>
      </c>
      <c r="B1932" s="1" t="n">
        <v>45769</v>
      </c>
      <c r="C1932" s="1" t="n">
        <v>45788</v>
      </c>
      <c r="D1932" t="inlineStr">
        <is>
          <t>JÄMTLANDS LÄN</t>
        </is>
      </c>
      <c r="E1932" t="inlineStr">
        <is>
          <t>RAGUNDA</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19404-2025</t>
        </is>
      </c>
      <c r="B1933" s="1" t="n">
        <v>45769</v>
      </c>
      <c r="C1933" s="1" t="n">
        <v>45788</v>
      </c>
      <c r="D1933" t="inlineStr">
        <is>
          <t>JÄMTLANDS LÄN</t>
        </is>
      </c>
      <c r="E1933" t="inlineStr">
        <is>
          <t>RAGUNDA</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19382-2025</t>
        </is>
      </c>
      <c r="B1934" s="1" t="n">
        <v>45769</v>
      </c>
      <c r="C1934" s="1" t="n">
        <v>45788</v>
      </c>
      <c r="D1934" t="inlineStr">
        <is>
          <t>JÄMTLANDS LÄN</t>
        </is>
      </c>
      <c r="E1934" t="inlineStr">
        <is>
          <t>RAGUNDA</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19728-2025</t>
        </is>
      </c>
      <c r="B1935" s="1" t="n">
        <v>45771</v>
      </c>
      <c r="C1935" s="1" t="n">
        <v>45788</v>
      </c>
      <c r="D1935" t="inlineStr">
        <is>
          <t>JÄMTLANDS LÄN</t>
        </is>
      </c>
      <c r="E1935" t="inlineStr">
        <is>
          <t>RAGUNDA</t>
        </is>
      </c>
      <c r="F1935" t="inlineStr">
        <is>
          <t>SCA</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19727-2025</t>
        </is>
      </c>
      <c r="B1936" s="1" t="n">
        <v>45771</v>
      </c>
      <c r="C1936" s="1" t="n">
        <v>45788</v>
      </c>
      <c r="D1936" t="inlineStr">
        <is>
          <t>JÄMTLANDS LÄN</t>
        </is>
      </c>
      <c r="E1936" t="inlineStr">
        <is>
          <t>RAGUNDA</t>
        </is>
      </c>
      <c r="F1936" t="inlineStr">
        <is>
          <t>SCA</t>
        </is>
      </c>
      <c r="G1936" t="n">
        <v>9</v>
      </c>
      <c r="H1936" t="n">
        <v>0</v>
      </c>
      <c r="I1936" t="n">
        <v>0</v>
      </c>
      <c r="J1936" t="n">
        <v>0</v>
      </c>
      <c r="K1936" t="n">
        <v>0</v>
      </c>
      <c r="L1936" t="n">
        <v>0</v>
      </c>
      <c r="M1936" t="n">
        <v>0</v>
      </c>
      <c r="N1936" t="n">
        <v>0</v>
      </c>
      <c r="O1936" t="n">
        <v>0</v>
      </c>
      <c r="P1936" t="n">
        <v>0</v>
      </c>
      <c r="Q1936" t="n">
        <v>0</v>
      </c>
      <c r="R1936" s="2" t="inlineStr"/>
    </row>
    <row r="1937" ht="15" customHeight="1">
      <c r="A1937" t="inlineStr">
        <is>
          <t>A 19751-2025</t>
        </is>
      </c>
      <c r="B1937" s="1" t="n">
        <v>45771</v>
      </c>
      <c r="C1937" s="1" t="n">
        <v>45788</v>
      </c>
      <c r="D1937" t="inlineStr">
        <is>
          <t>JÄMTLANDS LÄN</t>
        </is>
      </c>
      <c r="E1937" t="inlineStr">
        <is>
          <t>RAGUNDA</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45788</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20203-2025</t>
        </is>
      </c>
      <c r="B1939" s="1" t="n">
        <v>45772</v>
      </c>
      <c r="C1939" s="1" t="n">
        <v>45788</v>
      </c>
      <c r="D1939" t="inlineStr">
        <is>
          <t>JÄMTLANDS LÄN</t>
        </is>
      </c>
      <c r="E1939" t="inlineStr">
        <is>
          <t>RAGUNDA</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20206-2025</t>
        </is>
      </c>
      <c r="B1940" s="1" t="n">
        <v>45772</v>
      </c>
      <c r="C1940" s="1" t="n">
        <v>45788</v>
      </c>
      <c r="D1940" t="inlineStr">
        <is>
          <t>JÄMTLANDS LÄN</t>
        </is>
      </c>
      <c r="E1940" t="inlineStr">
        <is>
          <t>RAGUNDA</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20222-2025</t>
        </is>
      </c>
      <c r="B1941" s="1" t="n">
        <v>45772</v>
      </c>
      <c r="C1941" s="1" t="n">
        <v>45788</v>
      </c>
      <c r="D1941" t="inlineStr">
        <is>
          <t>JÄMTLANDS LÄN</t>
        </is>
      </c>
      <c r="E1941" t="inlineStr">
        <is>
          <t>RAGUNDA</t>
        </is>
      </c>
      <c r="F1941" t="inlineStr">
        <is>
          <t>SCA</t>
        </is>
      </c>
      <c r="G1941" t="n">
        <v>29.1</v>
      </c>
      <c r="H1941" t="n">
        <v>0</v>
      </c>
      <c r="I1941" t="n">
        <v>0</v>
      </c>
      <c r="J1941" t="n">
        <v>0</v>
      </c>
      <c r="K1941" t="n">
        <v>0</v>
      </c>
      <c r="L1941" t="n">
        <v>0</v>
      </c>
      <c r="M1941" t="n">
        <v>0</v>
      </c>
      <c r="N1941" t="n">
        <v>0</v>
      </c>
      <c r="O1941" t="n">
        <v>0</v>
      </c>
      <c r="P1941" t="n">
        <v>0</v>
      </c>
      <c r="Q1941" t="n">
        <v>0</v>
      </c>
      <c r="R1941" s="2" t="inlineStr"/>
    </row>
    <row r="1942" ht="15" customHeight="1">
      <c r="A1942" t="inlineStr">
        <is>
          <t>A 20202-2025</t>
        </is>
      </c>
      <c r="B1942" s="1" t="n">
        <v>45772</v>
      </c>
      <c r="C1942" s="1" t="n">
        <v>45788</v>
      </c>
      <c r="D1942" t="inlineStr">
        <is>
          <t>JÄMTLANDS LÄN</t>
        </is>
      </c>
      <c r="E1942" t="inlineStr">
        <is>
          <t>RAGUNDA</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20221-2025</t>
        </is>
      </c>
      <c r="B1943" s="1" t="n">
        <v>45772</v>
      </c>
      <c r="C1943" s="1" t="n">
        <v>45788</v>
      </c>
      <c r="D1943" t="inlineStr">
        <is>
          <t>JÄMTLANDS LÄN</t>
        </is>
      </c>
      <c r="E1943" t="inlineStr">
        <is>
          <t>RAGUNDA</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20574-2025</t>
        </is>
      </c>
      <c r="B1944" s="1" t="n">
        <v>45775</v>
      </c>
      <c r="C1944" s="1" t="n">
        <v>45788</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20655-2025</t>
        </is>
      </c>
      <c r="B1945" s="1" t="n">
        <v>45776</v>
      </c>
      <c r="C1945" s="1" t="n">
        <v>45788</v>
      </c>
      <c r="D1945" t="inlineStr">
        <is>
          <t>JÄMTLANDS LÄN</t>
        </is>
      </c>
      <c r="E1945" t="inlineStr">
        <is>
          <t>RAGUNDA</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20722-2025</t>
        </is>
      </c>
      <c r="B1946" s="1" t="n">
        <v>45776</v>
      </c>
      <c r="C1946" s="1" t="n">
        <v>45788</v>
      </c>
      <c r="D1946" t="inlineStr">
        <is>
          <t>JÄMTLANDS LÄN</t>
        </is>
      </c>
      <c r="E1946" t="inlineStr">
        <is>
          <t>RAGUNDA</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20777-2025</t>
        </is>
      </c>
      <c r="B1947" s="1" t="n">
        <v>45776</v>
      </c>
      <c r="C1947" s="1" t="n">
        <v>45788</v>
      </c>
      <c r="D1947" t="inlineStr">
        <is>
          <t>JÄMTLANDS LÄN</t>
        </is>
      </c>
      <c r="E1947" t="inlineStr">
        <is>
          <t>RAGUNDA</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20653-2025</t>
        </is>
      </c>
      <c r="B1948" s="1" t="n">
        <v>45776</v>
      </c>
      <c r="C1948" s="1" t="n">
        <v>45788</v>
      </c>
      <c r="D1948" t="inlineStr">
        <is>
          <t>JÄMTLANDS LÄN</t>
        </is>
      </c>
      <c r="E1948" t="inlineStr">
        <is>
          <t>RAGUNDA</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20728-2025</t>
        </is>
      </c>
      <c r="B1949" s="1" t="n">
        <v>45776</v>
      </c>
      <c r="C1949" s="1" t="n">
        <v>45788</v>
      </c>
      <c r="D1949" t="inlineStr">
        <is>
          <t>JÄMTLANDS LÄN</t>
        </is>
      </c>
      <c r="E1949" t="inlineStr">
        <is>
          <t>RAGUNDA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21213-2025</t>
        </is>
      </c>
      <c r="B1950" s="1" t="n">
        <v>45779</v>
      </c>
      <c r="C1950" s="1" t="n">
        <v>45788</v>
      </c>
      <c r="D1950" t="inlineStr">
        <is>
          <t>JÄMTLANDS LÄN</t>
        </is>
      </c>
      <c r="E1950" t="inlineStr">
        <is>
          <t>RAGUNDA</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21150-2025</t>
        </is>
      </c>
      <c r="B1951" s="1" t="n">
        <v>45779</v>
      </c>
      <c r="C1951" s="1" t="n">
        <v>45788</v>
      </c>
      <c r="D1951" t="inlineStr">
        <is>
          <t>JÄMTLANDS LÄN</t>
        </is>
      </c>
      <c r="E1951" t="inlineStr">
        <is>
          <t>RAGUNDA</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45788</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21177-2025</t>
        </is>
      </c>
      <c r="B1953" s="1" t="n">
        <v>45779</v>
      </c>
      <c r="C1953" s="1" t="n">
        <v>45788</v>
      </c>
      <c r="D1953" t="inlineStr">
        <is>
          <t>JÄMTLANDS LÄN</t>
        </is>
      </c>
      <c r="E1953" t="inlineStr">
        <is>
          <t>RAGUNDA</t>
        </is>
      </c>
      <c r="F1953" t="inlineStr">
        <is>
          <t>SCA</t>
        </is>
      </c>
      <c r="G1953" t="n">
        <v>16.1</v>
      </c>
      <c r="H1953" t="n">
        <v>0</v>
      </c>
      <c r="I1953" t="n">
        <v>0</v>
      </c>
      <c r="J1953" t="n">
        <v>0</v>
      </c>
      <c r="K1953" t="n">
        <v>0</v>
      </c>
      <c r="L1953" t="n">
        <v>0</v>
      </c>
      <c r="M1953" t="n">
        <v>0</v>
      </c>
      <c r="N1953" t="n">
        <v>0</v>
      </c>
      <c r="O1953" t="n">
        <v>0</v>
      </c>
      <c r="P1953" t="n">
        <v>0</v>
      </c>
      <c r="Q1953" t="n">
        <v>0</v>
      </c>
      <c r="R1953" s="2" t="inlineStr"/>
    </row>
    <row r="1954" ht="15" customHeight="1">
      <c r="A1954" t="inlineStr">
        <is>
          <t>A 21245-2025</t>
        </is>
      </c>
      <c r="B1954" s="1" t="n">
        <v>45779</v>
      </c>
      <c r="C1954" s="1" t="n">
        <v>45788</v>
      </c>
      <c r="D1954" t="inlineStr">
        <is>
          <t>JÄMTLANDS LÄN</t>
        </is>
      </c>
      <c r="E1954" t="inlineStr">
        <is>
          <t>RAGUNDA</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21248-2025</t>
        </is>
      </c>
      <c r="B1955" s="1" t="n">
        <v>45779</v>
      </c>
      <c r="C1955" s="1" t="n">
        <v>45788</v>
      </c>
      <c r="D1955" t="inlineStr">
        <is>
          <t>JÄMTLANDS LÄN</t>
        </is>
      </c>
      <c r="E1955" t="inlineStr">
        <is>
          <t>RAGUNDA</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21372-2025</t>
        </is>
      </c>
      <c r="B1956" s="1" t="n">
        <v>45782</v>
      </c>
      <c r="C1956" s="1" t="n">
        <v>45788</v>
      </c>
      <c r="D1956" t="inlineStr">
        <is>
          <t>JÄMTLANDS LÄN</t>
        </is>
      </c>
      <c r="E1956" t="inlineStr">
        <is>
          <t>RAGUNDA</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21406-2025</t>
        </is>
      </c>
      <c r="B1957" s="1" t="n">
        <v>45782</v>
      </c>
      <c r="C1957" s="1" t="n">
        <v>45788</v>
      </c>
      <c r="D1957" t="inlineStr">
        <is>
          <t>JÄMTLANDS LÄN</t>
        </is>
      </c>
      <c r="E1957" t="inlineStr">
        <is>
          <t>RAGUNDA</t>
        </is>
      </c>
      <c r="F1957" t="inlineStr">
        <is>
          <t>SCA</t>
        </is>
      </c>
      <c r="G1957" t="n">
        <v>8.6</v>
      </c>
      <c r="H1957" t="n">
        <v>0</v>
      </c>
      <c r="I1957" t="n">
        <v>0</v>
      </c>
      <c r="J1957" t="n">
        <v>0</v>
      </c>
      <c r="K1957" t="n">
        <v>0</v>
      </c>
      <c r="L1957" t="n">
        <v>0</v>
      </c>
      <c r="M1957" t="n">
        <v>0</v>
      </c>
      <c r="N1957" t="n">
        <v>0</v>
      </c>
      <c r="O1957" t="n">
        <v>0</v>
      </c>
      <c r="P1957" t="n">
        <v>0</v>
      </c>
      <c r="Q1957" t="n">
        <v>0</v>
      </c>
      <c r="R1957" s="2" t="inlineStr"/>
    </row>
    <row r="1958" ht="15" customHeight="1">
      <c r="A1958" t="inlineStr">
        <is>
          <t>A 21451-2025</t>
        </is>
      </c>
      <c r="B1958" s="1" t="n">
        <v>45782</v>
      </c>
      <c r="C1958" s="1" t="n">
        <v>45788</v>
      </c>
      <c r="D1958" t="inlineStr">
        <is>
          <t>JÄMTLANDS LÄN</t>
        </is>
      </c>
      <c r="E1958" t="inlineStr">
        <is>
          <t>RAGUNDA</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21331-2025</t>
        </is>
      </c>
      <c r="B1959" s="1" t="n">
        <v>45782</v>
      </c>
      <c r="C1959" s="1" t="n">
        <v>45788</v>
      </c>
      <c r="D1959" t="inlineStr">
        <is>
          <t>JÄMTLANDS LÄN</t>
        </is>
      </c>
      <c r="E1959" t="inlineStr">
        <is>
          <t>RAGUNDA</t>
        </is>
      </c>
      <c r="F1959" t="inlineStr">
        <is>
          <t>SCA</t>
        </is>
      </c>
      <c r="G1959" t="n">
        <v>23.1</v>
      </c>
      <c r="H1959" t="n">
        <v>0</v>
      </c>
      <c r="I1959" t="n">
        <v>0</v>
      </c>
      <c r="J1959" t="n">
        <v>0</v>
      </c>
      <c r="K1959" t="n">
        <v>0</v>
      </c>
      <c r="L1959" t="n">
        <v>0</v>
      </c>
      <c r="M1959" t="n">
        <v>0</v>
      </c>
      <c r="N1959" t="n">
        <v>0</v>
      </c>
      <c r="O1959" t="n">
        <v>0</v>
      </c>
      <c r="P1959" t="n">
        <v>0</v>
      </c>
      <c r="Q1959" t="n">
        <v>0</v>
      </c>
      <c r="R1959" s="2" t="inlineStr"/>
    </row>
    <row r="1960" ht="15" customHeight="1">
      <c r="A1960" t="inlineStr">
        <is>
          <t>A 21504-2025</t>
        </is>
      </c>
      <c r="B1960" s="1" t="n">
        <v>45782</v>
      </c>
      <c r="C1960" s="1" t="n">
        <v>45788</v>
      </c>
      <c r="D1960" t="inlineStr">
        <is>
          <t>JÄMTLANDS LÄN</t>
        </is>
      </c>
      <c r="E1960" t="inlineStr">
        <is>
          <t>RAGUNDA</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21430-2025</t>
        </is>
      </c>
      <c r="B1961" s="1" t="n">
        <v>45782</v>
      </c>
      <c r="C1961" s="1" t="n">
        <v>45788</v>
      </c>
      <c r="D1961" t="inlineStr">
        <is>
          <t>JÄMTLANDS LÄN</t>
        </is>
      </c>
      <c r="E1961" t="inlineStr">
        <is>
          <t>RAGUNDA</t>
        </is>
      </c>
      <c r="F1961" t="inlineStr">
        <is>
          <t>SCA</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21550-2025</t>
        </is>
      </c>
      <c r="B1962" s="1" t="n">
        <v>45782</v>
      </c>
      <c r="C1962" s="1" t="n">
        <v>45788</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21432-2025</t>
        </is>
      </c>
      <c r="B1963" s="1" t="n">
        <v>45782</v>
      </c>
      <c r="C1963" s="1" t="n">
        <v>45788</v>
      </c>
      <c r="D1963" t="inlineStr">
        <is>
          <t>JÄMTLANDS LÄN</t>
        </is>
      </c>
      <c r="E1963" t="inlineStr">
        <is>
          <t>RAGUNDA</t>
        </is>
      </c>
      <c r="F1963" t="inlineStr">
        <is>
          <t>SCA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21332-2025</t>
        </is>
      </c>
      <c r="B1964" s="1" t="n">
        <v>45782</v>
      </c>
      <c r="C1964" s="1" t="n">
        <v>45788</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21405-2025</t>
        </is>
      </c>
      <c r="B1965" s="1" t="n">
        <v>45782</v>
      </c>
      <c r="C1965" s="1" t="n">
        <v>45788</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21912-2025</t>
        </is>
      </c>
      <c r="B1966" s="1" t="n">
        <v>45784</v>
      </c>
      <c r="C1966" s="1" t="n">
        <v>45788</v>
      </c>
      <c r="D1966" t="inlineStr">
        <is>
          <t>JÄMTLANDS LÄN</t>
        </is>
      </c>
      <c r="E1966" t="inlineStr">
        <is>
          <t>RAGUNDA</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22054-2025</t>
        </is>
      </c>
      <c r="B1967" s="1" t="n">
        <v>45785</v>
      </c>
      <c r="C1967" s="1" t="n">
        <v>45788</v>
      </c>
      <c r="D1967" t="inlineStr">
        <is>
          <t>JÄMTLANDS LÄN</t>
        </is>
      </c>
      <c r="E1967" t="inlineStr">
        <is>
          <t>RAGUNDA</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22467-2025</t>
        </is>
      </c>
      <c r="B1968" s="1" t="n">
        <v>45786</v>
      </c>
      <c r="C1968" s="1" t="n">
        <v>45788</v>
      </c>
      <c r="D1968" t="inlineStr">
        <is>
          <t>JÄMTLANDS LÄN</t>
        </is>
      </c>
      <c r="E1968" t="inlineStr">
        <is>
          <t>RAGUNDA</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22466-2025</t>
        </is>
      </c>
      <c r="B1969" s="1" t="n">
        <v>45786</v>
      </c>
      <c r="C1969" s="1" t="n">
        <v>45788</v>
      </c>
      <c r="D1969" t="inlineStr">
        <is>
          <t>JÄMTLANDS LÄN</t>
        </is>
      </c>
      <c r="E1969" t="inlineStr">
        <is>
          <t>RAGUNDA</t>
        </is>
      </c>
      <c r="F1969" t="inlineStr">
        <is>
          <t>SCA</t>
        </is>
      </c>
      <c r="G1969" t="n">
        <v>3.2</v>
      </c>
      <c r="H1969" t="n">
        <v>0</v>
      </c>
      <c r="I1969" t="n">
        <v>0</v>
      </c>
      <c r="J1969" t="n">
        <v>0</v>
      </c>
      <c r="K1969" t="n">
        <v>0</v>
      </c>
      <c r="L1969" t="n">
        <v>0</v>
      </c>
      <c r="M1969" t="n">
        <v>0</v>
      </c>
      <c r="N1969" t="n">
        <v>0</v>
      </c>
      <c r="O1969" t="n">
        <v>0</v>
      </c>
      <c r="P1969" t="n">
        <v>0</v>
      </c>
      <c r="Q1969" t="n">
        <v>0</v>
      </c>
      <c r="R1969" s="2" t="inlineStr"/>
    </row>
    <row r="1970">
      <c r="A1970" t="inlineStr">
        <is>
          <t>A 22388-2025</t>
        </is>
      </c>
      <c r="B1970" s="1" t="n">
        <v>45786</v>
      </c>
      <c r="C1970" s="1" t="n">
        <v>45788</v>
      </c>
      <c r="D1970" t="inlineStr">
        <is>
          <t>JÄMTLANDS LÄN</t>
        </is>
      </c>
      <c r="E1970" t="inlineStr">
        <is>
          <t>RAGUNDA</t>
        </is>
      </c>
      <c r="F1970" t="inlineStr">
        <is>
          <t>SCA</t>
        </is>
      </c>
      <c r="G1970" t="n">
        <v>1</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2025-05-11T17:26:34Z</dcterms:created>
  <dcterms:modified xmlns:dcterms="http://purl.org/dc/terms/" xmlns:xsi="http://www.w3.org/2001/XMLSchema-instance" xsi:type="dcterms:W3CDTF">2025-05-11T17:26:36Z</dcterms:modified>
</cp:coreProperties>
</file>