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46049</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46049</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46049</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46049</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41415-2024</t>
        </is>
      </c>
      <c r="B10" s="1" t="n">
        <v>45560.34532407407</v>
      </c>
      <c r="C10" s="1" t="n">
        <v>46049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46049</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46049</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46049</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46049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46049</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46049</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46049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59762-2024</t>
        </is>
      </c>
      <c r="B18" s="1" t="n">
        <v>45639.55269675926</v>
      </c>
      <c r="C18" s="1" t="n">
        <v>46049</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46049</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46049</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46049</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46049</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46049</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46049</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32741-2025</t>
        </is>
      </c>
      <c r="B25" s="1" t="n">
        <v>45839.42482638889</v>
      </c>
      <c r="C25" s="1" t="n">
        <v>46049</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9347-2024</t>
        </is>
      </c>
      <c r="B26" s="1" t="n">
        <v>45358.99375</v>
      </c>
      <c r="C26" s="1" t="n">
        <v>46049</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46049</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25632-2025</t>
        </is>
      </c>
      <c r="B28" s="1" t="n">
        <v>45803.59474537037</v>
      </c>
      <c r="C28" s="1" t="n">
        <v>46049</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46049</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13483-2022</t>
        </is>
      </c>
      <c r="B30" s="1" t="n">
        <v>44645.99859953704</v>
      </c>
      <c r="C30" s="1" t="n">
        <v>46049</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41412-2024</t>
        </is>
      </c>
      <c r="B31" s="1" t="n">
        <v>45560.34484953704</v>
      </c>
      <c r="C31" s="1" t="n">
        <v>46049</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46049</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46049</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46049</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46049</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30876-2025</t>
        </is>
      </c>
      <c r="B36" s="1" t="n">
        <v>45832.34461805555</v>
      </c>
      <c r="C36" s="1" t="n">
        <v>46049</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62948-2021</t>
        </is>
      </c>
      <c r="B37" s="1" t="n">
        <v>44504</v>
      </c>
      <c r="C37" s="1" t="n">
        <v>46049</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58876-2025</t>
        </is>
      </c>
      <c r="B38" s="1" t="n">
        <v>45987.46929398148</v>
      </c>
      <c r="C38" s="1" t="n">
        <v>46049</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42393-2025</t>
        </is>
      </c>
      <c r="B39" s="1" t="n">
        <v>45905</v>
      </c>
      <c r="C39" s="1" t="n">
        <v>46049</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46049</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46049</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46049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46049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46049</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25016-2025</t>
        </is>
      </c>
      <c r="B45" s="1" t="n">
        <v>45799.63574074074</v>
      </c>
      <c r="C45" s="1" t="n">
        <v>46049</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46049</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3634-2024</t>
        </is>
      </c>
      <c r="B47" s="1" t="n">
        <v>45320</v>
      </c>
      <c r="C47" s="1" t="n">
        <v>46049</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30335-2025</t>
        </is>
      </c>
      <c r="B48" s="1" t="n">
        <v>45827.5110300926</v>
      </c>
      <c r="C48" s="1" t="n">
        <v>46049</v>
      </c>
      <c r="D48" t="inlineStr">
        <is>
          <t>JÄMTLANDS LÄN</t>
        </is>
      </c>
      <c r="E48" t="inlineStr">
        <is>
          <t>RAGUNDA</t>
        </is>
      </c>
      <c r="F48" t="inlineStr">
        <is>
          <t>SCA</t>
        </is>
      </c>
      <c r="G48" t="n">
        <v>7.7</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30335-2025 artfynd.xlsx", "A 30335-2025")</f>
        <v/>
      </c>
      <c r="T48">
        <f>HYPERLINK("https://klasma.github.io/Logging_2303/kartor/A 30335-2025 karta.png", "A 30335-2025")</f>
        <v/>
      </c>
      <c r="U48">
        <f>HYPERLINK("https://klasma.github.io/Logging_2303/knärot/A 30335-2025 karta knärot.png", "A 30335-2025")</f>
        <v/>
      </c>
      <c r="V48">
        <f>HYPERLINK("https://klasma.github.io/Logging_2303/klagomål/A 30335-2025 FSC-klagomål.docx", "A 30335-2025")</f>
        <v/>
      </c>
      <c r="W48">
        <f>HYPERLINK("https://klasma.github.io/Logging_2303/klagomålsmail/A 30335-2025 FSC-klagomål mail.docx", "A 30335-2025")</f>
        <v/>
      </c>
      <c r="X48">
        <f>HYPERLINK("https://klasma.github.io/Logging_2303/tillsyn/A 30335-2025 tillsynsbegäran.docx", "A 30335-2025")</f>
        <v/>
      </c>
      <c r="Y48">
        <f>HYPERLINK("https://klasma.github.io/Logging_2303/tillsynsmail/A 30335-2025 tillsynsbegäran mail.docx", "A 30335-2025")</f>
        <v/>
      </c>
    </row>
    <row r="49" ht="15" customHeight="1">
      <c r="A49" t="inlineStr">
        <is>
          <t>A 51037-2025</t>
        </is>
      </c>
      <c r="B49" s="1" t="n">
        <v>45947.40729166667</v>
      </c>
      <c r="C49" s="1" t="n">
        <v>46049</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62738-2025</t>
        </is>
      </c>
      <c r="B50" s="1" t="n">
        <v>46008.57341435185</v>
      </c>
      <c r="C50" s="1" t="n">
        <v>46049</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59107-2025</t>
        </is>
      </c>
      <c r="B51" s="1" t="n">
        <v>45988.46924768519</v>
      </c>
      <c r="C51" s="1" t="n">
        <v>46049</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60129-2025</t>
        </is>
      </c>
      <c r="B52" s="1" t="n">
        <v>45994.34461805555</v>
      </c>
      <c r="C52" s="1" t="n">
        <v>46049</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32475-2023</t>
        </is>
      </c>
      <c r="B53" s="1" t="n">
        <v>45120</v>
      </c>
      <c r="C53" s="1" t="n">
        <v>46049</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24732-2025</t>
        </is>
      </c>
      <c r="B54" s="1" t="n">
        <v>45799.34421296296</v>
      </c>
      <c r="C54" s="1" t="n">
        <v>46049</v>
      </c>
      <c r="D54" t="inlineStr">
        <is>
          <t>JÄMTLANDS LÄN</t>
        </is>
      </c>
      <c r="E54" t="inlineStr">
        <is>
          <t>RAGUNDA</t>
        </is>
      </c>
      <c r="F54" t="inlineStr">
        <is>
          <t>SCA</t>
        </is>
      </c>
      <c r="G54" t="n">
        <v>16.2</v>
      </c>
      <c r="H54" t="n">
        <v>1</v>
      </c>
      <c r="I54" t="n">
        <v>3</v>
      </c>
      <c r="J54" t="n">
        <v>4</v>
      </c>
      <c r="K54" t="n">
        <v>1</v>
      </c>
      <c r="L54" t="n">
        <v>0</v>
      </c>
      <c r="M54" t="n">
        <v>0</v>
      </c>
      <c r="N54" t="n">
        <v>0</v>
      </c>
      <c r="O54" t="n">
        <v>5</v>
      </c>
      <c r="P54" t="n">
        <v>1</v>
      </c>
      <c r="Q54" t="n">
        <v>8</v>
      </c>
      <c r="R54" s="2" t="inlineStr">
        <is>
          <t>Knärot
Gammelgransskål
Garnlav
Lunglav
Vitgrynig nållav
Bollvitmossa
Skarp dropptaggsvamp
Svavelriska</t>
        </is>
      </c>
      <c r="S54">
        <f>HYPERLINK("https://klasma.github.io/Logging_2303/artfynd/A 24732-2025 artfynd.xlsx", "A 24732-2025")</f>
        <v/>
      </c>
      <c r="T54">
        <f>HYPERLINK("https://klasma.github.io/Logging_2303/kartor/A 24732-2025 karta.png", "A 24732-2025")</f>
        <v/>
      </c>
      <c r="U54">
        <f>HYPERLINK("https://klasma.github.io/Logging_2303/knärot/A 24732-2025 karta knärot.png", "A 24732-2025")</f>
        <v/>
      </c>
      <c r="V54">
        <f>HYPERLINK("https://klasma.github.io/Logging_2303/klagomål/A 24732-2025 FSC-klagomål.docx", "A 24732-2025")</f>
        <v/>
      </c>
      <c r="W54">
        <f>HYPERLINK("https://klasma.github.io/Logging_2303/klagomålsmail/A 24732-2025 FSC-klagomål mail.docx", "A 24732-2025")</f>
        <v/>
      </c>
      <c r="X54">
        <f>HYPERLINK("https://klasma.github.io/Logging_2303/tillsyn/A 24732-2025 tillsynsbegäran.docx", "A 24732-2025")</f>
        <v/>
      </c>
      <c r="Y54">
        <f>HYPERLINK("https://klasma.github.io/Logging_2303/tillsynsmail/A 24732-2025 tillsynsbegäran mail.docx", "A 24732-2025")</f>
        <v/>
      </c>
    </row>
    <row r="55" ht="15" customHeight="1">
      <c r="A55" t="inlineStr">
        <is>
          <t>A 15665-2022</t>
        </is>
      </c>
      <c r="B55" s="1" t="n">
        <v>44662</v>
      </c>
      <c r="C55" s="1" t="n">
        <v>46049</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46049</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46049</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46049</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46049</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46049</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46049</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46049</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46049</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46049</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46049</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46049</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27322-2024</t>
        </is>
      </c>
      <c r="B68" s="1" t="n">
        <v>45471.94783564815</v>
      </c>
      <c r="C68" s="1" t="n">
        <v>46049</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53021-2022</t>
        </is>
      </c>
      <c r="B69" s="1" t="n">
        <v>44875</v>
      </c>
      <c r="C69" s="1" t="n">
        <v>46049</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39973-2025</t>
        </is>
      </c>
      <c r="B70" s="1" t="n">
        <v>45893.38584490741</v>
      </c>
      <c r="C70" s="1" t="n">
        <v>46049</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30884-2025</t>
        </is>
      </c>
      <c r="B71" s="1" t="n">
        <v>45832.34564814815</v>
      </c>
      <c r="C71" s="1" t="n">
        <v>46049</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46049</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11828-2023</t>
        </is>
      </c>
      <c r="B73" s="1" t="n">
        <v>44994</v>
      </c>
      <c r="C73" s="1" t="n">
        <v>46049</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26326-2024</t>
        </is>
      </c>
      <c r="B74" s="1" t="n">
        <v>45468.97528935185</v>
      </c>
      <c r="C74" s="1" t="n">
        <v>46049</v>
      </c>
      <c r="D74" t="inlineStr">
        <is>
          <t>JÄMTLANDS LÄN</t>
        </is>
      </c>
      <c r="E74" t="inlineStr">
        <is>
          <t>RAGUNDA</t>
        </is>
      </c>
      <c r="F74" t="inlineStr">
        <is>
          <t>SCA</t>
        </is>
      </c>
      <c r="G74" t="n">
        <v>1.8</v>
      </c>
      <c r="H74" t="n">
        <v>1</v>
      </c>
      <c r="I74" t="n">
        <v>1</v>
      </c>
      <c r="J74" t="n">
        <v>4</v>
      </c>
      <c r="K74" t="n">
        <v>1</v>
      </c>
      <c r="L74" t="n">
        <v>0</v>
      </c>
      <c r="M74" t="n">
        <v>0</v>
      </c>
      <c r="N74" t="n">
        <v>0</v>
      </c>
      <c r="O74" t="n">
        <v>5</v>
      </c>
      <c r="P74" t="n">
        <v>1</v>
      </c>
      <c r="Q74" t="n">
        <v>6</v>
      </c>
      <c r="R74" s="2" t="inlineStr">
        <is>
          <t>Knärot
Gammelgransskål
Kortskaftad ärgspik
Mörk kolflarnlav
Vedtrappmossa
Gytterlav</t>
        </is>
      </c>
      <c r="S74">
        <f>HYPERLINK("https://klasma.github.io/Logging_2303/artfynd/A 26326-2024 artfynd.xlsx", "A 26326-2024")</f>
        <v/>
      </c>
      <c r="T74">
        <f>HYPERLINK("https://klasma.github.io/Logging_2303/kartor/A 26326-2024 karta.png", "A 26326-2024")</f>
        <v/>
      </c>
      <c r="U74">
        <f>HYPERLINK("https://klasma.github.io/Logging_2303/knärot/A 26326-2024 karta knärot.png", "A 26326-2024")</f>
        <v/>
      </c>
      <c r="V74">
        <f>HYPERLINK("https://klasma.github.io/Logging_2303/klagomål/A 26326-2024 FSC-klagomål.docx", "A 26326-2024")</f>
        <v/>
      </c>
      <c r="W74">
        <f>HYPERLINK("https://klasma.github.io/Logging_2303/klagomålsmail/A 26326-2024 FSC-klagomål mail.docx", "A 26326-2024")</f>
        <v/>
      </c>
      <c r="X74">
        <f>HYPERLINK("https://klasma.github.io/Logging_2303/tillsyn/A 26326-2024 tillsynsbegäran.docx", "A 26326-2024")</f>
        <v/>
      </c>
      <c r="Y74">
        <f>HYPERLINK("https://klasma.github.io/Logging_2303/tillsynsmail/A 26326-2024 tillsynsbegäran mail.docx", "A 26326-2024")</f>
        <v/>
      </c>
    </row>
    <row r="75" ht="15" customHeight="1">
      <c r="A75" t="inlineStr">
        <is>
          <t>A 36276-2025</t>
        </is>
      </c>
      <c r="B75" s="1" t="n">
        <v>45867.63619212963</v>
      </c>
      <c r="C75" s="1" t="n">
        <v>46049</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24431-2024</t>
        </is>
      </c>
      <c r="B76" s="1" t="n">
        <v>45457</v>
      </c>
      <c r="C76" s="1" t="n">
        <v>46049</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49291-2025</t>
        </is>
      </c>
      <c r="B77" s="1" t="n">
        <v>45938.53188657408</v>
      </c>
      <c r="C77" s="1" t="n">
        <v>46049</v>
      </c>
      <c r="D77" t="inlineStr">
        <is>
          <t>JÄMTLANDS LÄN</t>
        </is>
      </c>
      <c r="E77" t="inlineStr">
        <is>
          <t>RAGUNDA</t>
        </is>
      </c>
      <c r="F77" t="inlineStr">
        <is>
          <t>SCA</t>
        </is>
      </c>
      <c r="G77" t="n">
        <v>4.2</v>
      </c>
      <c r="H77" t="n">
        <v>1</v>
      </c>
      <c r="I77" t="n">
        <v>3</v>
      </c>
      <c r="J77" t="n">
        <v>2</v>
      </c>
      <c r="K77" t="n">
        <v>0</v>
      </c>
      <c r="L77" t="n">
        <v>0</v>
      </c>
      <c r="M77" t="n">
        <v>0</v>
      </c>
      <c r="N77" t="n">
        <v>0</v>
      </c>
      <c r="O77" t="n">
        <v>2</v>
      </c>
      <c r="P77" t="n">
        <v>0</v>
      </c>
      <c r="Q77" t="n">
        <v>6</v>
      </c>
      <c r="R77" s="2" t="inlineStr">
        <is>
          <t>Kolflarnlav
Lunglav
Korallblylav
Skinnlav
Vårärt
Blåsippa</t>
        </is>
      </c>
      <c r="S77">
        <f>HYPERLINK("https://klasma.github.io/Logging_2303/artfynd/A 49291-2025 artfynd.xlsx", "A 49291-2025")</f>
        <v/>
      </c>
      <c r="T77">
        <f>HYPERLINK("https://klasma.github.io/Logging_2303/kartor/A 49291-2025 karta.png", "A 49291-2025")</f>
        <v/>
      </c>
      <c r="V77">
        <f>HYPERLINK("https://klasma.github.io/Logging_2303/klagomål/A 49291-2025 FSC-klagomål.docx", "A 49291-2025")</f>
        <v/>
      </c>
      <c r="W77">
        <f>HYPERLINK("https://klasma.github.io/Logging_2303/klagomålsmail/A 49291-2025 FSC-klagomål mail.docx", "A 49291-2025")</f>
        <v/>
      </c>
      <c r="X77">
        <f>HYPERLINK("https://klasma.github.io/Logging_2303/tillsyn/A 49291-2025 tillsynsbegäran.docx", "A 49291-2025")</f>
        <v/>
      </c>
      <c r="Y77">
        <f>HYPERLINK("https://klasma.github.io/Logging_2303/tillsynsmail/A 49291-2025 tillsynsbegäran mail.docx", "A 49291-2025")</f>
        <v/>
      </c>
    </row>
    <row r="78" ht="15" customHeight="1">
      <c r="A78" t="inlineStr">
        <is>
          <t>A 2193-2026</t>
        </is>
      </c>
      <c r="B78" s="1" t="n">
        <v>46036.46946759259</v>
      </c>
      <c r="C78" s="1" t="n">
        <v>46049</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55646-2023</t>
        </is>
      </c>
      <c r="B79" s="1" t="n">
        <v>45238</v>
      </c>
      <c r="C79" s="1" t="n">
        <v>46049</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34317-2025</t>
        </is>
      </c>
      <c r="B80" s="1" t="n">
        <v>45846.41361111111</v>
      </c>
      <c r="C80" s="1" t="n">
        <v>46049</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46049</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47115-2025</t>
        </is>
      </c>
      <c r="B82" s="1" t="n">
        <v>45929</v>
      </c>
      <c r="C82" s="1" t="n">
        <v>46049</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46049</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46049</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46049</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39365-2024</t>
        </is>
      </c>
      <c r="B86" s="1" t="n">
        <v>45551.46912037037</v>
      </c>
      <c r="C86" s="1" t="n">
        <v>46049</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39974-2025</t>
        </is>
      </c>
      <c r="B87" s="1" t="n">
        <v>45893.38599537037</v>
      </c>
      <c r="C87" s="1" t="n">
        <v>46049</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30886-2025</t>
        </is>
      </c>
      <c r="B88" s="1" t="n">
        <v>45832.34578703704</v>
      </c>
      <c r="C88" s="1" t="n">
        <v>46049</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46049</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46049</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46049</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46049</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46049</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46049</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46049</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46049</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46049</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57073-2023</t>
        </is>
      </c>
      <c r="B98" s="1" t="n">
        <v>45244</v>
      </c>
      <c r="C98" s="1" t="n">
        <v>46049</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45969-2023</t>
        </is>
      </c>
      <c r="B99" s="1" t="n">
        <v>45195</v>
      </c>
      <c r="C99" s="1" t="n">
        <v>46049</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12024-2022</t>
        </is>
      </c>
      <c r="B100" s="1" t="n">
        <v>44635</v>
      </c>
      <c r="C100" s="1" t="n">
        <v>46049</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46049</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46049</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46049</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46049</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46049</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46049</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46049</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26082-2025</t>
        </is>
      </c>
      <c r="B108" s="1" t="n">
        <v>45805.34415509259</v>
      </c>
      <c r="C108" s="1" t="n">
        <v>46049</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23682-2021</t>
        </is>
      </c>
      <c r="B109" s="1" t="n">
        <v>44334</v>
      </c>
      <c r="C109" s="1" t="n">
        <v>46049</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46049</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32067-2024</t>
        </is>
      </c>
      <c r="B111" s="1" t="n">
        <v>45510</v>
      </c>
      <c r="C111" s="1" t="n">
        <v>46049</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40653-2025</t>
        </is>
      </c>
      <c r="B112" s="1" t="n">
        <v>45896.63618055556</v>
      </c>
      <c r="C112" s="1" t="n">
        <v>46049</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15836-2024</t>
        </is>
      </c>
      <c r="B113" s="1" t="n">
        <v>45404</v>
      </c>
      <c r="C113" s="1" t="n">
        <v>46049</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46049</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46049</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60670-2022</t>
        </is>
      </c>
      <c r="B116" s="1" t="n">
        <v>44911</v>
      </c>
      <c r="C116" s="1" t="n">
        <v>46049</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50342-2025</t>
        </is>
      </c>
      <c r="B117" s="1" t="n">
        <v>45944.53186342592</v>
      </c>
      <c r="C117" s="1" t="n">
        <v>46049</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52644-2024</t>
        </is>
      </c>
      <c r="B118" s="1" t="n">
        <v>45610.34415509259</v>
      </c>
      <c r="C118" s="1" t="n">
        <v>46049</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3809-2026</t>
        </is>
      </c>
      <c r="B119" s="1" t="n">
        <v>46043.58364583334</v>
      </c>
      <c r="C119" s="1" t="n">
        <v>46049</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17092-2022</t>
        </is>
      </c>
      <c r="B120" s="1" t="n">
        <v>44677</v>
      </c>
      <c r="C120" s="1" t="n">
        <v>46049</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46049</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46049</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46049</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46049</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46049</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46049</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48052-2022</t>
        </is>
      </c>
      <c r="B127" s="1" t="n">
        <v>44855</v>
      </c>
      <c r="C127" s="1" t="n">
        <v>46049</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46049</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46049</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46049</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46049</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46049</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46049</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46049</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20776-2024</t>
        </is>
      </c>
      <c r="B135" s="1" t="n">
        <v>45436.94686342592</v>
      </c>
      <c r="C135" s="1" t="n">
        <v>46049</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7519-2023</t>
        </is>
      </c>
      <c r="B136" s="1" t="n">
        <v>44971</v>
      </c>
      <c r="C136" s="1" t="n">
        <v>46049</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58368-2024</t>
        </is>
      </c>
      <c r="B137" s="1" t="n">
        <v>45632.69822916666</v>
      </c>
      <c r="C137" s="1" t="n">
        <v>46049</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22571-2025</t>
        </is>
      </c>
      <c r="B138" s="1" t="n">
        <v>45789.36503472222</v>
      </c>
      <c r="C138" s="1" t="n">
        <v>46049</v>
      </c>
      <c r="D138" t="inlineStr">
        <is>
          <t>JÄMTLANDS LÄN</t>
        </is>
      </c>
      <c r="E138" t="inlineStr">
        <is>
          <t>RAGUNDA</t>
        </is>
      </c>
      <c r="F138" t="inlineStr">
        <is>
          <t>SCA</t>
        </is>
      </c>
      <c r="G138" t="n">
        <v>18.2</v>
      </c>
      <c r="H138" t="n">
        <v>2</v>
      </c>
      <c r="I138" t="n">
        <v>0</v>
      </c>
      <c r="J138" t="n">
        <v>2</v>
      </c>
      <c r="K138" t="n">
        <v>0</v>
      </c>
      <c r="L138" t="n">
        <v>0</v>
      </c>
      <c r="M138" t="n">
        <v>0</v>
      </c>
      <c r="N138" t="n">
        <v>0</v>
      </c>
      <c r="O138" t="n">
        <v>2</v>
      </c>
      <c r="P138" t="n">
        <v>0</v>
      </c>
      <c r="Q138" t="n">
        <v>3</v>
      </c>
      <c r="R138" s="2" t="inlineStr">
        <is>
          <t>Garnlav
Tretåig hackspett
Nattviol</t>
        </is>
      </c>
      <c r="S138">
        <f>HYPERLINK("https://klasma.github.io/Logging_2303/artfynd/A 22571-2025 artfynd.xlsx", "A 22571-2025")</f>
        <v/>
      </c>
      <c r="T138">
        <f>HYPERLINK("https://klasma.github.io/Logging_2303/kartor/A 22571-2025 karta.png", "A 22571-2025")</f>
        <v/>
      </c>
      <c r="V138">
        <f>HYPERLINK("https://klasma.github.io/Logging_2303/klagomål/A 22571-2025 FSC-klagomål.docx", "A 22571-2025")</f>
        <v/>
      </c>
      <c r="W138">
        <f>HYPERLINK("https://klasma.github.io/Logging_2303/klagomålsmail/A 22571-2025 FSC-klagomål mail.docx", "A 22571-2025")</f>
        <v/>
      </c>
      <c r="X138">
        <f>HYPERLINK("https://klasma.github.io/Logging_2303/tillsyn/A 22571-2025 tillsynsbegäran.docx", "A 22571-2025")</f>
        <v/>
      </c>
      <c r="Y138">
        <f>HYPERLINK("https://klasma.github.io/Logging_2303/tillsynsmail/A 22571-2025 tillsynsbegäran mail.docx", "A 22571-2025")</f>
        <v/>
      </c>
      <c r="Z138">
        <f>HYPERLINK("https://klasma.github.io/Logging_2303/fåglar/A 22571-2025 prioriterade fågelarter.docx", "A 22571-2025")</f>
        <v/>
      </c>
    </row>
    <row r="139" ht="15" customHeight="1">
      <c r="A139" t="inlineStr">
        <is>
          <t>A 34585-2025</t>
        </is>
      </c>
      <c r="B139" s="1" t="n">
        <v>45847.61498842593</v>
      </c>
      <c r="C139" s="1" t="n">
        <v>46049</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32416-2025</t>
        </is>
      </c>
      <c r="B140" s="1" t="n">
        <v>45838</v>
      </c>
      <c r="C140" s="1" t="n">
        <v>46049</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32416-2025 artfynd.xlsx", "A 32416-2025")</f>
        <v/>
      </c>
      <c r="T140">
        <f>HYPERLINK("https://klasma.github.io/Logging_2303/kartor/A 32416-2025 karta.png", "A 32416-2025")</f>
        <v/>
      </c>
      <c r="V140">
        <f>HYPERLINK("https://klasma.github.io/Logging_2303/klagomål/A 32416-2025 FSC-klagomål.docx", "A 32416-2025")</f>
        <v/>
      </c>
      <c r="W140">
        <f>HYPERLINK("https://klasma.github.io/Logging_2303/klagomålsmail/A 32416-2025 FSC-klagomål mail.docx", "A 32416-2025")</f>
        <v/>
      </c>
      <c r="X140">
        <f>HYPERLINK("https://klasma.github.io/Logging_2303/tillsyn/A 32416-2025 tillsynsbegäran.docx", "A 32416-2025")</f>
        <v/>
      </c>
      <c r="Y140">
        <f>HYPERLINK("https://klasma.github.io/Logging_2303/tillsynsmail/A 32416-2025 tillsynsbegäran mail.docx", "A 32416-2025")</f>
        <v/>
      </c>
    </row>
    <row r="141" ht="15" customHeight="1">
      <c r="A141" t="inlineStr">
        <is>
          <t>A 33432-2023</t>
        </is>
      </c>
      <c r="B141" s="1" t="n">
        <v>45128</v>
      </c>
      <c r="C141" s="1" t="n">
        <v>46049</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57941-2024</t>
        </is>
      </c>
      <c r="B142" s="1" t="n">
        <v>45631</v>
      </c>
      <c r="C142" s="1" t="n">
        <v>46049</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57667-2025</t>
        </is>
      </c>
      <c r="B143" s="1" t="n">
        <v>45981.42767361111</v>
      </c>
      <c r="C143" s="1" t="n">
        <v>46049</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16305-2025</t>
        </is>
      </c>
      <c r="B144" s="1" t="n">
        <v>45751.34650462963</v>
      </c>
      <c r="C144" s="1" t="n">
        <v>46049</v>
      </c>
      <c r="D144" t="inlineStr">
        <is>
          <t>JÄMTLANDS LÄN</t>
        </is>
      </c>
      <c r="E144" t="inlineStr">
        <is>
          <t>RAGUNDA</t>
        </is>
      </c>
      <c r="F144" t="inlineStr">
        <is>
          <t>SCA</t>
        </is>
      </c>
      <c r="G144" t="n">
        <v>2.5</v>
      </c>
      <c r="H144" t="n">
        <v>0</v>
      </c>
      <c r="I144" t="n">
        <v>2</v>
      </c>
      <c r="J144" t="n">
        <v>1</v>
      </c>
      <c r="K144" t="n">
        <v>0</v>
      </c>
      <c r="L144" t="n">
        <v>0</v>
      </c>
      <c r="M144" t="n">
        <v>0</v>
      </c>
      <c r="N144" t="n">
        <v>0</v>
      </c>
      <c r="O144" t="n">
        <v>1</v>
      </c>
      <c r="P144" t="n">
        <v>0</v>
      </c>
      <c r="Q144" t="n">
        <v>3</v>
      </c>
      <c r="R144" s="2" t="inlineStr">
        <is>
          <t>Lunglav
Bollvitmossa
Källmossa</t>
        </is>
      </c>
      <c r="S144">
        <f>HYPERLINK("https://klasma.github.io/Logging_2303/artfynd/A 16305-2025 artfynd.xlsx", "A 16305-2025")</f>
        <v/>
      </c>
      <c r="T144">
        <f>HYPERLINK("https://klasma.github.io/Logging_2303/kartor/A 16305-2025 karta.png", "A 16305-2025")</f>
        <v/>
      </c>
      <c r="V144">
        <f>HYPERLINK("https://klasma.github.io/Logging_2303/klagomål/A 16305-2025 FSC-klagomål.docx", "A 16305-2025")</f>
        <v/>
      </c>
      <c r="W144">
        <f>HYPERLINK("https://klasma.github.io/Logging_2303/klagomålsmail/A 16305-2025 FSC-klagomål mail.docx", "A 16305-2025")</f>
        <v/>
      </c>
      <c r="X144">
        <f>HYPERLINK("https://klasma.github.io/Logging_2303/tillsyn/A 16305-2025 tillsynsbegäran.docx", "A 16305-2025")</f>
        <v/>
      </c>
      <c r="Y144">
        <f>HYPERLINK("https://klasma.github.io/Logging_2303/tillsynsmail/A 16305-2025 tillsynsbegäran mail.docx", "A 16305-2025")</f>
        <v/>
      </c>
    </row>
    <row r="145" ht="15" customHeight="1">
      <c r="A145" t="inlineStr">
        <is>
          <t>A 28178-2023</t>
        </is>
      </c>
      <c r="B145" s="1" t="n">
        <v>45093</v>
      </c>
      <c r="C145" s="1" t="n">
        <v>46049</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52345-2024</t>
        </is>
      </c>
      <c r="B146" s="1" t="n">
        <v>45609.34412037037</v>
      </c>
      <c r="C146" s="1" t="n">
        <v>46049</v>
      </c>
      <c r="D146" t="inlineStr">
        <is>
          <t>JÄMTLANDS LÄN</t>
        </is>
      </c>
      <c r="E146" t="inlineStr">
        <is>
          <t>RAGUNDA</t>
        </is>
      </c>
      <c r="F146" t="inlineStr">
        <is>
          <t>SCA</t>
        </is>
      </c>
      <c r="G146" t="n">
        <v>10.3</v>
      </c>
      <c r="H146" t="n">
        <v>1</v>
      </c>
      <c r="I146" t="n">
        <v>0</v>
      </c>
      <c r="J146" t="n">
        <v>2</v>
      </c>
      <c r="K146" t="n">
        <v>0</v>
      </c>
      <c r="L146" t="n">
        <v>0</v>
      </c>
      <c r="M146" t="n">
        <v>0</v>
      </c>
      <c r="N146" t="n">
        <v>0</v>
      </c>
      <c r="O146" t="n">
        <v>2</v>
      </c>
      <c r="P146" t="n">
        <v>0</v>
      </c>
      <c r="Q146" t="n">
        <v>3</v>
      </c>
      <c r="R146" s="2" t="inlineStr">
        <is>
          <t>Doftskinn
Koralltaggsvamp
Blåsippa</t>
        </is>
      </c>
      <c r="S146">
        <f>HYPERLINK("https://klasma.github.io/Logging_2303/artfynd/A 52345-2024 artfynd.xlsx", "A 52345-2024")</f>
        <v/>
      </c>
      <c r="T146">
        <f>HYPERLINK("https://klasma.github.io/Logging_2303/kartor/A 52345-2024 karta.png", "A 52345-2024")</f>
        <v/>
      </c>
      <c r="V146">
        <f>HYPERLINK("https://klasma.github.io/Logging_2303/klagomål/A 52345-2024 FSC-klagomål.docx", "A 52345-2024")</f>
        <v/>
      </c>
      <c r="W146">
        <f>HYPERLINK("https://klasma.github.io/Logging_2303/klagomålsmail/A 52345-2024 FSC-klagomål mail.docx", "A 52345-2024")</f>
        <v/>
      </c>
      <c r="X146">
        <f>HYPERLINK("https://klasma.github.io/Logging_2303/tillsyn/A 52345-2024 tillsynsbegäran.docx", "A 52345-2024")</f>
        <v/>
      </c>
      <c r="Y146">
        <f>HYPERLINK("https://klasma.github.io/Logging_2303/tillsynsmail/A 52345-2024 tillsynsbegäran mail.docx", "A 52345-2024")</f>
        <v/>
      </c>
    </row>
    <row r="147" ht="15" customHeight="1">
      <c r="A147" t="inlineStr">
        <is>
          <t>A 59179-2025</t>
        </is>
      </c>
      <c r="B147" s="1" t="n">
        <v>45988.57350694444</v>
      </c>
      <c r="C147" s="1" t="n">
        <v>46049</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30470-2024</t>
        </is>
      </c>
      <c r="B148" s="1" t="n">
        <v>45491</v>
      </c>
      <c r="C148" s="1" t="n">
        <v>46049</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61954-2025</t>
        </is>
      </c>
      <c r="B149" s="1" t="n">
        <v>46003.57381944444</v>
      </c>
      <c r="C149" s="1" t="n">
        <v>46049</v>
      </c>
      <c r="D149" t="inlineStr">
        <is>
          <t>JÄMTLANDS LÄN</t>
        </is>
      </c>
      <c r="E149" t="inlineStr">
        <is>
          <t>RAGUNDA</t>
        </is>
      </c>
      <c r="F149" t="inlineStr">
        <is>
          <t>SCA</t>
        </is>
      </c>
      <c r="G149" t="n">
        <v>6.5</v>
      </c>
      <c r="H149" t="n">
        <v>0</v>
      </c>
      <c r="I149" t="n">
        <v>1</v>
      </c>
      <c r="J149" t="n">
        <v>2</v>
      </c>
      <c r="K149" t="n">
        <v>0</v>
      </c>
      <c r="L149" t="n">
        <v>0</v>
      </c>
      <c r="M149" t="n">
        <v>0</v>
      </c>
      <c r="N149" t="n">
        <v>0</v>
      </c>
      <c r="O149" t="n">
        <v>2</v>
      </c>
      <c r="P149" t="n">
        <v>0</v>
      </c>
      <c r="Q149" t="n">
        <v>3</v>
      </c>
      <c r="R149" s="2" t="inlineStr">
        <is>
          <t>Garnlav
Lunglav
Trådticka</t>
        </is>
      </c>
      <c r="S149">
        <f>HYPERLINK("https://klasma.github.io/Logging_2303/artfynd/A 61954-2025 artfynd.xlsx", "A 61954-2025")</f>
        <v/>
      </c>
      <c r="T149">
        <f>HYPERLINK("https://klasma.github.io/Logging_2303/kartor/A 61954-2025 karta.png", "A 61954-2025")</f>
        <v/>
      </c>
      <c r="V149">
        <f>HYPERLINK("https://klasma.github.io/Logging_2303/klagomål/A 61954-2025 FSC-klagomål.docx", "A 61954-2025")</f>
        <v/>
      </c>
      <c r="W149">
        <f>HYPERLINK("https://klasma.github.io/Logging_2303/klagomålsmail/A 61954-2025 FSC-klagomål mail.docx", "A 61954-2025")</f>
        <v/>
      </c>
      <c r="X149">
        <f>HYPERLINK("https://klasma.github.io/Logging_2303/tillsyn/A 61954-2025 tillsynsbegäran.docx", "A 61954-2025")</f>
        <v/>
      </c>
      <c r="Y149">
        <f>HYPERLINK("https://klasma.github.io/Logging_2303/tillsynsmail/A 61954-2025 tillsynsbegäran mail.docx", "A 61954-2025")</f>
        <v/>
      </c>
    </row>
    <row r="150" ht="15" customHeight="1">
      <c r="A150" t="inlineStr">
        <is>
          <t>A 49047-2023</t>
        </is>
      </c>
      <c r="B150" s="1" t="n">
        <v>45209</v>
      </c>
      <c r="C150" s="1" t="n">
        <v>46049</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46049</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46049</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46049</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46049</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46049</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46049</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25769-2025</t>
        </is>
      </c>
      <c r="B157" s="1" t="n">
        <v>45804.34474537037</v>
      </c>
      <c r="C157" s="1" t="n">
        <v>46049</v>
      </c>
      <c r="D157" t="inlineStr">
        <is>
          <t>JÄMTLANDS LÄN</t>
        </is>
      </c>
      <c r="E157" t="inlineStr">
        <is>
          <t>RAGUNDA</t>
        </is>
      </c>
      <c r="F157" t="inlineStr">
        <is>
          <t>SCA</t>
        </is>
      </c>
      <c r="G157" t="n">
        <v>5.3</v>
      </c>
      <c r="H157" t="n">
        <v>2</v>
      </c>
      <c r="I157" t="n">
        <v>0</v>
      </c>
      <c r="J157" t="n">
        <v>3</v>
      </c>
      <c r="K157" t="n">
        <v>0</v>
      </c>
      <c r="L157" t="n">
        <v>0</v>
      </c>
      <c r="M157" t="n">
        <v>0</v>
      </c>
      <c r="N157" t="n">
        <v>0</v>
      </c>
      <c r="O157" t="n">
        <v>3</v>
      </c>
      <c r="P157" t="n">
        <v>0</v>
      </c>
      <c r="Q157" t="n">
        <v>3</v>
      </c>
      <c r="R157" s="2" t="inlineStr">
        <is>
          <t>Garnlav
Rödvingetrast
Tretåig hackspett</t>
        </is>
      </c>
      <c r="S157">
        <f>HYPERLINK("https://klasma.github.io/Logging_2303/artfynd/A 25769-2025 artfynd.xlsx", "A 25769-2025")</f>
        <v/>
      </c>
      <c r="T157">
        <f>HYPERLINK("https://klasma.github.io/Logging_2303/kartor/A 25769-2025 karta.png", "A 25769-2025")</f>
        <v/>
      </c>
      <c r="V157">
        <f>HYPERLINK("https://klasma.github.io/Logging_2303/klagomål/A 25769-2025 FSC-klagomål.docx", "A 25769-2025")</f>
        <v/>
      </c>
      <c r="W157">
        <f>HYPERLINK("https://klasma.github.io/Logging_2303/klagomålsmail/A 25769-2025 FSC-klagomål mail.docx", "A 25769-2025")</f>
        <v/>
      </c>
      <c r="X157">
        <f>HYPERLINK("https://klasma.github.io/Logging_2303/tillsyn/A 25769-2025 tillsynsbegäran.docx", "A 25769-2025")</f>
        <v/>
      </c>
      <c r="Y157">
        <f>HYPERLINK("https://klasma.github.io/Logging_2303/tillsynsmail/A 25769-2025 tillsynsbegäran mail.docx", "A 25769-2025")</f>
        <v/>
      </c>
      <c r="Z157">
        <f>HYPERLINK("https://klasma.github.io/Logging_2303/fåglar/A 25769-2025 prioriterade fågelarter.docx", "A 25769-2025")</f>
        <v/>
      </c>
    </row>
    <row r="158" ht="15" customHeight="1">
      <c r="A158" t="inlineStr">
        <is>
          <t>A 17043-2022</t>
        </is>
      </c>
      <c r="B158" s="1" t="n">
        <v>44676</v>
      </c>
      <c r="C158" s="1" t="n">
        <v>46049</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46049</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46049</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46049</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39495-2024</t>
        </is>
      </c>
      <c r="B162" s="1" t="n">
        <v>45551.65726851852</v>
      </c>
      <c r="C162" s="1" t="n">
        <v>46049</v>
      </c>
      <c r="D162" t="inlineStr">
        <is>
          <t>JÄMTLANDS LÄN</t>
        </is>
      </c>
      <c r="E162" t="inlineStr">
        <is>
          <t>RAGUNDA</t>
        </is>
      </c>
      <c r="F162" t="inlineStr">
        <is>
          <t>SCA</t>
        </is>
      </c>
      <c r="G162" t="n">
        <v>6.6</v>
      </c>
      <c r="H162" t="n">
        <v>0</v>
      </c>
      <c r="I162" t="n">
        <v>0</v>
      </c>
      <c r="J162" t="n">
        <v>2</v>
      </c>
      <c r="K162" t="n">
        <v>0</v>
      </c>
      <c r="L162" t="n">
        <v>0</v>
      </c>
      <c r="M162" t="n">
        <v>0</v>
      </c>
      <c r="N162" t="n">
        <v>0</v>
      </c>
      <c r="O162" t="n">
        <v>2</v>
      </c>
      <c r="P162" t="n">
        <v>0</v>
      </c>
      <c r="Q162" t="n">
        <v>2</v>
      </c>
      <c r="R162" s="2" t="inlineStr">
        <is>
          <t>Garnlav
Ullticka</t>
        </is>
      </c>
      <c r="S162">
        <f>HYPERLINK("https://klasma.github.io/Logging_2303/artfynd/A 39495-2024 artfynd.xlsx", "A 39495-2024")</f>
        <v/>
      </c>
      <c r="T162">
        <f>HYPERLINK("https://klasma.github.io/Logging_2303/kartor/A 39495-2024 karta.png", "A 39495-2024")</f>
        <v/>
      </c>
      <c r="V162">
        <f>HYPERLINK("https://klasma.github.io/Logging_2303/klagomål/A 39495-2024 FSC-klagomål.docx", "A 39495-2024")</f>
        <v/>
      </c>
      <c r="W162">
        <f>HYPERLINK("https://klasma.github.io/Logging_2303/klagomålsmail/A 39495-2024 FSC-klagomål mail.docx", "A 39495-2024")</f>
        <v/>
      </c>
      <c r="X162">
        <f>HYPERLINK("https://klasma.github.io/Logging_2303/tillsyn/A 39495-2024 tillsynsbegäran.docx", "A 39495-2024")</f>
        <v/>
      </c>
      <c r="Y162">
        <f>HYPERLINK("https://klasma.github.io/Logging_2303/tillsynsmail/A 39495-2024 tillsynsbegäran mail.docx", "A 39495-2024")</f>
        <v/>
      </c>
    </row>
    <row r="163" ht="15" customHeight="1">
      <c r="A163" t="inlineStr">
        <is>
          <t>A 47267-2022</t>
        </is>
      </c>
      <c r="B163" s="1" t="n">
        <v>44852</v>
      </c>
      <c r="C163" s="1" t="n">
        <v>46049</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30053-2024</t>
        </is>
      </c>
      <c r="B164" s="1" t="n">
        <v>45488.94747685185</v>
      </c>
      <c r="C164" s="1" t="n">
        <v>46049</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46049</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46049</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14502-2024</t>
        </is>
      </c>
      <c r="B167" s="1" t="n">
        <v>45394</v>
      </c>
      <c r="C167" s="1" t="n">
        <v>46049</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31960-2025</t>
        </is>
      </c>
      <c r="B168" s="1" t="n">
        <v>45835.344375</v>
      </c>
      <c r="C168" s="1" t="n">
        <v>46049</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26482-2023</t>
        </is>
      </c>
      <c r="B169" s="1" t="n">
        <v>45089</v>
      </c>
      <c r="C169" s="1" t="n">
        <v>46049</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46049</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46771-2024</t>
        </is>
      </c>
      <c r="B171" s="1" t="n">
        <v>45583.49642361111</v>
      </c>
      <c r="C171" s="1" t="n">
        <v>46049</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47850-2025</t>
        </is>
      </c>
      <c r="B172" s="1" t="n">
        <v>45932.38626157407</v>
      </c>
      <c r="C172" s="1" t="n">
        <v>46049</v>
      </c>
      <c r="D172" t="inlineStr">
        <is>
          <t>JÄMTLANDS LÄN</t>
        </is>
      </c>
      <c r="E172" t="inlineStr">
        <is>
          <t>RAGUNDA</t>
        </is>
      </c>
      <c r="F172" t="inlineStr">
        <is>
          <t>SCA</t>
        </is>
      </c>
      <c r="G172" t="n">
        <v>2.4</v>
      </c>
      <c r="H172" t="n">
        <v>1</v>
      </c>
      <c r="I172" t="n">
        <v>0</v>
      </c>
      <c r="J172" t="n">
        <v>1</v>
      </c>
      <c r="K172" t="n">
        <v>0</v>
      </c>
      <c r="L172" t="n">
        <v>0</v>
      </c>
      <c r="M172" t="n">
        <v>0</v>
      </c>
      <c r="N172" t="n">
        <v>0</v>
      </c>
      <c r="O172" t="n">
        <v>1</v>
      </c>
      <c r="P172" t="n">
        <v>0</v>
      </c>
      <c r="Q172" t="n">
        <v>2</v>
      </c>
      <c r="R172" s="2" t="inlineStr">
        <is>
          <t>Kolflarnlav
Blåsippa</t>
        </is>
      </c>
      <c r="S172">
        <f>HYPERLINK("https://klasma.github.io/Logging_2303/artfynd/A 47850-2025 artfynd.xlsx", "A 47850-2025")</f>
        <v/>
      </c>
      <c r="T172">
        <f>HYPERLINK("https://klasma.github.io/Logging_2303/kartor/A 47850-2025 karta.png", "A 47850-2025")</f>
        <v/>
      </c>
      <c r="V172">
        <f>HYPERLINK("https://klasma.github.io/Logging_2303/klagomål/A 47850-2025 FSC-klagomål.docx", "A 47850-2025")</f>
        <v/>
      </c>
      <c r="W172">
        <f>HYPERLINK("https://klasma.github.io/Logging_2303/klagomålsmail/A 47850-2025 FSC-klagomål mail.docx", "A 47850-2025")</f>
        <v/>
      </c>
      <c r="X172">
        <f>HYPERLINK("https://klasma.github.io/Logging_2303/tillsyn/A 47850-2025 tillsynsbegäran.docx", "A 47850-2025")</f>
        <v/>
      </c>
      <c r="Y172">
        <f>HYPERLINK("https://klasma.github.io/Logging_2303/tillsynsmail/A 47850-2025 tillsynsbegäran mail.docx", "A 47850-2025")</f>
        <v/>
      </c>
    </row>
    <row r="173" ht="15" customHeight="1">
      <c r="A173" t="inlineStr">
        <is>
          <t>A 10866-2025</t>
        </is>
      </c>
      <c r="B173" s="1" t="n">
        <v>45722.61543981481</v>
      </c>
      <c r="C173" s="1" t="n">
        <v>46049</v>
      </c>
      <c r="D173" t="inlineStr">
        <is>
          <t>JÄMTLANDS LÄN</t>
        </is>
      </c>
      <c r="E173" t="inlineStr">
        <is>
          <t>RAGUNDA</t>
        </is>
      </c>
      <c r="F173" t="inlineStr">
        <is>
          <t>SCA</t>
        </is>
      </c>
      <c r="G173" t="n">
        <v>15.9</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10866-2025 artfynd.xlsx", "A 10866-2025")</f>
        <v/>
      </c>
      <c r="T173">
        <f>HYPERLINK("https://klasma.github.io/Logging_2303/kartor/A 10866-2025 karta.png", "A 10866-2025")</f>
        <v/>
      </c>
      <c r="V173">
        <f>HYPERLINK("https://klasma.github.io/Logging_2303/klagomål/A 10866-2025 FSC-klagomål.docx", "A 10866-2025")</f>
        <v/>
      </c>
      <c r="W173">
        <f>HYPERLINK("https://klasma.github.io/Logging_2303/klagomålsmail/A 10866-2025 FSC-klagomål mail.docx", "A 10866-2025")</f>
        <v/>
      </c>
      <c r="X173">
        <f>HYPERLINK("https://klasma.github.io/Logging_2303/tillsyn/A 10866-2025 tillsynsbegäran.docx", "A 10866-2025")</f>
        <v/>
      </c>
      <c r="Y173">
        <f>HYPERLINK("https://klasma.github.io/Logging_2303/tillsynsmail/A 10866-2025 tillsynsbegäran mail.docx", "A 10866-2025")</f>
        <v/>
      </c>
    </row>
    <row r="174" ht="15" customHeight="1">
      <c r="A174" t="inlineStr">
        <is>
          <t>A 10884-2025</t>
        </is>
      </c>
      <c r="B174" s="1" t="n">
        <v>45722.65670138889</v>
      </c>
      <c r="C174" s="1" t="n">
        <v>46049</v>
      </c>
      <c r="D174" t="inlineStr">
        <is>
          <t>JÄMTLANDS LÄN</t>
        </is>
      </c>
      <c r="E174" t="inlineStr">
        <is>
          <t>RAGUNDA</t>
        </is>
      </c>
      <c r="F174" t="inlineStr">
        <is>
          <t>SCA</t>
        </is>
      </c>
      <c r="G174" t="n">
        <v>5.4</v>
      </c>
      <c r="H174" t="n">
        <v>0</v>
      </c>
      <c r="I174" t="n">
        <v>1</v>
      </c>
      <c r="J174" t="n">
        <v>1</v>
      </c>
      <c r="K174" t="n">
        <v>0</v>
      </c>
      <c r="L174" t="n">
        <v>0</v>
      </c>
      <c r="M174" t="n">
        <v>0</v>
      </c>
      <c r="N174" t="n">
        <v>0</v>
      </c>
      <c r="O174" t="n">
        <v>1</v>
      </c>
      <c r="P174" t="n">
        <v>0</v>
      </c>
      <c r="Q174" t="n">
        <v>2</v>
      </c>
      <c r="R174" s="2" t="inlineStr">
        <is>
          <t>Vitgrynig nållav
Dropptaggsvamp</t>
        </is>
      </c>
      <c r="S174">
        <f>HYPERLINK("https://klasma.github.io/Logging_2303/artfynd/A 10884-2025 artfynd.xlsx", "A 10884-2025")</f>
        <v/>
      </c>
      <c r="T174">
        <f>HYPERLINK("https://klasma.github.io/Logging_2303/kartor/A 10884-2025 karta.png", "A 10884-2025")</f>
        <v/>
      </c>
      <c r="V174">
        <f>HYPERLINK("https://klasma.github.io/Logging_2303/klagomål/A 10884-2025 FSC-klagomål.docx", "A 10884-2025")</f>
        <v/>
      </c>
      <c r="W174">
        <f>HYPERLINK("https://klasma.github.io/Logging_2303/klagomålsmail/A 10884-2025 FSC-klagomål mail.docx", "A 10884-2025")</f>
        <v/>
      </c>
      <c r="X174">
        <f>HYPERLINK("https://klasma.github.io/Logging_2303/tillsyn/A 10884-2025 tillsynsbegäran.docx", "A 10884-2025")</f>
        <v/>
      </c>
      <c r="Y174">
        <f>HYPERLINK("https://klasma.github.io/Logging_2303/tillsynsmail/A 10884-2025 tillsynsbegäran mail.docx", "A 10884-2025")</f>
        <v/>
      </c>
    </row>
    <row r="175" ht="15" customHeight="1">
      <c r="A175" t="inlineStr">
        <is>
          <t>A 48084-2022</t>
        </is>
      </c>
      <c r="B175" s="1" t="n">
        <v>44855</v>
      </c>
      <c r="C175" s="1" t="n">
        <v>46049</v>
      </c>
      <c r="D175" t="inlineStr">
        <is>
          <t>JÄMTLANDS LÄN</t>
        </is>
      </c>
      <c r="E175" t="inlineStr">
        <is>
          <t>RAGUNDA</t>
        </is>
      </c>
      <c r="F175" t="inlineStr">
        <is>
          <t>SCA</t>
        </is>
      </c>
      <c r="G175" t="n">
        <v>4.7</v>
      </c>
      <c r="H175" t="n">
        <v>1</v>
      </c>
      <c r="I175" t="n">
        <v>0</v>
      </c>
      <c r="J175" t="n">
        <v>2</v>
      </c>
      <c r="K175" t="n">
        <v>0</v>
      </c>
      <c r="L175" t="n">
        <v>0</v>
      </c>
      <c r="M175" t="n">
        <v>0</v>
      </c>
      <c r="N175" t="n">
        <v>0</v>
      </c>
      <c r="O175" t="n">
        <v>2</v>
      </c>
      <c r="P175" t="n">
        <v>0</v>
      </c>
      <c r="Q175" t="n">
        <v>2</v>
      </c>
      <c r="R175" s="2" t="inlineStr">
        <is>
          <t>Rosenticka
Tretåig hackspett</t>
        </is>
      </c>
      <c r="S175">
        <f>HYPERLINK("https://klasma.github.io/Logging_2303/artfynd/A 48084-2022 artfynd.xlsx", "A 48084-2022")</f>
        <v/>
      </c>
      <c r="T175">
        <f>HYPERLINK("https://klasma.github.io/Logging_2303/kartor/A 48084-2022 karta.png", "A 48084-2022")</f>
        <v/>
      </c>
      <c r="V175">
        <f>HYPERLINK("https://klasma.github.io/Logging_2303/klagomål/A 48084-2022 FSC-klagomål.docx", "A 48084-2022")</f>
        <v/>
      </c>
      <c r="W175">
        <f>HYPERLINK("https://klasma.github.io/Logging_2303/klagomålsmail/A 48084-2022 FSC-klagomål mail.docx", "A 48084-2022")</f>
        <v/>
      </c>
      <c r="X175">
        <f>HYPERLINK("https://klasma.github.io/Logging_2303/tillsyn/A 48084-2022 tillsynsbegäran.docx", "A 48084-2022")</f>
        <v/>
      </c>
      <c r="Y175">
        <f>HYPERLINK("https://klasma.github.io/Logging_2303/tillsynsmail/A 48084-2022 tillsynsbegäran mail.docx", "A 48084-2022")</f>
        <v/>
      </c>
      <c r="Z175">
        <f>HYPERLINK("https://klasma.github.io/Logging_2303/fåglar/A 48084-2022 prioriterade fågelarter.docx", "A 48084-2022")</f>
        <v/>
      </c>
    </row>
    <row r="176" ht="15" customHeight="1">
      <c r="A176" t="inlineStr">
        <is>
          <t>A 19384-2025</t>
        </is>
      </c>
      <c r="B176" s="1" t="n">
        <v>45769.65692129629</v>
      </c>
      <c r="C176" s="1" t="n">
        <v>46049</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57940-2024</t>
        </is>
      </c>
      <c r="B177" s="1" t="n">
        <v>45631</v>
      </c>
      <c r="C177" s="1" t="n">
        <v>46049</v>
      </c>
      <c r="D177" t="inlineStr">
        <is>
          <t>JÄMTLANDS LÄN</t>
        </is>
      </c>
      <c r="E177" t="inlineStr">
        <is>
          <t>RAGUNDA</t>
        </is>
      </c>
      <c r="F177" t="inlineStr">
        <is>
          <t>SCA</t>
        </is>
      </c>
      <c r="G177" t="n">
        <v>1.9</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HYPERLINK("https://klasma.github.io/Logging_2303/artfynd/A 57940-2024 artfynd.xlsx", "A 57940-2024")</f>
        <v/>
      </c>
      <c r="T177">
        <f>HYPERLINK("https://klasma.github.io/Logging_2303/kartor/A 57940-2024 karta.png", "A 57940-2024")</f>
        <v/>
      </c>
      <c r="V177">
        <f>HYPERLINK("https://klasma.github.io/Logging_2303/klagomål/A 57940-2024 FSC-klagomål.docx", "A 57940-2024")</f>
        <v/>
      </c>
      <c r="W177">
        <f>HYPERLINK("https://klasma.github.io/Logging_2303/klagomålsmail/A 57940-2024 FSC-klagomål mail.docx", "A 57940-2024")</f>
        <v/>
      </c>
      <c r="X177">
        <f>HYPERLINK("https://klasma.github.io/Logging_2303/tillsyn/A 57940-2024 tillsynsbegäran.docx", "A 57940-2024")</f>
        <v/>
      </c>
      <c r="Y177">
        <f>HYPERLINK("https://klasma.github.io/Logging_2303/tillsynsmail/A 57940-2024 tillsynsbegäran mail.docx", "A 57940-2024")</f>
        <v/>
      </c>
      <c r="Z177">
        <f>HYPERLINK("https://klasma.github.io/Logging_2303/fåglar/A 57940-2024 prioriterade fågelarter.docx", "A 57940-2024")</f>
        <v/>
      </c>
    </row>
    <row r="178" ht="15" customHeight="1">
      <c r="A178" t="inlineStr">
        <is>
          <t>A 62636-2025</t>
        </is>
      </c>
      <c r="B178" s="1" t="n">
        <v>46008.3653587963</v>
      </c>
      <c r="C178" s="1" t="n">
        <v>46049</v>
      </c>
      <c r="D178" t="inlineStr">
        <is>
          <t>JÄMTLANDS LÄN</t>
        </is>
      </c>
      <c r="E178" t="inlineStr">
        <is>
          <t>RAGUNDA</t>
        </is>
      </c>
      <c r="G178" t="n">
        <v>3.1</v>
      </c>
      <c r="H178" t="n">
        <v>1</v>
      </c>
      <c r="I178" t="n">
        <v>0</v>
      </c>
      <c r="J178" t="n">
        <v>2</v>
      </c>
      <c r="K178" t="n">
        <v>0</v>
      </c>
      <c r="L178" t="n">
        <v>0</v>
      </c>
      <c r="M178" t="n">
        <v>0</v>
      </c>
      <c r="N178" t="n">
        <v>0</v>
      </c>
      <c r="O178" t="n">
        <v>2</v>
      </c>
      <c r="P178" t="n">
        <v>0</v>
      </c>
      <c r="Q178" t="n">
        <v>2</v>
      </c>
      <c r="R178" s="2" t="inlineStr">
        <is>
          <t>Garnlav
Talltita</t>
        </is>
      </c>
      <c r="S178">
        <f>HYPERLINK("https://klasma.github.io/Logging_2303/artfynd/A 62636-2025 artfynd.xlsx", "A 62636-2025")</f>
        <v/>
      </c>
      <c r="T178">
        <f>HYPERLINK("https://klasma.github.io/Logging_2303/kartor/A 62636-2025 karta.png", "A 62636-2025")</f>
        <v/>
      </c>
      <c r="V178">
        <f>HYPERLINK("https://klasma.github.io/Logging_2303/klagomål/A 62636-2025 FSC-klagomål.docx", "A 62636-2025")</f>
        <v/>
      </c>
      <c r="W178">
        <f>HYPERLINK("https://klasma.github.io/Logging_2303/klagomålsmail/A 62636-2025 FSC-klagomål mail.docx", "A 62636-2025")</f>
        <v/>
      </c>
      <c r="X178">
        <f>HYPERLINK("https://klasma.github.io/Logging_2303/tillsyn/A 62636-2025 tillsynsbegäran.docx", "A 62636-2025")</f>
        <v/>
      </c>
      <c r="Y178">
        <f>HYPERLINK("https://klasma.github.io/Logging_2303/tillsynsmail/A 62636-2025 tillsynsbegäran mail.docx", "A 62636-2025")</f>
        <v/>
      </c>
      <c r="Z178">
        <f>HYPERLINK("https://klasma.github.io/Logging_2303/fåglar/A 62636-2025 prioriterade fågelarter.docx", "A 62636-2025")</f>
        <v/>
      </c>
    </row>
    <row r="179" ht="15" customHeight="1">
      <c r="A179" t="inlineStr">
        <is>
          <t>A 55647-2023</t>
        </is>
      </c>
      <c r="B179" s="1" t="n">
        <v>45238</v>
      </c>
      <c r="C179" s="1" t="n">
        <v>46049</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56634-2025</t>
        </is>
      </c>
      <c r="B180" s="1" t="n">
        <v>45975.61619212963</v>
      </c>
      <c r="C180" s="1" t="n">
        <v>46049</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50089-2022</t>
        </is>
      </c>
      <c r="B181" s="1" t="n">
        <v>44865</v>
      </c>
      <c r="C181" s="1" t="n">
        <v>46049</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46049</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46049</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46049</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46049</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46049</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46049</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46049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46049</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46049</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46049</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46049</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46049</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46049</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46049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46049</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25155-2025</t>
        </is>
      </c>
      <c r="B197" s="1" t="n">
        <v>45800.42782407408</v>
      </c>
      <c r="C197" s="1" t="n">
        <v>46049</v>
      </c>
      <c r="D197" t="inlineStr">
        <is>
          <t>JÄMTLANDS LÄN</t>
        </is>
      </c>
      <c r="E197" t="inlineStr">
        <is>
          <t>RAGUNDA</t>
        </is>
      </c>
      <c r="F197" t="inlineStr">
        <is>
          <t>SCA</t>
        </is>
      </c>
      <c r="G197" t="n">
        <v>1.7</v>
      </c>
      <c r="H197" t="n">
        <v>1</v>
      </c>
      <c r="I197" t="n">
        <v>0</v>
      </c>
      <c r="J197" t="n">
        <v>1</v>
      </c>
      <c r="K197" t="n">
        <v>0</v>
      </c>
      <c r="L197" t="n">
        <v>0</v>
      </c>
      <c r="M197" t="n">
        <v>0</v>
      </c>
      <c r="N197" t="n">
        <v>0</v>
      </c>
      <c r="O197" t="n">
        <v>1</v>
      </c>
      <c r="P197" t="n">
        <v>0</v>
      </c>
      <c r="Q197" t="n">
        <v>2</v>
      </c>
      <c r="R197" s="2" t="inlineStr">
        <is>
          <t>Leptoporus mollis
Fläcknycklar</t>
        </is>
      </c>
      <c r="S197">
        <f>HYPERLINK("https://klasma.github.io/Logging_2303/artfynd/A 25155-2025 artfynd.xlsx", "A 25155-2025")</f>
        <v/>
      </c>
      <c r="T197">
        <f>HYPERLINK("https://klasma.github.io/Logging_2303/kartor/A 25155-2025 karta.png", "A 25155-2025")</f>
        <v/>
      </c>
      <c r="V197">
        <f>HYPERLINK("https://klasma.github.io/Logging_2303/klagomål/A 25155-2025 FSC-klagomål.docx", "A 25155-2025")</f>
        <v/>
      </c>
      <c r="W197">
        <f>HYPERLINK("https://klasma.github.io/Logging_2303/klagomålsmail/A 25155-2025 FSC-klagomål mail.docx", "A 25155-2025")</f>
        <v/>
      </c>
      <c r="X197">
        <f>HYPERLINK("https://klasma.github.io/Logging_2303/tillsyn/A 25155-2025 tillsynsbegäran.docx", "A 25155-2025")</f>
        <v/>
      </c>
      <c r="Y197">
        <f>HYPERLINK("https://klasma.github.io/Logging_2303/tillsynsmail/A 25155-2025 tillsynsbegäran mail.docx", "A 25155-2025")</f>
        <v/>
      </c>
    </row>
    <row r="198" ht="15" customHeight="1">
      <c r="A198" t="inlineStr">
        <is>
          <t>A 51916-2021</t>
        </is>
      </c>
      <c r="B198" s="1" t="n">
        <v>44462</v>
      </c>
      <c r="C198" s="1" t="n">
        <v>46049</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46049</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46049</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46049</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46049</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46049</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46049</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1057-2024</t>
        </is>
      </c>
      <c r="B205" s="1" t="n">
        <v>45301</v>
      </c>
      <c r="C205" s="1" t="n">
        <v>46049</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46049</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46049</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23930-2024</t>
        </is>
      </c>
      <c r="B208" s="1" t="n">
        <v>45455.96184027778</v>
      </c>
      <c r="C208" s="1" t="n">
        <v>46049</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6703-2024</t>
        </is>
      </c>
      <c r="B209" s="1" t="n">
        <v>45341</v>
      </c>
      <c r="C209" s="1" t="n">
        <v>46049</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24443-2024</t>
        </is>
      </c>
      <c r="B210" s="1" t="n">
        <v>45457.9640625</v>
      </c>
      <c r="C210" s="1" t="n">
        <v>46049</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48429-2023</t>
        </is>
      </c>
      <c r="B211" s="1" t="n">
        <v>45205</v>
      </c>
      <c r="C211" s="1" t="n">
        <v>46049</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27573-2025</t>
        </is>
      </c>
      <c r="B212" s="1" t="n">
        <v>45813.49061342593</v>
      </c>
      <c r="C212" s="1" t="n">
        <v>46049</v>
      </c>
      <c r="D212" t="inlineStr">
        <is>
          <t>JÄMTLANDS LÄN</t>
        </is>
      </c>
      <c r="E212" t="inlineStr">
        <is>
          <t>RAGUNDA</t>
        </is>
      </c>
      <c r="F212" t="inlineStr">
        <is>
          <t>SCA</t>
        </is>
      </c>
      <c r="G212" t="n">
        <v>14.9</v>
      </c>
      <c r="H212" t="n">
        <v>0</v>
      </c>
      <c r="I212" t="n">
        <v>1</v>
      </c>
      <c r="J212" t="n">
        <v>0</v>
      </c>
      <c r="K212" t="n">
        <v>0</v>
      </c>
      <c r="L212" t="n">
        <v>0</v>
      </c>
      <c r="M212" t="n">
        <v>0</v>
      </c>
      <c r="N212" t="n">
        <v>0</v>
      </c>
      <c r="O212" t="n">
        <v>0</v>
      </c>
      <c r="P212" t="n">
        <v>0</v>
      </c>
      <c r="Q212" t="n">
        <v>1</v>
      </c>
      <c r="R212" s="2" t="inlineStr">
        <is>
          <t>Skinnlav</t>
        </is>
      </c>
      <c r="S212">
        <f>HYPERLINK("https://klasma.github.io/Logging_2303/artfynd/A 27573-2025 artfynd.xlsx", "A 27573-2025")</f>
        <v/>
      </c>
      <c r="T212">
        <f>HYPERLINK("https://klasma.github.io/Logging_2303/kartor/A 27573-2025 karta.png", "A 27573-2025")</f>
        <v/>
      </c>
      <c r="U212">
        <f>HYPERLINK("https://klasma.github.io/Logging_2303/knärot/A 27573-2025 karta knärot.png", "A 27573-2025")</f>
        <v/>
      </c>
      <c r="V212">
        <f>HYPERLINK("https://klasma.github.io/Logging_2303/klagomål/A 27573-2025 FSC-klagomål.docx", "A 27573-2025")</f>
        <v/>
      </c>
      <c r="W212">
        <f>HYPERLINK("https://klasma.github.io/Logging_2303/klagomålsmail/A 27573-2025 FSC-klagomål mail.docx", "A 27573-2025")</f>
        <v/>
      </c>
      <c r="X212">
        <f>HYPERLINK("https://klasma.github.io/Logging_2303/tillsyn/A 27573-2025 tillsynsbegäran.docx", "A 27573-2025")</f>
        <v/>
      </c>
      <c r="Y212">
        <f>HYPERLINK("https://klasma.github.io/Logging_2303/tillsynsmail/A 27573-2025 tillsynsbegäran mail.docx", "A 27573-2025")</f>
        <v/>
      </c>
    </row>
    <row r="213" ht="15" customHeight="1">
      <c r="A213" t="inlineStr">
        <is>
          <t>A 11040-2023</t>
        </is>
      </c>
      <c r="B213" s="1" t="n">
        <v>44991</v>
      </c>
      <c r="C213" s="1" t="n">
        <v>46049</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49091-2022</t>
        </is>
      </c>
      <c r="B214" s="1" t="n">
        <v>44860</v>
      </c>
      <c r="C214" s="1" t="n">
        <v>46049</v>
      </c>
      <c r="D214" t="inlineStr">
        <is>
          <t>JÄMTLANDS LÄN</t>
        </is>
      </c>
      <c r="E214" t="inlineStr">
        <is>
          <t>RAGUNDA</t>
        </is>
      </c>
      <c r="G214" t="n">
        <v>3.5</v>
      </c>
      <c r="H214" t="n">
        <v>1</v>
      </c>
      <c r="I214" t="n">
        <v>0</v>
      </c>
      <c r="J214" t="n">
        <v>0</v>
      </c>
      <c r="K214" t="n">
        <v>1</v>
      </c>
      <c r="L214" t="n">
        <v>0</v>
      </c>
      <c r="M214" t="n">
        <v>0</v>
      </c>
      <c r="N214" t="n">
        <v>0</v>
      </c>
      <c r="O214" t="n">
        <v>1</v>
      </c>
      <c r="P214" t="n">
        <v>1</v>
      </c>
      <c r="Q214" t="n">
        <v>1</v>
      </c>
      <c r="R214" s="2" t="inlineStr">
        <is>
          <t>Doftticka</t>
        </is>
      </c>
      <c r="S214">
        <f>HYPERLINK("https://klasma.github.io/Logging_2303/artfynd/A 49091-2022 artfynd.xlsx", "A 49091-2022")</f>
        <v/>
      </c>
      <c r="T214">
        <f>HYPERLINK("https://klasma.github.io/Logging_2303/kartor/A 49091-2022 karta.png", "A 49091-2022")</f>
        <v/>
      </c>
      <c r="V214">
        <f>HYPERLINK("https://klasma.github.io/Logging_2303/klagomål/A 49091-2022 FSC-klagomål.docx", "A 49091-2022")</f>
        <v/>
      </c>
      <c r="W214">
        <f>HYPERLINK("https://klasma.github.io/Logging_2303/klagomålsmail/A 49091-2022 FSC-klagomål mail.docx", "A 49091-2022")</f>
        <v/>
      </c>
      <c r="X214">
        <f>HYPERLINK("https://klasma.github.io/Logging_2303/tillsyn/A 49091-2022 tillsynsbegäran.docx", "A 49091-2022")</f>
        <v/>
      </c>
      <c r="Y214">
        <f>HYPERLINK("https://klasma.github.io/Logging_2303/tillsynsmail/A 49091-2022 tillsynsbegäran mail.docx", "A 49091-2022")</f>
        <v/>
      </c>
    </row>
    <row r="215" ht="15" customHeight="1">
      <c r="A215" t="inlineStr">
        <is>
          <t>A 40841-2025</t>
        </is>
      </c>
      <c r="B215" s="1" t="n">
        <v>45897.531875</v>
      </c>
      <c r="C215" s="1" t="n">
        <v>46049</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30390-2025</t>
        </is>
      </c>
      <c r="B216" s="1" t="n">
        <v>45827.57371527778</v>
      </c>
      <c r="C216" s="1" t="n">
        <v>46049</v>
      </c>
      <c r="D216" t="inlineStr">
        <is>
          <t>JÄMTLANDS LÄN</t>
        </is>
      </c>
      <c r="E216" t="inlineStr">
        <is>
          <t>RAGUNDA</t>
        </is>
      </c>
      <c r="F216" t="inlineStr">
        <is>
          <t>SCA</t>
        </is>
      </c>
      <c r="G216" t="n">
        <v>11.2</v>
      </c>
      <c r="H216" t="n">
        <v>0</v>
      </c>
      <c r="I216" t="n">
        <v>0</v>
      </c>
      <c r="J216" t="n">
        <v>1</v>
      </c>
      <c r="K216" t="n">
        <v>0</v>
      </c>
      <c r="L216" t="n">
        <v>0</v>
      </c>
      <c r="M216" t="n">
        <v>0</v>
      </c>
      <c r="N216" t="n">
        <v>0</v>
      </c>
      <c r="O216" t="n">
        <v>1</v>
      </c>
      <c r="P216" t="n">
        <v>0</v>
      </c>
      <c r="Q216" t="n">
        <v>1</v>
      </c>
      <c r="R216" s="2" t="inlineStr">
        <is>
          <t>Lunglav</t>
        </is>
      </c>
      <c r="S216">
        <f>HYPERLINK("https://klasma.github.io/Logging_2303/artfynd/A 30390-2025 artfynd.xlsx", "A 30390-2025")</f>
        <v/>
      </c>
      <c r="T216">
        <f>HYPERLINK("https://klasma.github.io/Logging_2303/kartor/A 30390-2025 karta.png", "A 30390-2025")</f>
        <v/>
      </c>
      <c r="U216">
        <f>HYPERLINK("https://klasma.github.io/Logging_2303/knärot/A 30390-2025 karta knärot.png", "A 30390-2025")</f>
        <v/>
      </c>
      <c r="V216">
        <f>HYPERLINK("https://klasma.github.io/Logging_2303/klagomål/A 30390-2025 FSC-klagomål.docx", "A 30390-2025")</f>
        <v/>
      </c>
      <c r="W216">
        <f>HYPERLINK("https://klasma.github.io/Logging_2303/klagomålsmail/A 30390-2025 FSC-klagomål mail.docx", "A 30390-2025")</f>
        <v/>
      </c>
      <c r="X216">
        <f>HYPERLINK("https://klasma.github.io/Logging_2303/tillsyn/A 30390-2025 tillsynsbegäran.docx", "A 30390-2025")</f>
        <v/>
      </c>
      <c r="Y216">
        <f>HYPERLINK("https://klasma.github.io/Logging_2303/tillsynsmail/A 30390-2025 tillsynsbegäran mail.docx", "A 30390-2025")</f>
        <v/>
      </c>
    </row>
    <row r="217" ht="15" customHeight="1">
      <c r="A217" t="inlineStr">
        <is>
          <t>A 22054-2025</t>
        </is>
      </c>
      <c r="B217" s="1" t="n">
        <v>45785.36525462963</v>
      </c>
      <c r="C217" s="1" t="n">
        <v>46049</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46049</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43526-2025</t>
        </is>
      </c>
      <c r="B219" s="1" t="n">
        <v>45911</v>
      </c>
      <c r="C219" s="1" t="n">
        <v>46049</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34474-2025</t>
        </is>
      </c>
      <c r="B220" s="1" t="n">
        <v>45847.36528935185</v>
      </c>
      <c r="C220" s="1" t="n">
        <v>46049</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36854-2023</t>
        </is>
      </c>
      <c r="B221" s="1" t="n">
        <v>45153</v>
      </c>
      <c r="C221" s="1" t="n">
        <v>46049</v>
      </c>
      <c r="D221" t="inlineStr">
        <is>
          <t>JÄMTLANDS LÄN</t>
        </is>
      </c>
      <c r="E221" t="inlineStr">
        <is>
          <t>RAGUNDA</t>
        </is>
      </c>
      <c r="G221" t="n">
        <v>4</v>
      </c>
      <c r="H221" t="n">
        <v>1</v>
      </c>
      <c r="I221" t="n">
        <v>0</v>
      </c>
      <c r="J221" t="n">
        <v>1</v>
      </c>
      <c r="K221" t="n">
        <v>0</v>
      </c>
      <c r="L221" t="n">
        <v>0</v>
      </c>
      <c r="M221" t="n">
        <v>0</v>
      </c>
      <c r="N221" t="n">
        <v>0</v>
      </c>
      <c r="O221" t="n">
        <v>1</v>
      </c>
      <c r="P221" t="n">
        <v>0</v>
      </c>
      <c r="Q221" t="n">
        <v>1</v>
      </c>
      <c r="R221" s="2" t="inlineStr">
        <is>
          <t>Talltita</t>
        </is>
      </c>
      <c r="S221">
        <f>HYPERLINK("https://klasma.github.io/Logging_2303/artfynd/A 36854-2023 artfynd.xlsx", "A 36854-2023")</f>
        <v/>
      </c>
      <c r="T221">
        <f>HYPERLINK("https://klasma.github.io/Logging_2303/kartor/A 36854-2023 karta.png", "A 36854-2023")</f>
        <v/>
      </c>
      <c r="V221">
        <f>HYPERLINK("https://klasma.github.io/Logging_2303/klagomål/A 36854-2023 FSC-klagomål.docx", "A 36854-2023")</f>
        <v/>
      </c>
      <c r="W221">
        <f>HYPERLINK("https://klasma.github.io/Logging_2303/klagomålsmail/A 36854-2023 FSC-klagomål mail.docx", "A 36854-2023")</f>
        <v/>
      </c>
      <c r="X221">
        <f>HYPERLINK("https://klasma.github.io/Logging_2303/tillsyn/A 36854-2023 tillsynsbegäran.docx", "A 36854-2023")</f>
        <v/>
      </c>
      <c r="Y221">
        <f>HYPERLINK("https://klasma.github.io/Logging_2303/tillsynsmail/A 36854-2023 tillsynsbegäran mail.docx", "A 36854-2023")</f>
        <v/>
      </c>
      <c r="Z221">
        <f>HYPERLINK("https://klasma.github.io/Logging_2303/fåglar/A 36854-2023 prioriterade fågelarter.docx", "A 36854-2023")</f>
        <v/>
      </c>
    </row>
    <row r="222" ht="15" customHeight="1">
      <c r="A222" t="inlineStr">
        <is>
          <t>A 36975-2023</t>
        </is>
      </c>
      <c r="B222" s="1" t="n">
        <v>45154</v>
      </c>
      <c r="C222" s="1" t="n">
        <v>46049</v>
      </c>
      <c r="D222" t="inlineStr">
        <is>
          <t>JÄMTLANDS LÄN</t>
        </is>
      </c>
      <c r="E222" t="inlineStr">
        <is>
          <t>RAGUNDA</t>
        </is>
      </c>
      <c r="F222" t="inlineStr">
        <is>
          <t>SCA</t>
        </is>
      </c>
      <c r="G222" t="n">
        <v>3.8</v>
      </c>
      <c r="H222" t="n">
        <v>0</v>
      </c>
      <c r="I222" t="n">
        <v>0</v>
      </c>
      <c r="J222" t="n">
        <v>0</v>
      </c>
      <c r="K222" t="n">
        <v>1</v>
      </c>
      <c r="L222" t="n">
        <v>0</v>
      </c>
      <c r="M222" t="n">
        <v>0</v>
      </c>
      <c r="N222" t="n">
        <v>0</v>
      </c>
      <c r="O222" t="n">
        <v>1</v>
      </c>
      <c r="P222" t="n">
        <v>1</v>
      </c>
      <c r="Q222" t="n">
        <v>1</v>
      </c>
      <c r="R222" s="2" t="inlineStr">
        <is>
          <t>Gräddporing</t>
        </is>
      </c>
      <c r="S222">
        <f>HYPERLINK("https://klasma.github.io/Logging_2303/artfynd/A 36975-2023 artfynd.xlsx", "A 36975-2023")</f>
        <v/>
      </c>
      <c r="T222">
        <f>HYPERLINK("https://klasma.github.io/Logging_2303/kartor/A 36975-2023 karta.png", "A 36975-2023")</f>
        <v/>
      </c>
      <c r="V222">
        <f>HYPERLINK("https://klasma.github.io/Logging_2303/klagomål/A 36975-2023 FSC-klagomål.docx", "A 36975-2023")</f>
        <v/>
      </c>
      <c r="W222">
        <f>HYPERLINK("https://klasma.github.io/Logging_2303/klagomålsmail/A 36975-2023 FSC-klagomål mail.docx", "A 36975-2023")</f>
        <v/>
      </c>
      <c r="X222">
        <f>HYPERLINK("https://klasma.github.io/Logging_2303/tillsyn/A 36975-2023 tillsynsbegäran.docx", "A 36975-2023")</f>
        <v/>
      </c>
      <c r="Y222">
        <f>HYPERLINK("https://klasma.github.io/Logging_2303/tillsynsmail/A 36975-2023 tillsynsbegäran mail.docx", "A 36975-2023")</f>
        <v/>
      </c>
    </row>
    <row r="223" ht="15" customHeight="1">
      <c r="A223" t="inlineStr">
        <is>
          <t>A 35750-2023</t>
        </is>
      </c>
      <c r="B223" s="1" t="n">
        <v>45147</v>
      </c>
      <c r="C223" s="1" t="n">
        <v>46049</v>
      </c>
      <c r="D223" t="inlineStr">
        <is>
          <t>JÄMTLANDS LÄN</t>
        </is>
      </c>
      <c r="E223" t="inlineStr">
        <is>
          <t>RAGUNDA</t>
        </is>
      </c>
      <c r="F223" t="inlineStr">
        <is>
          <t>SCA</t>
        </is>
      </c>
      <c r="G223" t="n">
        <v>4.8</v>
      </c>
      <c r="H223" t="n">
        <v>0</v>
      </c>
      <c r="I223" t="n">
        <v>0</v>
      </c>
      <c r="J223" t="n">
        <v>1</v>
      </c>
      <c r="K223" t="n">
        <v>0</v>
      </c>
      <c r="L223" t="n">
        <v>0</v>
      </c>
      <c r="M223" t="n">
        <v>0</v>
      </c>
      <c r="N223" t="n">
        <v>0</v>
      </c>
      <c r="O223" t="n">
        <v>1</v>
      </c>
      <c r="P223" t="n">
        <v>0</v>
      </c>
      <c r="Q223" t="n">
        <v>1</v>
      </c>
      <c r="R223" s="2" t="inlineStr">
        <is>
          <t>Grantaggsvamp</t>
        </is>
      </c>
      <c r="S223">
        <f>HYPERLINK("https://klasma.github.io/Logging_2303/artfynd/A 35750-2023 artfynd.xlsx", "A 35750-2023")</f>
        <v/>
      </c>
      <c r="T223">
        <f>HYPERLINK("https://klasma.github.io/Logging_2303/kartor/A 35750-2023 karta.png", "A 35750-2023")</f>
        <v/>
      </c>
      <c r="V223">
        <f>HYPERLINK("https://klasma.github.io/Logging_2303/klagomål/A 35750-2023 FSC-klagomål.docx", "A 35750-2023")</f>
        <v/>
      </c>
      <c r="W223">
        <f>HYPERLINK("https://klasma.github.io/Logging_2303/klagomålsmail/A 35750-2023 FSC-klagomål mail.docx", "A 35750-2023")</f>
        <v/>
      </c>
      <c r="X223">
        <f>HYPERLINK("https://klasma.github.io/Logging_2303/tillsyn/A 35750-2023 tillsynsbegäran.docx", "A 35750-2023")</f>
        <v/>
      </c>
      <c r="Y223">
        <f>HYPERLINK("https://klasma.github.io/Logging_2303/tillsynsmail/A 35750-2023 tillsynsbegäran mail.docx", "A 35750-2023")</f>
        <v/>
      </c>
    </row>
    <row r="224" ht="15" customHeight="1">
      <c r="A224" t="inlineStr">
        <is>
          <t>A 49053-2025</t>
        </is>
      </c>
      <c r="B224" s="1" t="n">
        <v>45937.64009259259</v>
      </c>
      <c r="C224" s="1" t="n">
        <v>46049</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32069-2024</t>
        </is>
      </c>
      <c r="B225" s="1" t="n">
        <v>45510</v>
      </c>
      <c r="C225" s="1" t="n">
        <v>46049</v>
      </c>
      <c r="D225" t="inlineStr">
        <is>
          <t>JÄMTLANDS LÄN</t>
        </is>
      </c>
      <c r="E225" t="inlineStr">
        <is>
          <t>RAGUNDA</t>
        </is>
      </c>
      <c r="F225" t="inlineStr">
        <is>
          <t>SCA</t>
        </is>
      </c>
      <c r="G225" t="n">
        <v>1.8</v>
      </c>
      <c r="H225" t="n">
        <v>0</v>
      </c>
      <c r="I225" t="n">
        <v>0</v>
      </c>
      <c r="J225" t="n">
        <v>1</v>
      </c>
      <c r="K225" t="n">
        <v>0</v>
      </c>
      <c r="L225" t="n">
        <v>0</v>
      </c>
      <c r="M225" t="n">
        <v>0</v>
      </c>
      <c r="N225" t="n">
        <v>0</v>
      </c>
      <c r="O225" t="n">
        <v>1</v>
      </c>
      <c r="P225" t="n">
        <v>0</v>
      </c>
      <c r="Q225" t="n">
        <v>1</v>
      </c>
      <c r="R225" s="2" t="inlineStr">
        <is>
          <t>Lunglav</t>
        </is>
      </c>
      <c r="S225">
        <f>HYPERLINK("https://klasma.github.io/Logging_2303/artfynd/A 32069-2024 artfynd.xlsx", "A 32069-2024")</f>
        <v/>
      </c>
      <c r="T225">
        <f>HYPERLINK("https://klasma.github.io/Logging_2303/kartor/A 32069-2024 karta.png", "A 32069-2024")</f>
        <v/>
      </c>
      <c r="V225">
        <f>HYPERLINK("https://klasma.github.io/Logging_2303/klagomål/A 32069-2024 FSC-klagomål.docx", "A 32069-2024")</f>
        <v/>
      </c>
      <c r="W225">
        <f>HYPERLINK("https://klasma.github.io/Logging_2303/klagomålsmail/A 32069-2024 FSC-klagomål mail.docx", "A 32069-2024")</f>
        <v/>
      </c>
      <c r="X225">
        <f>HYPERLINK("https://klasma.github.io/Logging_2303/tillsyn/A 32069-2024 tillsynsbegäran.docx", "A 32069-2024")</f>
        <v/>
      </c>
      <c r="Y225">
        <f>HYPERLINK("https://klasma.github.io/Logging_2303/tillsynsmail/A 32069-2024 tillsynsbegäran mail.docx", "A 32069-2024")</f>
        <v/>
      </c>
    </row>
    <row r="226" ht="15" customHeight="1">
      <c r="A226" t="inlineStr">
        <is>
          <t>A 51912-2025</t>
        </is>
      </c>
      <c r="B226" s="1" t="n">
        <v>45952.46939814815</v>
      </c>
      <c r="C226" s="1" t="n">
        <v>46049</v>
      </c>
      <c r="D226" t="inlineStr">
        <is>
          <t>JÄMTLANDS LÄN</t>
        </is>
      </c>
      <c r="E226" t="inlineStr">
        <is>
          <t>RAGUNDA</t>
        </is>
      </c>
      <c r="F226" t="inlineStr">
        <is>
          <t>SCA</t>
        </is>
      </c>
      <c r="G226" t="n">
        <v>24.2</v>
      </c>
      <c r="H226" t="n">
        <v>1</v>
      </c>
      <c r="I226" t="n">
        <v>0</v>
      </c>
      <c r="J226" t="n">
        <v>0</v>
      </c>
      <c r="K226" t="n">
        <v>1</v>
      </c>
      <c r="L226" t="n">
        <v>0</v>
      </c>
      <c r="M226" t="n">
        <v>0</v>
      </c>
      <c r="N226" t="n">
        <v>0</v>
      </c>
      <c r="O226" t="n">
        <v>1</v>
      </c>
      <c r="P226" t="n">
        <v>1</v>
      </c>
      <c r="Q226" t="n">
        <v>1</v>
      </c>
      <c r="R226" s="2" t="inlineStr">
        <is>
          <t>Norna</t>
        </is>
      </c>
      <c r="S226">
        <f>HYPERLINK("https://klasma.github.io/Logging_2303/artfynd/A 51912-2025 artfynd.xlsx", "A 51912-2025")</f>
        <v/>
      </c>
      <c r="T226">
        <f>HYPERLINK("https://klasma.github.io/Logging_2303/kartor/A 51912-2025 karta.png", "A 51912-2025")</f>
        <v/>
      </c>
      <c r="V226">
        <f>HYPERLINK("https://klasma.github.io/Logging_2303/klagomål/A 51912-2025 FSC-klagomål.docx", "A 51912-2025")</f>
        <v/>
      </c>
      <c r="W226">
        <f>HYPERLINK("https://klasma.github.io/Logging_2303/klagomålsmail/A 51912-2025 FSC-klagomål mail.docx", "A 51912-2025")</f>
        <v/>
      </c>
      <c r="X226">
        <f>HYPERLINK("https://klasma.github.io/Logging_2303/tillsyn/A 51912-2025 tillsynsbegäran.docx", "A 51912-2025")</f>
        <v/>
      </c>
      <c r="Y226">
        <f>HYPERLINK("https://klasma.github.io/Logging_2303/tillsynsmail/A 51912-2025 tillsynsbegäran mail.docx", "A 51912-2025")</f>
        <v/>
      </c>
    </row>
    <row r="227" ht="15" customHeight="1">
      <c r="A227" t="inlineStr">
        <is>
          <t>A 50164-2023</t>
        </is>
      </c>
      <c r="B227" s="1" t="n">
        <v>45208</v>
      </c>
      <c r="C227" s="1" t="n">
        <v>46049</v>
      </c>
      <c r="D227" t="inlineStr">
        <is>
          <t>JÄMTLANDS LÄN</t>
        </is>
      </c>
      <c r="E227" t="inlineStr">
        <is>
          <t>RAGUNDA</t>
        </is>
      </c>
      <c r="G227" t="n">
        <v>2.9</v>
      </c>
      <c r="H227" t="n">
        <v>0</v>
      </c>
      <c r="I227" t="n">
        <v>0</v>
      </c>
      <c r="J227" t="n">
        <v>0</v>
      </c>
      <c r="K227" t="n">
        <v>1</v>
      </c>
      <c r="L227" t="n">
        <v>0</v>
      </c>
      <c r="M227" t="n">
        <v>0</v>
      </c>
      <c r="N227" t="n">
        <v>0</v>
      </c>
      <c r="O227" t="n">
        <v>1</v>
      </c>
      <c r="P227" t="n">
        <v>1</v>
      </c>
      <c r="Q227" t="n">
        <v>1</v>
      </c>
      <c r="R227" s="2" t="inlineStr">
        <is>
          <t>Mindre barkplattbagge</t>
        </is>
      </c>
      <c r="S227">
        <f>HYPERLINK("https://klasma.github.io/Logging_2303/artfynd/A 50164-2023 artfynd.xlsx", "A 50164-2023")</f>
        <v/>
      </c>
      <c r="T227">
        <f>HYPERLINK("https://klasma.github.io/Logging_2303/kartor/A 50164-2023 karta.png", "A 50164-2023")</f>
        <v/>
      </c>
      <c r="V227">
        <f>HYPERLINK("https://klasma.github.io/Logging_2303/klagomål/A 50164-2023 FSC-klagomål.docx", "A 50164-2023")</f>
        <v/>
      </c>
      <c r="W227">
        <f>HYPERLINK("https://klasma.github.io/Logging_2303/klagomålsmail/A 50164-2023 FSC-klagomål mail.docx", "A 50164-2023")</f>
        <v/>
      </c>
      <c r="X227">
        <f>HYPERLINK("https://klasma.github.io/Logging_2303/tillsyn/A 50164-2023 tillsynsbegäran.docx", "A 50164-2023")</f>
        <v/>
      </c>
      <c r="Y227">
        <f>HYPERLINK("https://klasma.github.io/Logging_2303/tillsynsmail/A 50164-2023 tillsynsbegäran mail.docx", "A 50164-2023")</f>
        <v/>
      </c>
    </row>
    <row r="228" ht="15" customHeight="1">
      <c r="A228" t="inlineStr">
        <is>
          <t>A 2929-2024</t>
        </is>
      </c>
      <c r="B228" s="1" t="n">
        <v>45315</v>
      </c>
      <c r="C228" s="1" t="n">
        <v>46049</v>
      </c>
      <c r="D228" t="inlineStr">
        <is>
          <t>JÄMTLANDS LÄN</t>
        </is>
      </c>
      <c r="E228" t="inlineStr">
        <is>
          <t>RAGUNDA</t>
        </is>
      </c>
      <c r="G228" t="n">
        <v>1</v>
      </c>
      <c r="H228" t="n">
        <v>0</v>
      </c>
      <c r="I228" t="n">
        <v>0</v>
      </c>
      <c r="J228" t="n">
        <v>1</v>
      </c>
      <c r="K228" t="n">
        <v>0</v>
      </c>
      <c r="L228" t="n">
        <v>0</v>
      </c>
      <c r="M228" t="n">
        <v>0</v>
      </c>
      <c r="N228" t="n">
        <v>0</v>
      </c>
      <c r="O228" t="n">
        <v>1</v>
      </c>
      <c r="P228" t="n">
        <v>0</v>
      </c>
      <c r="Q228" t="n">
        <v>1</v>
      </c>
      <c r="R228" s="2" t="inlineStr">
        <is>
          <t>Klådris</t>
        </is>
      </c>
      <c r="S228">
        <f>HYPERLINK("https://klasma.github.io/Logging_2303/artfynd/A 2929-2024 artfynd.xlsx", "A 2929-2024")</f>
        <v/>
      </c>
      <c r="T228">
        <f>HYPERLINK("https://klasma.github.io/Logging_2303/kartor/A 2929-2024 karta.png", "A 2929-2024")</f>
        <v/>
      </c>
      <c r="V228">
        <f>HYPERLINK("https://klasma.github.io/Logging_2303/klagomål/A 2929-2024 FSC-klagomål.docx", "A 2929-2024")</f>
        <v/>
      </c>
      <c r="W228">
        <f>HYPERLINK("https://klasma.github.io/Logging_2303/klagomålsmail/A 2929-2024 FSC-klagomål mail.docx", "A 2929-2024")</f>
        <v/>
      </c>
      <c r="X228">
        <f>HYPERLINK("https://klasma.github.io/Logging_2303/tillsyn/A 2929-2024 tillsynsbegäran.docx", "A 2929-2024")</f>
        <v/>
      </c>
      <c r="Y228">
        <f>HYPERLINK("https://klasma.github.io/Logging_2303/tillsynsmail/A 2929-2024 tillsynsbegäran mail.docx", "A 2929-2024")</f>
        <v/>
      </c>
    </row>
    <row r="229" ht="15" customHeight="1">
      <c r="A229" t="inlineStr">
        <is>
          <t>A 50233-2024</t>
        </is>
      </c>
      <c r="B229" s="1" t="n">
        <v>45600.55265046296</v>
      </c>
      <c r="C229" s="1" t="n">
        <v>46049</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Granticka</t>
        </is>
      </c>
      <c r="S229">
        <f>HYPERLINK("https://klasma.github.io/Logging_2303/artfynd/A 50233-2024 artfynd.xlsx", "A 50233-2024")</f>
        <v/>
      </c>
      <c r="T229">
        <f>HYPERLINK("https://klasma.github.io/Logging_2303/kartor/A 50233-2024 karta.png", "A 50233-2024")</f>
        <v/>
      </c>
      <c r="V229">
        <f>HYPERLINK("https://klasma.github.io/Logging_2303/klagomål/A 50233-2024 FSC-klagomål.docx", "A 50233-2024")</f>
        <v/>
      </c>
      <c r="W229">
        <f>HYPERLINK("https://klasma.github.io/Logging_2303/klagomålsmail/A 50233-2024 FSC-klagomål mail.docx", "A 50233-2024")</f>
        <v/>
      </c>
      <c r="X229">
        <f>HYPERLINK("https://klasma.github.io/Logging_2303/tillsyn/A 50233-2024 tillsynsbegäran.docx", "A 50233-2024")</f>
        <v/>
      </c>
      <c r="Y229">
        <f>HYPERLINK("https://klasma.github.io/Logging_2303/tillsynsmail/A 50233-2024 tillsynsbegäran mail.docx", "A 50233-2024")</f>
        <v/>
      </c>
    </row>
    <row r="230" ht="15" customHeight="1">
      <c r="A230" t="inlineStr">
        <is>
          <t>A 55756-2025</t>
        </is>
      </c>
      <c r="B230" s="1" t="n">
        <v>45972.59438657408</v>
      </c>
      <c r="C230" s="1" t="n">
        <v>46049</v>
      </c>
      <c r="D230" t="inlineStr">
        <is>
          <t>JÄMTLANDS LÄN</t>
        </is>
      </c>
      <c r="E230" t="inlineStr">
        <is>
          <t>RAGUNDA</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HYPERLINK("https://klasma.github.io/Logging_2303/artfynd/A 55756-2025 artfynd.xlsx", "A 55756-2025")</f>
        <v/>
      </c>
      <c r="T230">
        <f>HYPERLINK("https://klasma.github.io/Logging_2303/kartor/A 55756-2025 karta.png", "A 55756-2025")</f>
        <v/>
      </c>
      <c r="V230">
        <f>HYPERLINK("https://klasma.github.io/Logging_2303/klagomål/A 55756-2025 FSC-klagomål.docx", "A 55756-2025")</f>
        <v/>
      </c>
      <c r="W230">
        <f>HYPERLINK("https://klasma.github.io/Logging_2303/klagomålsmail/A 55756-2025 FSC-klagomål mail.docx", "A 55756-2025")</f>
        <v/>
      </c>
      <c r="X230">
        <f>HYPERLINK("https://klasma.github.io/Logging_2303/tillsyn/A 55756-2025 tillsynsbegäran.docx", "A 55756-2025")</f>
        <v/>
      </c>
      <c r="Y230">
        <f>HYPERLINK("https://klasma.github.io/Logging_2303/tillsynsmail/A 55756-2025 tillsynsbegäran mail.docx", "A 55756-2025")</f>
        <v/>
      </c>
    </row>
    <row r="231" ht="15" customHeight="1">
      <c r="A231" t="inlineStr">
        <is>
          <t>A 56599-2025</t>
        </is>
      </c>
      <c r="B231" s="1" t="n">
        <v>45975.5734837963</v>
      </c>
      <c r="C231" s="1" t="n">
        <v>46049</v>
      </c>
      <c r="D231" t="inlineStr">
        <is>
          <t>JÄMTLANDS LÄN</t>
        </is>
      </c>
      <c r="E231" t="inlineStr">
        <is>
          <t>RAGUNDA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HYPERLINK("https://klasma.github.io/Logging_2303/artfynd/A 56599-2025 artfynd.xlsx", "A 56599-2025")</f>
        <v/>
      </c>
      <c r="T231">
        <f>HYPERLINK("https://klasma.github.io/Logging_2303/kartor/A 56599-2025 karta.png", "A 56599-2025")</f>
        <v/>
      </c>
      <c r="V231">
        <f>HYPERLINK("https://klasma.github.io/Logging_2303/klagomål/A 56599-2025 FSC-klagomål.docx", "A 56599-2025")</f>
        <v/>
      </c>
      <c r="W231">
        <f>HYPERLINK("https://klasma.github.io/Logging_2303/klagomålsmail/A 56599-2025 FSC-klagomål mail.docx", "A 56599-2025")</f>
        <v/>
      </c>
      <c r="X231">
        <f>HYPERLINK("https://klasma.github.io/Logging_2303/tillsyn/A 56599-2025 tillsynsbegäran.docx", "A 56599-2025")</f>
        <v/>
      </c>
      <c r="Y231">
        <f>HYPERLINK("https://klasma.github.io/Logging_2303/tillsynsmail/A 56599-2025 tillsynsbegäran mail.docx", "A 56599-2025")</f>
        <v/>
      </c>
    </row>
    <row r="232" ht="15" customHeight="1">
      <c r="A232" t="inlineStr">
        <is>
          <t>A 19751-2025</t>
        </is>
      </c>
      <c r="B232" s="1" t="n">
        <v>45771.3859837963</v>
      </c>
      <c r="C232" s="1" t="n">
        <v>46049</v>
      </c>
      <c r="D232" t="inlineStr">
        <is>
          <t>JÄMTLANDS LÄN</t>
        </is>
      </c>
      <c r="E232" t="inlineStr">
        <is>
          <t>RAGUNDA</t>
        </is>
      </c>
      <c r="F232" t="inlineStr">
        <is>
          <t>SCA</t>
        </is>
      </c>
      <c r="G232" t="n">
        <v>1.1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19751-2025 artfynd.xlsx", "A 19751-2025")</f>
        <v/>
      </c>
      <c r="T232">
        <f>HYPERLINK("https://klasma.github.io/Logging_2303/kartor/A 19751-2025 karta.png", "A 19751-2025")</f>
        <v/>
      </c>
      <c r="V232">
        <f>HYPERLINK("https://klasma.github.io/Logging_2303/klagomål/A 19751-2025 FSC-klagomål.docx", "A 19751-2025")</f>
        <v/>
      </c>
      <c r="W232">
        <f>HYPERLINK("https://klasma.github.io/Logging_2303/klagomålsmail/A 19751-2025 FSC-klagomål mail.docx", "A 19751-2025")</f>
        <v/>
      </c>
      <c r="X232">
        <f>HYPERLINK("https://klasma.github.io/Logging_2303/tillsyn/A 19751-2025 tillsynsbegäran.docx", "A 19751-2025")</f>
        <v/>
      </c>
      <c r="Y232">
        <f>HYPERLINK("https://klasma.github.io/Logging_2303/tillsynsmail/A 19751-2025 tillsynsbegäran mail.docx", "A 19751-2025")</f>
        <v/>
      </c>
      <c r="Z232">
        <f>HYPERLINK("https://klasma.github.io/Logging_2303/fåglar/A 19751-2025 prioriterade fågelarter.docx", "A 19751-2025")</f>
        <v/>
      </c>
    </row>
    <row r="233" ht="15" customHeight="1">
      <c r="A233" t="inlineStr">
        <is>
          <t>A 57478-2025</t>
        </is>
      </c>
      <c r="B233" s="1" t="n">
        <v>45980.57349537037</v>
      </c>
      <c r="C233" s="1" t="n">
        <v>46049</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57253-2025</t>
        </is>
      </c>
      <c r="B234" s="1" t="n">
        <v>45979.64381944444</v>
      </c>
      <c r="C234" s="1" t="n">
        <v>46049</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57479-2025</t>
        </is>
      </c>
      <c r="B235" s="1" t="n">
        <v>45980.5737037037</v>
      </c>
      <c r="C235" s="1" t="n">
        <v>46049</v>
      </c>
      <c r="D235" t="inlineStr">
        <is>
          <t>JÄMTLANDS LÄN</t>
        </is>
      </c>
      <c r="E235" t="inlineStr">
        <is>
          <t>RAGUNDA</t>
        </is>
      </c>
      <c r="F235" t="inlineStr">
        <is>
          <t>SCA</t>
        </is>
      </c>
      <c r="G235" t="n">
        <v>12</v>
      </c>
      <c r="H235" t="n">
        <v>0</v>
      </c>
      <c r="I235" t="n">
        <v>0</v>
      </c>
      <c r="J235" t="n">
        <v>1</v>
      </c>
      <c r="K235" t="n">
        <v>0</v>
      </c>
      <c r="L235" t="n">
        <v>0</v>
      </c>
      <c r="M235" t="n">
        <v>0</v>
      </c>
      <c r="N235" t="n">
        <v>0</v>
      </c>
      <c r="O235" t="n">
        <v>1</v>
      </c>
      <c r="P235" t="n">
        <v>0</v>
      </c>
      <c r="Q235" t="n">
        <v>1</v>
      </c>
      <c r="R235" s="2" t="inlineStr">
        <is>
          <t>Kolflarnlav</t>
        </is>
      </c>
      <c r="S235">
        <f>HYPERLINK("https://klasma.github.io/Logging_2303/artfynd/A 57479-2025 artfynd.xlsx", "A 57479-2025")</f>
        <v/>
      </c>
      <c r="T235">
        <f>HYPERLINK("https://klasma.github.io/Logging_2303/kartor/A 57479-2025 karta.png", "A 57479-2025")</f>
        <v/>
      </c>
      <c r="V235">
        <f>HYPERLINK("https://klasma.github.io/Logging_2303/klagomål/A 57479-2025 FSC-klagomål.docx", "A 57479-2025")</f>
        <v/>
      </c>
      <c r="W235">
        <f>HYPERLINK("https://klasma.github.io/Logging_2303/klagomålsmail/A 57479-2025 FSC-klagomål mail.docx", "A 57479-2025")</f>
        <v/>
      </c>
      <c r="X235">
        <f>HYPERLINK("https://klasma.github.io/Logging_2303/tillsyn/A 57479-2025 tillsynsbegäran.docx", "A 57479-2025")</f>
        <v/>
      </c>
      <c r="Y235">
        <f>HYPERLINK("https://klasma.github.io/Logging_2303/tillsynsmail/A 57479-2025 tillsynsbegäran mail.docx", "A 57479-2025")</f>
        <v/>
      </c>
    </row>
    <row r="236" ht="15" customHeight="1">
      <c r="A236" t="inlineStr">
        <is>
          <t>A 36224-2023</t>
        </is>
      </c>
      <c r="B236" s="1" t="n">
        <v>45149</v>
      </c>
      <c r="C236" s="1" t="n">
        <v>46049</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46049</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58990-2025</t>
        </is>
      </c>
      <c r="B238" s="1" t="n">
        <v>45987</v>
      </c>
      <c r="C238" s="1" t="n">
        <v>46049</v>
      </c>
      <c r="D238" t="inlineStr">
        <is>
          <t>JÄMTLANDS LÄN</t>
        </is>
      </c>
      <c r="E238" t="inlineStr">
        <is>
          <t>RAGUNDA</t>
        </is>
      </c>
      <c r="F238" t="inlineStr">
        <is>
          <t>SCA</t>
        </is>
      </c>
      <c r="G238" t="n">
        <v>4.6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58990-2025 artfynd.xlsx", "A 58990-2025")</f>
        <v/>
      </c>
      <c r="T238">
        <f>HYPERLINK("https://klasma.github.io/Logging_2303/kartor/A 58990-2025 karta.png", "A 58990-2025")</f>
        <v/>
      </c>
      <c r="V238">
        <f>HYPERLINK("https://klasma.github.io/Logging_2303/klagomål/A 58990-2025 FSC-klagomål.docx", "A 58990-2025")</f>
        <v/>
      </c>
      <c r="W238">
        <f>HYPERLINK("https://klasma.github.io/Logging_2303/klagomålsmail/A 58990-2025 FSC-klagomål mail.docx", "A 58990-2025")</f>
        <v/>
      </c>
      <c r="X238">
        <f>HYPERLINK("https://klasma.github.io/Logging_2303/tillsyn/A 58990-2025 tillsynsbegäran.docx", "A 58990-2025")</f>
        <v/>
      </c>
      <c r="Y238">
        <f>HYPERLINK("https://klasma.github.io/Logging_2303/tillsynsmail/A 58990-2025 tillsynsbegäran mail.docx", "A 58990-2025")</f>
        <v/>
      </c>
      <c r="Z238">
        <f>HYPERLINK("https://klasma.github.io/Logging_2303/fåglar/A 58990-2025 prioriterade fågelarter.docx", "A 58990-2025")</f>
        <v/>
      </c>
    </row>
    <row r="239" ht="15" customHeight="1">
      <c r="A239" t="inlineStr">
        <is>
          <t>A 30485-2024</t>
        </is>
      </c>
      <c r="B239" s="1" t="n">
        <v>45491.95008101852</v>
      </c>
      <c r="C239" s="1" t="n">
        <v>46049</v>
      </c>
      <c r="D239" t="inlineStr">
        <is>
          <t>JÄMTLANDS LÄN</t>
        </is>
      </c>
      <c r="E239" t="inlineStr">
        <is>
          <t>RAGUNDA</t>
        </is>
      </c>
      <c r="F239" t="inlineStr">
        <is>
          <t>SCA</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HYPERLINK("https://klasma.github.io/Logging_2303/artfynd/A 30485-2024 artfynd.xlsx", "A 30485-2024")</f>
        <v/>
      </c>
      <c r="T239">
        <f>HYPERLINK("https://klasma.github.io/Logging_2303/kartor/A 30485-2024 karta.png", "A 30485-2024")</f>
        <v/>
      </c>
      <c r="V239">
        <f>HYPERLINK("https://klasma.github.io/Logging_2303/klagomål/A 30485-2024 FSC-klagomål.docx", "A 30485-2024")</f>
        <v/>
      </c>
      <c r="W239">
        <f>HYPERLINK("https://klasma.github.io/Logging_2303/klagomålsmail/A 30485-2024 FSC-klagomål mail.docx", "A 30485-2024")</f>
        <v/>
      </c>
      <c r="X239">
        <f>HYPERLINK("https://klasma.github.io/Logging_2303/tillsyn/A 30485-2024 tillsynsbegäran.docx", "A 30485-2024")</f>
        <v/>
      </c>
      <c r="Y239">
        <f>HYPERLINK("https://klasma.github.io/Logging_2303/tillsynsmail/A 30485-2024 tillsynsbegäran mail.docx", "A 30485-2024")</f>
        <v/>
      </c>
    </row>
    <row r="240" ht="15" customHeight="1">
      <c r="A240" t="inlineStr">
        <is>
          <t>A 29921-2024</t>
        </is>
      </c>
      <c r="B240" s="1" t="n">
        <v>45487.92863425926</v>
      </c>
      <c r="C240" s="1" t="n">
        <v>46049</v>
      </c>
      <c r="D240" t="inlineStr">
        <is>
          <t>JÄMTLANDS LÄN</t>
        </is>
      </c>
      <c r="E240" t="inlineStr">
        <is>
          <t>RAGUNDA</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HYPERLINK("https://klasma.github.io/Logging_2303/artfynd/A 29921-2024 artfynd.xlsx", "A 29921-2024")</f>
        <v/>
      </c>
      <c r="T240">
        <f>HYPERLINK("https://klasma.github.io/Logging_2303/kartor/A 29921-2024 karta.png", "A 29921-2024")</f>
        <v/>
      </c>
      <c r="U240">
        <f>HYPERLINK("https://klasma.github.io/Logging_2303/knärot/A 29921-2024 karta knärot.png", "A 29921-2024")</f>
        <v/>
      </c>
      <c r="V240">
        <f>HYPERLINK("https://klasma.github.io/Logging_2303/klagomål/A 29921-2024 FSC-klagomål.docx", "A 29921-2024")</f>
        <v/>
      </c>
      <c r="W240">
        <f>HYPERLINK("https://klasma.github.io/Logging_2303/klagomålsmail/A 29921-2024 FSC-klagomål mail.docx", "A 29921-2024")</f>
        <v/>
      </c>
      <c r="X240">
        <f>HYPERLINK("https://klasma.github.io/Logging_2303/tillsyn/A 29921-2024 tillsynsbegäran.docx", "A 29921-2024")</f>
        <v/>
      </c>
      <c r="Y240">
        <f>HYPERLINK("https://klasma.github.io/Logging_2303/tillsynsmail/A 29921-2024 tillsynsbegäran mail.docx", "A 29921-2024")</f>
        <v/>
      </c>
    </row>
    <row r="241" ht="15" customHeight="1">
      <c r="A241" t="inlineStr">
        <is>
          <t>A 16724-2025</t>
        </is>
      </c>
      <c r="B241" s="1" t="n">
        <v>45754.51064814815</v>
      </c>
      <c r="C241" s="1" t="n">
        <v>46049</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2097-2026</t>
        </is>
      </c>
      <c r="B242" s="1" t="n">
        <v>46036.36556712963</v>
      </c>
      <c r="C242" s="1" t="n">
        <v>46049</v>
      </c>
      <c r="D242" t="inlineStr">
        <is>
          <t>JÄMTLANDS LÄN</t>
        </is>
      </c>
      <c r="E242" t="inlineStr">
        <is>
          <t>RAGUNDA</t>
        </is>
      </c>
      <c r="F242" t="inlineStr">
        <is>
          <t>SCA</t>
        </is>
      </c>
      <c r="G242" t="n">
        <v>0.9</v>
      </c>
      <c r="H242" t="n">
        <v>0</v>
      </c>
      <c r="I242" t="n">
        <v>0</v>
      </c>
      <c r="J242" t="n">
        <v>0</v>
      </c>
      <c r="K242" t="n">
        <v>0</v>
      </c>
      <c r="L242" t="n">
        <v>1</v>
      </c>
      <c r="M242" t="n">
        <v>0</v>
      </c>
      <c r="N242" t="n">
        <v>0</v>
      </c>
      <c r="O242" t="n">
        <v>1</v>
      </c>
      <c r="P242" t="n">
        <v>1</v>
      </c>
      <c r="Q242" t="n">
        <v>1</v>
      </c>
      <c r="R242" s="2" t="inlineStr">
        <is>
          <t>Trolldruvemätare</t>
        </is>
      </c>
      <c r="S242">
        <f>HYPERLINK("https://klasma.github.io/Logging_2303/artfynd/A 2097-2026 artfynd.xlsx", "A 2097-2026")</f>
        <v/>
      </c>
      <c r="T242">
        <f>HYPERLINK("https://klasma.github.io/Logging_2303/kartor/A 2097-2026 karta.png", "A 2097-2026")</f>
        <v/>
      </c>
      <c r="V242">
        <f>HYPERLINK("https://klasma.github.io/Logging_2303/klagomål/A 2097-2026 FSC-klagomål.docx", "A 2097-2026")</f>
        <v/>
      </c>
      <c r="W242">
        <f>HYPERLINK("https://klasma.github.io/Logging_2303/klagomålsmail/A 2097-2026 FSC-klagomål mail.docx", "A 2097-2026")</f>
        <v/>
      </c>
      <c r="X242">
        <f>HYPERLINK("https://klasma.github.io/Logging_2303/tillsyn/A 2097-2026 tillsynsbegäran.docx", "A 2097-2026")</f>
        <v/>
      </c>
      <c r="Y242">
        <f>HYPERLINK("https://klasma.github.io/Logging_2303/tillsynsmail/A 2097-2026 tillsynsbegäran mail.docx", "A 2097-2026")</f>
        <v/>
      </c>
    </row>
    <row r="243" ht="15" customHeight="1">
      <c r="A243" t="inlineStr">
        <is>
          <t>A 62072-2023</t>
        </is>
      </c>
      <c r="B243" s="1" t="n">
        <v>45266</v>
      </c>
      <c r="C243" s="1" t="n">
        <v>46049</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25694-2023</t>
        </is>
      </c>
      <c r="B244" s="1" t="n">
        <v>45089</v>
      </c>
      <c r="C244" s="1" t="n">
        <v>46049</v>
      </c>
      <c r="D244" t="inlineStr">
        <is>
          <t>JÄMTLANDS LÄN</t>
        </is>
      </c>
      <c r="E244" t="inlineStr">
        <is>
          <t>RAGUNDA</t>
        </is>
      </c>
      <c r="F244" t="inlineStr">
        <is>
          <t>SCA</t>
        </is>
      </c>
      <c r="G244" t="n">
        <v>1.5</v>
      </c>
      <c r="H244" t="n">
        <v>0</v>
      </c>
      <c r="I244" t="n">
        <v>0</v>
      </c>
      <c r="J244" t="n">
        <v>1</v>
      </c>
      <c r="K244" t="n">
        <v>0</v>
      </c>
      <c r="L244" t="n">
        <v>0</v>
      </c>
      <c r="M244" t="n">
        <v>0</v>
      </c>
      <c r="N244" t="n">
        <v>0</v>
      </c>
      <c r="O244" t="n">
        <v>1</v>
      </c>
      <c r="P244" t="n">
        <v>0</v>
      </c>
      <c r="Q244" t="n">
        <v>1</v>
      </c>
      <c r="R244" s="2" t="inlineStr">
        <is>
          <t>Ullticka</t>
        </is>
      </c>
      <c r="S244">
        <f>HYPERLINK("https://klasma.github.io/Logging_2303/artfynd/A 25694-2023 artfynd.xlsx", "A 25694-2023")</f>
        <v/>
      </c>
      <c r="T244">
        <f>HYPERLINK("https://klasma.github.io/Logging_2303/kartor/A 25694-2023 karta.png", "A 25694-2023")</f>
        <v/>
      </c>
      <c r="V244">
        <f>HYPERLINK("https://klasma.github.io/Logging_2303/klagomål/A 25694-2023 FSC-klagomål.docx", "A 25694-2023")</f>
        <v/>
      </c>
      <c r="W244">
        <f>HYPERLINK("https://klasma.github.io/Logging_2303/klagomålsmail/A 25694-2023 FSC-klagomål mail.docx", "A 25694-2023")</f>
        <v/>
      </c>
      <c r="X244">
        <f>HYPERLINK("https://klasma.github.io/Logging_2303/tillsyn/A 25694-2023 tillsynsbegäran.docx", "A 25694-2023")</f>
        <v/>
      </c>
      <c r="Y244">
        <f>HYPERLINK("https://klasma.github.io/Logging_2303/tillsynsmail/A 25694-2023 tillsynsbegäran mail.docx", "A 25694-2023")</f>
        <v/>
      </c>
    </row>
    <row r="245" ht="15" customHeight="1">
      <c r="A245" t="inlineStr">
        <is>
          <t>A 49770-2024</t>
        </is>
      </c>
      <c r="B245" s="1" t="n">
        <v>45597.34461805555</v>
      </c>
      <c r="C245" s="1" t="n">
        <v>46049</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4157-2026</t>
        </is>
      </c>
      <c r="B246" s="1" t="n">
        <v>46044.65694444445</v>
      </c>
      <c r="C246" s="1" t="n">
        <v>46049</v>
      </c>
      <c r="D246" t="inlineStr">
        <is>
          <t>JÄMTLANDS LÄN</t>
        </is>
      </c>
      <c r="E246" t="inlineStr">
        <is>
          <t>RAGUNDA</t>
        </is>
      </c>
      <c r="F246" t="inlineStr">
        <is>
          <t>SCA</t>
        </is>
      </c>
      <c r="G246" t="n">
        <v>2.6</v>
      </c>
      <c r="H246" t="n">
        <v>1</v>
      </c>
      <c r="I246" t="n">
        <v>1</v>
      </c>
      <c r="J246" t="n">
        <v>0</v>
      </c>
      <c r="K246" t="n">
        <v>0</v>
      </c>
      <c r="L246" t="n">
        <v>0</v>
      </c>
      <c r="M246" t="n">
        <v>0</v>
      </c>
      <c r="N246" t="n">
        <v>0</v>
      </c>
      <c r="O246" t="n">
        <v>0</v>
      </c>
      <c r="P246" t="n">
        <v>0</v>
      </c>
      <c r="Q246" t="n">
        <v>1</v>
      </c>
      <c r="R246" s="2" t="inlineStr">
        <is>
          <t>Tvåblad</t>
        </is>
      </c>
      <c r="S246">
        <f>HYPERLINK("https://klasma.github.io/Logging_2303/artfynd/A 4157-2026 artfynd.xlsx", "A 4157-2026")</f>
        <v/>
      </c>
      <c r="T246">
        <f>HYPERLINK("https://klasma.github.io/Logging_2303/kartor/A 4157-2026 karta.png", "A 4157-2026")</f>
        <v/>
      </c>
      <c r="V246">
        <f>HYPERLINK("https://klasma.github.io/Logging_2303/klagomål/A 4157-2026 FSC-klagomål.docx", "A 4157-2026")</f>
        <v/>
      </c>
      <c r="W246">
        <f>HYPERLINK("https://klasma.github.io/Logging_2303/klagomålsmail/A 4157-2026 FSC-klagomål mail.docx", "A 4157-2026")</f>
        <v/>
      </c>
      <c r="X246">
        <f>HYPERLINK("https://klasma.github.io/Logging_2303/tillsyn/A 4157-2026 tillsynsbegäran.docx", "A 4157-2026")</f>
        <v/>
      </c>
      <c r="Y246">
        <f>HYPERLINK("https://klasma.github.io/Logging_2303/tillsynsmail/A 4157-2026 tillsynsbegäran mail.docx", "A 4157-2026")</f>
        <v/>
      </c>
    </row>
    <row r="247" ht="15" customHeight="1">
      <c r="A247" t="inlineStr">
        <is>
          <t>A 36757-2023</t>
        </is>
      </c>
      <c r="B247" s="1" t="n">
        <v>45153</v>
      </c>
      <c r="C247" s="1" t="n">
        <v>46049</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46049</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46049</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46049</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46049</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46049</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46049</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46049</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46049</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46049</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46049</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46049</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46049</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46049</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46049</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46049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46049</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46049</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46049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46049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46049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46049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46049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46049</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46049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46049</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46049</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46049</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46049</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46049</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46049</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46049</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46049</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46049</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46049</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46049</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46049</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46049</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46049</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46049</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46049</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46049</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46049</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46049</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46049</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46049</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46049</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46049</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46049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46049</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46049</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46049</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46049</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46049</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13571-2021</t>
        </is>
      </c>
      <c r="B301" s="1" t="n">
        <v>44273.92081018518</v>
      </c>
      <c r="C301" s="1" t="n">
        <v>46049</v>
      </c>
      <c r="D301" t="inlineStr">
        <is>
          <t>JÄMTLANDS LÄN</t>
        </is>
      </c>
      <c r="E301" t="inlineStr">
        <is>
          <t>RAGUNDA</t>
        </is>
      </c>
      <c r="G301" t="n">
        <v>1.9</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46049</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46049</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46049</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46049</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46049</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40612-2022</t>
        </is>
      </c>
      <c r="B308" s="1" t="n">
        <v>44823.94993055556</v>
      </c>
      <c r="C308" s="1" t="n">
        <v>46049</v>
      </c>
      <c r="D308" t="inlineStr">
        <is>
          <t>JÄMTLANDS LÄN</t>
        </is>
      </c>
      <c r="E308" t="inlineStr">
        <is>
          <t>RAGUNDA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46049</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46049</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46049</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46049</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46049</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46049</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46049</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46049</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46049</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46049</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46049</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46049</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46049</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46049</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46049</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46049</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46049</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46049</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46049</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46049</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46049</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46049</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46049</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46049</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46049</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46049</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46049</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46049</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46049</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46049</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46049</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46049</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46049</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46049</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46049</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46049</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46049</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46049</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46049</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46049</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46049</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46049</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46049</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46049</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29409-2021</t>
        </is>
      </c>
      <c r="B354" s="1" t="n">
        <v>44361.55445601852</v>
      </c>
      <c r="C354" s="1" t="n">
        <v>46049</v>
      </c>
      <c r="D354" t="inlineStr">
        <is>
          <t>JÄMTLANDS LÄN</t>
        </is>
      </c>
      <c r="E354" t="inlineStr">
        <is>
          <t>RAGUNDA</t>
        </is>
      </c>
      <c r="G354" t="n">
        <v>0.3</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46049</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46049</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46049</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46049</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46049</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46049</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46049</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15664-2022</t>
        </is>
      </c>
      <c r="B362" s="1" t="n">
        <v>44662</v>
      </c>
      <c r="C362" s="1" t="n">
        <v>46049</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46049</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46049</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46049</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46049</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46049</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46049</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46049</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46049</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46049</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46049</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46049</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46049</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47803-2022</t>
        </is>
      </c>
      <c r="B375" s="1" t="n">
        <v>44854.95390046296</v>
      </c>
      <c r="C375" s="1" t="n">
        <v>46049</v>
      </c>
      <c r="D375" t="inlineStr">
        <is>
          <t>JÄMTLANDS LÄN</t>
        </is>
      </c>
      <c r="E375" t="inlineStr">
        <is>
          <t>RAGUNDA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46049</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46049</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46049</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46049</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46049</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46049</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46049</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46049</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46049</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46049</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46049</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46049</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46049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46049</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46049</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46049</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46049</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46049</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46049</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46049</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46049</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46049</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46049</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46049</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46049</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46049</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46049</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46049</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46049</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11147-2025</t>
        </is>
      </c>
      <c r="B405" s="1" t="n">
        <v>45723.67777777778</v>
      </c>
      <c r="C405" s="1" t="n">
        <v>46049</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24280-2021</t>
        </is>
      </c>
      <c r="B406" s="1" t="n">
        <v>44336</v>
      </c>
      <c r="C406" s="1" t="n">
        <v>46049</v>
      </c>
      <c r="D406" t="inlineStr">
        <is>
          <t>JÄMTLANDS LÄN</t>
        </is>
      </c>
      <c r="E406" t="inlineStr">
        <is>
          <t>RAGUNDA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14821-2025</t>
        </is>
      </c>
      <c r="B407" s="1" t="n">
        <v>45743.36</v>
      </c>
      <c r="C407" s="1" t="n">
        <v>46049</v>
      </c>
      <c r="D407" t="inlineStr">
        <is>
          <t>JÄMTLANDS LÄN</t>
        </is>
      </c>
      <c r="E407" t="inlineStr">
        <is>
          <t>RAGUNDA</t>
        </is>
      </c>
      <c r="F407" t="inlineStr">
        <is>
          <t>Kyrkan</t>
        </is>
      </c>
      <c r="G407" t="n">
        <v>6.4</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46049</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46049</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46049</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19264-2025</t>
        </is>
      </c>
      <c r="B411" s="1" t="n">
        <v>45769.51087962963</v>
      </c>
      <c r="C411" s="1" t="n">
        <v>46049</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28596-2021</t>
        </is>
      </c>
      <c r="B412" s="1" t="n">
        <v>44356</v>
      </c>
      <c r="C412" s="1" t="n">
        <v>46049</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36106-2022</t>
        </is>
      </c>
      <c r="B413" s="1" t="n">
        <v>44802.94811342593</v>
      </c>
      <c r="C413" s="1" t="n">
        <v>46049</v>
      </c>
      <c r="D413" t="inlineStr">
        <is>
          <t>JÄMTLANDS LÄN</t>
        </is>
      </c>
      <c r="E413" t="inlineStr">
        <is>
          <t>RAGUNDA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11780-2024</t>
        </is>
      </c>
      <c r="B414" s="1" t="n">
        <v>45374</v>
      </c>
      <c r="C414" s="1" t="n">
        <v>46049</v>
      </c>
      <c r="D414" t="inlineStr">
        <is>
          <t>JÄMTLANDS LÄN</t>
        </is>
      </c>
      <c r="E414" t="inlineStr">
        <is>
          <t>RAGUNDA</t>
        </is>
      </c>
      <c r="G414" t="n">
        <v>14.6</v>
      </c>
      <c r="H414" t="n">
        <v>0</v>
      </c>
      <c r="I414" t="n">
        <v>0</v>
      </c>
      <c r="J414" t="n">
        <v>0</v>
      </c>
      <c r="K414" t="n">
        <v>0</v>
      </c>
      <c r="L414" t="n">
        <v>0</v>
      </c>
      <c r="M414" t="n">
        <v>0</v>
      </c>
      <c r="N414" t="n">
        <v>0</v>
      </c>
      <c r="O414" t="n">
        <v>0</v>
      </c>
      <c r="P414" t="n">
        <v>0</v>
      </c>
      <c r="Q414" t="n">
        <v>0</v>
      </c>
      <c r="R414" s="2" t="inlineStr"/>
    </row>
    <row r="415" ht="15" customHeight="1">
      <c r="A415" t="inlineStr">
        <is>
          <t>A 12585-2024</t>
        </is>
      </c>
      <c r="B415" s="1" t="n">
        <v>45379.93637731481</v>
      </c>
      <c r="C415" s="1" t="n">
        <v>46049</v>
      </c>
      <c r="D415" t="inlineStr">
        <is>
          <t>JÄMTLANDS LÄN</t>
        </is>
      </c>
      <c r="E415" t="inlineStr">
        <is>
          <t>RAGUNDA</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38664-2022</t>
        </is>
      </c>
      <c r="B416" s="1" t="n">
        <v>44813</v>
      </c>
      <c r="C416" s="1" t="n">
        <v>46049</v>
      </c>
      <c r="D416" t="inlineStr">
        <is>
          <t>JÄMTLANDS LÄN</t>
        </is>
      </c>
      <c r="E416" t="inlineStr">
        <is>
          <t>RAGUNDA</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46049</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15611-2024</t>
        </is>
      </c>
      <c r="B418" s="1" t="n">
        <v>45401</v>
      </c>
      <c r="C418" s="1" t="n">
        <v>46049</v>
      </c>
      <c r="D418" t="inlineStr">
        <is>
          <t>JÄMTLANDS LÄN</t>
        </is>
      </c>
      <c r="E418" t="inlineStr">
        <is>
          <t>RAGUNDA</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38425-2022</t>
        </is>
      </c>
      <c r="B419" s="1" t="n">
        <v>44812.94709490741</v>
      </c>
      <c r="C419" s="1" t="n">
        <v>46049</v>
      </c>
      <c r="D419" t="inlineStr">
        <is>
          <t>JÄMTLANDS LÄN</t>
        </is>
      </c>
      <c r="E419" t="inlineStr">
        <is>
          <t>RAGUNDA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46049</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59557-2023</t>
        </is>
      </c>
      <c r="B421" s="1" t="n">
        <v>45253</v>
      </c>
      <c r="C421" s="1" t="n">
        <v>46049</v>
      </c>
      <c r="D421" t="inlineStr">
        <is>
          <t>JÄMTLANDS LÄN</t>
        </is>
      </c>
      <c r="E421" t="inlineStr">
        <is>
          <t>RAGUNDA</t>
        </is>
      </c>
      <c r="G421" t="n">
        <v>1</v>
      </c>
      <c r="H421" t="n">
        <v>0</v>
      </c>
      <c r="I421" t="n">
        <v>0</v>
      </c>
      <c r="J421" t="n">
        <v>0</v>
      </c>
      <c r="K421" t="n">
        <v>0</v>
      </c>
      <c r="L421" t="n">
        <v>0</v>
      </c>
      <c r="M421" t="n">
        <v>0</v>
      </c>
      <c r="N421" t="n">
        <v>0</v>
      </c>
      <c r="O421" t="n">
        <v>0</v>
      </c>
      <c r="P421" t="n">
        <v>0</v>
      </c>
      <c r="Q421" t="n">
        <v>0</v>
      </c>
      <c r="R421" s="2" t="inlineStr"/>
    </row>
    <row r="422" ht="15" customHeight="1">
      <c r="A422" t="inlineStr">
        <is>
          <t>A 36922-2022</t>
        </is>
      </c>
      <c r="B422" s="1" t="n">
        <v>44805.94592592592</v>
      </c>
      <c r="C422" s="1" t="n">
        <v>46049</v>
      </c>
      <c r="D422" t="inlineStr">
        <is>
          <t>JÄMTLANDS LÄN</t>
        </is>
      </c>
      <c r="E422" t="inlineStr">
        <is>
          <t>RAGUNDA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42893-2022</t>
        </is>
      </c>
      <c r="B423" s="1" t="n">
        <v>44832</v>
      </c>
      <c r="C423" s="1" t="n">
        <v>46049</v>
      </c>
      <c r="D423" t="inlineStr">
        <is>
          <t>JÄMTLANDS LÄN</t>
        </is>
      </c>
      <c r="E423" t="inlineStr">
        <is>
          <t>RAGUNDA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14513-2025</t>
        </is>
      </c>
      <c r="B424" s="1" t="n">
        <v>45741.63675925926</v>
      </c>
      <c r="C424" s="1" t="n">
        <v>46049</v>
      </c>
      <c r="D424" t="inlineStr">
        <is>
          <t>JÄMTLANDS LÄN</t>
        </is>
      </c>
      <c r="E424" t="inlineStr">
        <is>
          <t>RAGUNDA</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7281-2025</t>
        </is>
      </c>
      <c r="B425" s="1" t="n">
        <v>45702.63572916666</v>
      </c>
      <c r="C425" s="1" t="n">
        <v>46049</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9326-2024</t>
        </is>
      </c>
      <c r="B426" s="1" t="n">
        <v>45358.95818287037</v>
      </c>
      <c r="C426" s="1" t="n">
        <v>46049</v>
      </c>
      <c r="D426" t="inlineStr">
        <is>
          <t>JÄMTLANDS LÄN</t>
        </is>
      </c>
      <c r="E426" t="inlineStr">
        <is>
          <t>RAGUNDA</t>
        </is>
      </c>
      <c r="G426" t="n">
        <v>0.7</v>
      </c>
      <c r="H426" t="n">
        <v>0</v>
      </c>
      <c r="I426" t="n">
        <v>0</v>
      </c>
      <c r="J426" t="n">
        <v>0</v>
      </c>
      <c r="K426" t="n">
        <v>0</v>
      </c>
      <c r="L426" t="n">
        <v>0</v>
      </c>
      <c r="M426" t="n">
        <v>0</v>
      </c>
      <c r="N426" t="n">
        <v>0</v>
      </c>
      <c r="O426" t="n">
        <v>0</v>
      </c>
      <c r="P426" t="n">
        <v>0</v>
      </c>
      <c r="Q426" t="n">
        <v>0</v>
      </c>
      <c r="R426" s="2" t="inlineStr"/>
    </row>
    <row r="427" ht="15" customHeight="1">
      <c r="A427" t="inlineStr">
        <is>
          <t>A 18777-2024</t>
        </is>
      </c>
      <c r="B427" s="1" t="n">
        <v>45426</v>
      </c>
      <c r="C427" s="1" t="n">
        <v>46049</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46049</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23304-2023</t>
        </is>
      </c>
      <c r="B429" s="1" t="n">
        <v>45075.945</v>
      </c>
      <c r="C429" s="1" t="n">
        <v>46049</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59670-2023</t>
        </is>
      </c>
      <c r="B430" s="1" t="n">
        <v>45254.96516203704</v>
      </c>
      <c r="C430" s="1" t="n">
        <v>46049</v>
      </c>
      <c r="D430" t="inlineStr">
        <is>
          <t>JÄMTLANDS LÄN</t>
        </is>
      </c>
      <c r="E430" t="inlineStr">
        <is>
          <t>RAGUNDA</t>
        </is>
      </c>
      <c r="F430" t="inlineStr">
        <is>
          <t>SCA</t>
        </is>
      </c>
      <c r="G430" t="n">
        <v>7.6</v>
      </c>
      <c r="H430" t="n">
        <v>0</v>
      </c>
      <c r="I430" t="n">
        <v>0</v>
      </c>
      <c r="J430" t="n">
        <v>0</v>
      </c>
      <c r="K430" t="n">
        <v>0</v>
      </c>
      <c r="L430" t="n">
        <v>0</v>
      </c>
      <c r="M430" t="n">
        <v>0</v>
      </c>
      <c r="N430" t="n">
        <v>0</v>
      </c>
      <c r="O430" t="n">
        <v>0</v>
      </c>
      <c r="P430" t="n">
        <v>0</v>
      </c>
      <c r="Q430" t="n">
        <v>0</v>
      </c>
      <c r="R430" s="2" t="inlineStr"/>
    </row>
    <row r="431" ht="15" customHeight="1">
      <c r="A431" t="inlineStr">
        <is>
          <t>A 18194-2025</t>
        </is>
      </c>
      <c r="B431" s="1" t="n">
        <v>45761.67744212963</v>
      </c>
      <c r="C431" s="1" t="n">
        <v>46049</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26991-2023</t>
        </is>
      </c>
      <c r="B432" s="1" t="n">
        <v>45093.92207175926</v>
      </c>
      <c r="C432" s="1" t="n">
        <v>46049</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13299-2024</t>
        </is>
      </c>
      <c r="B433" s="1" t="n">
        <v>45386.68003472222</v>
      </c>
      <c r="C433" s="1" t="n">
        <v>46049</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46049</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22948-2024</t>
        </is>
      </c>
      <c r="B435" s="1" t="n">
        <v>45448.94600694445</v>
      </c>
      <c r="C435" s="1" t="n">
        <v>46049</v>
      </c>
      <c r="D435" t="inlineStr">
        <is>
          <t>JÄMTLANDS LÄN</t>
        </is>
      </c>
      <c r="E435" t="inlineStr">
        <is>
          <t>RAGUNDA</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53347-2023</t>
        </is>
      </c>
      <c r="B436" s="1" t="n">
        <v>45223</v>
      </c>
      <c r="C436" s="1" t="n">
        <v>46049</v>
      </c>
      <c r="D436" t="inlineStr">
        <is>
          <t>JÄMTLANDS LÄN</t>
        </is>
      </c>
      <c r="E436" t="inlineStr">
        <is>
          <t>RAGUNDA</t>
        </is>
      </c>
      <c r="G436" t="n">
        <v>1.6</v>
      </c>
      <c r="H436" t="n">
        <v>0</v>
      </c>
      <c r="I436" t="n">
        <v>0</v>
      </c>
      <c r="J436" t="n">
        <v>0</v>
      </c>
      <c r="K436" t="n">
        <v>0</v>
      </c>
      <c r="L436" t="n">
        <v>0</v>
      </c>
      <c r="M436" t="n">
        <v>0</v>
      </c>
      <c r="N436" t="n">
        <v>0</v>
      </c>
      <c r="O436" t="n">
        <v>0</v>
      </c>
      <c r="P436" t="n">
        <v>0</v>
      </c>
      <c r="Q436" t="n">
        <v>0</v>
      </c>
      <c r="R436" s="2" t="inlineStr"/>
    </row>
    <row r="437" ht="15" customHeight="1">
      <c r="A437" t="inlineStr">
        <is>
          <t>A 58193-2022</t>
        </is>
      </c>
      <c r="B437" s="1" t="n">
        <v>44900.95700231481</v>
      </c>
      <c r="C437" s="1" t="n">
        <v>46049</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53678-2022</t>
        </is>
      </c>
      <c r="B438" s="1" t="n">
        <v>44879.95768518518</v>
      </c>
      <c r="C438" s="1" t="n">
        <v>46049</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50649-2022</t>
        </is>
      </c>
      <c r="B439" s="1" t="n">
        <v>44866</v>
      </c>
      <c r="C439" s="1" t="n">
        <v>46049</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14369-2024</t>
        </is>
      </c>
      <c r="B440" s="1" t="n">
        <v>45393.94459490741</v>
      </c>
      <c r="C440" s="1" t="n">
        <v>46049</v>
      </c>
      <c r="D440" t="inlineStr">
        <is>
          <t>JÄMTLANDS LÄN</t>
        </is>
      </c>
      <c r="E440" t="inlineStr">
        <is>
          <t>RAGUNDA</t>
        </is>
      </c>
      <c r="F440" t="inlineStr">
        <is>
          <t>Naturvårdsverket</t>
        </is>
      </c>
      <c r="G440" t="n">
        <v>1.8</v>
      </c>
      <c r="H440" t="n">
        <v>0</v>
      </c>
      <c r="I440" t="n">
        <v>0</v>
      </c>
      <c r="J440" t="n">
        <v>0</v>
      </c>
      <c r="K440" t="n">
        <v>0</v>
      </c>
      <c r="L440" t="n">
        <v>0</v>
      </c>
      <c r="M440" t="n">
        <v>0</v>
      </c>
      <c r="N440" t="n">
        <v>0</v>
      </c>
      <c r="O440" t="n">
        <v>0</v>
      </c>
      <c r="P440" t="n">
        <v>0</v>
      </c>
      <c r="Q440" t="n">
        <v>0</v>
      </c>
      <c r="R440" s="2" t="inlineStr"/>
    </row>
    <row r="441" ht="15" customHeight="1">
      <c r="A441" t="inlineStr">
        <is>
          <t>A 10639-2024</t>
        </is>
      </c>
      <c r="B441" s="1" t="n">
        <v>45367.67256944445</v>
      </c>
      <c r="C441" s="1" t="n">
        <v>46049</v>
      </c>
      <c r="D441" t="inlineStr">
        <is>
          <t>JÄMTLANDS LÄN</t>
        </is>
      </c>
      <c r="E441" t="inlineStr">
        <is>
          <t>RAGUNDA</t>
        </is>
      </c>
      <c r="G441" t="n">
        <v>2</v>
      </c>
      <c r="H441" t="n">
        <v>0</v>
      </c>
      <c r="I441" t="n">
        <v>0</v>
      </c>
      <c r="J441" t="n">
        <v>0</v>
      </c>
      <c r="K441" t="n">
        <v>0</v>
      </c>
      <c r="L441" t="n">
        <v>0</v>
      </c>
      <c r="M441" t="n">
        <v>0</v>
      </c>
      <c r="N441" t="n">
        <v>0</v>
      </c>
      <c r="O441" t="n">
        <v>0</v>
      </c>
      <c r="P441" t="n">
        <v>0</v>
      </c>
      <c r="Q441" t="n">
        <v>0</v>
      </c>
      <c r="R441" s="2" t="inlineStr"/>
    </row>
    <row r="442" ht="15" customHeight="1">
      <c r="A442" t="inlineStr">
        <is>
          <t>A 60195-2023</t>
        </is>
      </c>
      <c r="B442" s="1" t="n">
        <v>45257</v>
      </c>
      <c r="C442" s="1" t="n">
        <v>46049</v>
      </c>
      <c r="D442" t="inlineStr">
        <is>
          <t>JÄMTLANDS LÄN</t>
        </is>
      </c>
      <c r="E442" t="inlineStr">
        <is>
          <t>RAGUNDA</t>
        </is>
      </c>
      <c r="G442" t="n">
        <v>1.7</v>
      </c>
      <c r="H442" t="n">
        <v>0</v>
      </c>
      <c r="I442" t="n">
        <v>0</v>
      </c>
      <c r="J442" t="n">
        <v>0</v>
      </c>
      <c r="K442" t="n">
        <v>0</v>
      </c>
      <c r="L442" t="n">
        <v>0</v>
      </c>
      <c r="M442" t="n">
        <v>0</v>
      </c>
      <c r="N442" t="n">
        <v>0</v>
      </c>
      <c r="O442" t="n">
        <v>0</v>
      </c>
      <c r="P442" t="n">
        <v>0</v>
      </c>
      <c r="Q442" t="n">
        <v>0</v>
      </c>
      <c r="R442" s="2" t="inlineStr"/>
    </row>
    <row r="443" ht="15" customHeight="1">
      <c r="A443" t="inlineStr">
        <is>
          <t>A 32904-2024</t>
        </is>
      </c>
      <c r="B443" s="1" t="n">
        <v>45516.94732638889</v>
      </c>
      <c r="C443" s="1" t="n">
        <v>46049</v>
      </c>
      <c r="D443" t="inlineStr">
        <is>
          <t>JÄMTLANDS LÄN</t>
        </is>
      </c>
      <c r="E443" t="inlineStr">
        <is>
          <t>RAGUNDA</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2819-2023</t>
        </is>
      </c>
      <c r="B444" s="1" t="n">
        <v>44944</v>
      </c>
      <c r="C444" s="1" t="n">
        <v>46049</v>
      </c>
      <c r="D444" t="inlineStr">
        <is>
          <t>JÄMTLANDS LÄN</t>
        </is>
      </c>
      <c r="E444" t="inlineStr">
        <is>
          <t>RAGUNDA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182-2023</t>
        </is>
      </c>
      <c r="B445" s="1" t="n">
        <v>44922</v>
      </c>
      <c r="C445" s="1" t="n">
        <v>46049</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66011-2021</t>
        </is>
      </c>
      <c r="B446" s="1" t="n">
        <v>44517.58137731482</v>
      </c>
      <c r="C446" s="1" t="n">
        <v>46049</v>
      </c>
      <c r="D446" t="inlineStr">
        <is>
          <t>JÄMTLANDS LÄN</t>
        </is>
      </c>
      <c r="E446" t="inlineStr">
        <is>
          <t>RAGUNDA</t>
        </is>
      </c>
      <c r="G446" t="n">
        <v>1.1</v>
      </c>
      <c r="H446" t="n">
        <v>0</v>
      </c>
      <c r="I446" t="n">
        <v>0</v>
      </c>
      <c r="J446" t="n">
        <v>0</v>
      </c>
      <c r="K446" t="n">
        <v>0</v>
      </c>
      <c r="L446" t="n">
        <v>0</v>
      </c>
      <c r="M446" t="n">
        <v>0</v>
      </c>
      <c r="N446" t="n">
        <v>0</v>
      </c>
      <c r="O446" t="n">
        <v>0</v>
      </c>
      <c r="P446" t="n">
        <v>0</v>
      </c>
      <c r="Q446" t="n">
        <v>0</v>
      </c>
      <c r="R446" s="2" t="inlineStr"/>
    </row>
    <row r="447" ht="15" customHeight="1">
      <c r="A447" t="inlineStr">
        <is>
          <t>A 22412-2024</t>
        </is>
      </c>
      <c r="B447" s="1" t="n">
        <v>45446.68947916666</v>
      </c>
      <c r="C447" s="1" t="n">
        <v>46049</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24196-2024</t>
        </is>
      </c>
      <c r="B448" s="1" t="n">
        <v>45456.96569444444</v>
      </c>
      <c r="C448" s="1" t="n">
        <v>46049</v>
      </c>
      <c r="D448" t="inlineStr">
        <is>
          <t>JÄMTLANDS LÄN</t>
        </is>
      </c>
      <c r="E448" t="inlineStr">
        <is>
          <t>RAGUNDA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23528-2024</t>
        </is>
      </c>
      <c r="B449" s="1" t="n">
        <v>45453.95016203704</v>
      </c>
      <c r="C449" s="1" t="n">
        <v>46049</v>
      </c>
      <c r="D449" t="inlineStr">
        <is>
          <t>JÄMTLANDS LÄN</t>
        </is>
      </c>
      <c r="E449" t="inlineStr">
        <is>
          <t>RAGUNDA</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55701-2021</t>
        </is>
      </c>
      <c r="B450" s="1" t="n">
        <v>44475</v>
      </c>
      <c r="C450" s="1" t="n">
        <v>46049</v>
      </c>
      <c r="D450" t="inlineStr">
        <is>
          <t>JÄMTLANDS LÄN</t>
        </is>
      </c>
      <c r="E450" t="inlineStr">
        <is>
          <t>RAGUNDA</t>
        </is>
      </c>
      <c r="G450" t="n">
        <v>5.6</v>
      </c>
      <c r="H450" t="n">
        <v>0</v>
      </c>
      <c r="I450" t="n">
        <v>0</v>
      </c>
      <c r="J450" t="n">
        <v>0</v>
      </c>
      <c r="K450" t="n">
        <v>0</v>
      </c>
      <c r="L450" t="n">
        <v>0</v>
      </c>
      <c r="M450" t="n">
        <v>0</v>
      </c>
      <c r="N450" t="n">
        <v>0</v>
      </c>
      <c r="O450" t="n">
        <v>0</v>
      </c>
      <c r="P450" t="n">
        <v>0</v>
      </c>
      <c r="Q450" t="n">
        <v>0</v>
      </c>
      <c r="R450" s="2" t="inlineStr"/>
    </row>
    <row r="451" ht="15" customHeight="1">
      <c r="A451" t="inlineStr">
        <is>
          <t>A 24171-2021</t>
        </is>
      </c>
      <c r="B451" s="1" t="n">
        <v>44336</v>
      </c>
      <c r="C451" s="1" t="n">
        <v>46049</v>
      </c>
      <c r="D451" t="inlineStr">
        <is>
          <t>JÄMTLANDS LÄN</t>
        </is>
      </c>
      <c r="E451" t="inlineStr">
        <is>
          <t>RAGUNDA</t>
        </is>
      </c>
      <c r="G451" t="n">
        <v>3.6</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45280.92645833334</v>
      </c>
      <c r="C452" s="1" t="n">
        <v>46049</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56702-2023</t>
        </is>
      </c>
      <c r="B453" s="1" t="n">
        <v>45243</v>
      </c>
      <c r="C453" s="1" t="n">
        <v>46049</v>
      </c>
      <c r="D453" t="inlineStr">
        <is>
          <t>JÄMTLANDS LÄN</t>
        </is>
      </c>
      <c r="E453" t="inlineStr">
        <is>
          <t>RAGUNDA</t>
        </is>
      </c>
      <c r="F453" t="inlineStr">
        <is>
          <t>SCA</t>
        </is>
      </c>
      <c r="G453" t="n">
        <v>10.3</v>
      </c>
      <c r="H453" t="n">
        <v>0</v>
      </c>
      <c r="I453" t="n">
        <v>0</v>
      </c>
      <c r="J453" t="n">
        <v>0</v>
      </c>
      <c r="K453" t="n">
        <v>0</v>
      </c>
      <c r="L453" t="n">
        <v>0</v>
      </c>
      <c r="M453" t="n">
        <v>0</v>
      </c>
      <c r="N453" t="n">
        <v>0</v>
      </c>
      <c r="O453" t="n">
        <v>0</v>
      </c>
      <c r="P453" t="n">
        <v>0</v>
      </c>
      <c r="Q453" t="n">
        <v>0</v>
      </c>
      <c r="R453" s="2" t="inlineStr"/>
    </row>
    <row r="454" ht="15" customHeight="1">
      <c r="A454" t="inlineStr">
        <is>
          <t>A 63708-2023</t>
        </is>
      </c>
      <c r="B454" s="1" t="n">
        <v>45275.95060185185</v>
      </c>
      <c r="C454" s="1" t="n">
        <v>46049</v>
      </c>
      <c r="D454" t="inlineStr">
        <is>
          <t>JÄMTLANDS LÄN</t>
        </is>
      </c>
      <c r="E454" t="inlineStr">
        <is>
          <t>RAGUNDA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26651-2024</t>
        </is>
      </c>
      <c r="B455" s="1" t="n">
        <v>45469.94876157407</v>
      </c>
      <c r="C455" s="1" t="n">
        <v>46049</v>
      </c>
      <c r="D455" t="inlineStr">
        <is>
          <t>JÄMTLANDS LÄN</t>
        </is>
      </c>
      <c r="E455" t="inlineStr">
        <is>
          <t>RAGUNDA</t>
        </is>
      </c>
      <c r="F455" t="inlineStr">
        <is>
          <t>SCA</t>
        </is>
      </c>
      <c r="G455" t="n">
        <v>10.4</v>
      </c>
      <c r="H455" t="n">
        <v>0</v>
      </c>
      <c r="I455" t="n">
        <v>0</v>
      </c>
      <c r="J455" t="n">
        <v>0</v>
      </c>
      <c r="K455" t="n">
        <v>0</v>
      </c>
      <c r="L455" t="n">
        <v>0</v>
      </c>
      <c r="M455" t="n">
        <v>0</v>
      </c>
      <c r="N455" t="n">
        <v>0</v>
      </c>
      <c r="O455" t="n">
        <v>0</v>
      </c>
      <c r="P455" t="n">
        <v>0</v>
      </c>
      <c r="Q455" t="n">
        <v>0</v>
      </c>
      <c r="R455" s="2" t="inlineStr"/>
    </row>
    <row r="456" ht="15" customHeight="1">
      <c r="A456" t="inlineStr">
        <is>
          <t>A 2224-2024</t>
        </is>
      </c>
      <c r="B456" s="1" t="n">
        <v>45309.92524305556</v>
      </c>
      <c r="C456" s="1" t="n">
        <v>46049</v>
      </c>
      <c r="D456" t="inlineStr">
        <is>
          <t>JÄMTLANDS LÄN</t>
        </is>
      </c>
      <c r="E456" t="inlineStr">
        <is>
          <t>RAGUNDA</t>
        </is>
      </c>
      <c r="G456" t="n">
        <v>0.9</v>
      </c>
      <c r="H456" t="n">
        <v>0</v>
      </c>
      <c r="I456" t="n">
        <v>0</v>
      </c>
      <c r="J456" t="n">
        <v>0</v>
      </c>
      <c r="K456" t="n">
        <v>0</v>
      </c>
      <c r="L456" t="n">
        <v>0</v>
      </c>
      <c r="M456" t="n">
        <v>0</v>
      </c>
      <c r="N456" t="n">
        <v>0</v>
      </c>
      <c r="O456" t="n">
        <v>0</v>
      </c>
      <c r="P456" t="n">
        <v>0</v>
      </c>
      <c r="Q456" t="n">
        <v>0</v>
      </c>
      <c r="R456" s="2" t="inlineStr"/>
    </row>
    <row r="457" ht="15" customHeight="1">
      <c r="A457" t="inlineStr">
        <is>
          <t>A 50486-2023</t>
        </is>
      </c>
      <c r="B457" s="1" t="n">
        <v>45216.92424768519</v>
      </c>
      <c r="C457" s="1" t="n">
        <v>46049</v>
      </c>
      <c r="D457" t="inlineStr">
        <is>
          <t>JÄMTLANDS LÄN</t>
        </is>
      </c>
      <c r="E457" t="inlineStr">
        <is>
          <t>RAGUNDA</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9084-2023</t>
        </is>
      </c>
      <c r="B458" s="1" t="n">
        <v>44979</v>
      </c>
      <c r="C458" s="1" t="n">
        <v>46049</v>
      </c>
      <c r="D458" t="inlineStr">
        <is>
          <t>JÄMTLANDS LÄN</t>
        </is>
      </c>
      <c r="E458" t="inlineStr">
        <is>
          <t>RAGUNDA</t>
        </is>
      </c>
      <c r="G458" t="n">
        <v>1.9</v>
      </c>
      <c r="H458" t="n">
        <v>0</v>
      </c>
      <c r="I458" t="n">
        <v>0</v>
      </c>
      <c r="J458" t="n">
        <v>0</v>
      </c>
      <c r="K458" t="n">
        <v>0</v>
      </c>
      <c r="L458" t="n">
        <v>0</v>
      </c>
      <c r="M458" t="n">
        <v>0</v>
      </c>
      <c r="N458" t="n">
        <v>0</v>
      </c>
      <c r="O458" t="n">
        <v>0</v>
      </c>
      <c r="P458" t="n">
        <v>0</v>
      </c>
      <c r="Q458" t="n">
        <v>0</v>
      </c>
      <c r="R458" s="2" t="inlineStr"/>
    </row>
    <row r="459" ht="15" customHeight="1">
      <c r="A459" t="inlineStr">
        <is>
          <t>A 32259-2024</t>
        </is>
      </c>
      <c r="B459" s="1" t="n">
        <v>45511</v>
      </c>
      <c r="C459" s="1" t="n">
        <v>46049</v>
      </c>
      <c r="D459" t="inlineStr">
        <is>
          <t>JÄMTLANDS LÄN</t>
        </is>
      </c>
      <c r="E459" t="inlineStr">
        <is>
          <t>RAGUNDA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19613-2023</t>
        </is>
      </c>
      <c r="B460" s="1" t="n">
        <v>45050.94020833333</v>
      </c>
      <c r="C460" s="1" t="n">
        <v>46049</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9360-2023</t>
        </is>
      </c>
      <c r="B461" s="1" t="n">
        <v>44980.93865740741</v>
      </c>
      <c r="C461" s="1" t="n">
        <v>46049</v>
      </c>
      <c r="D461" t="inlineStr">
        <is>
          <t>JÄMTLANDS LÄN</t>
        </is>
      </c>
      <c r="E461" t="inlineStr">
        <is>
          <t>RAGUNDA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66706-2021</t>
        </is>
      </c>
      <c r="B462" s="1" t="n">
        <v>44519.94440972222</v>
      </c>
      <c r="C462" s="1" t="n">
        <v>46049</v>
      </c>
      <c r="D462" t="inlineStr">
        <is>
          <t>JÄMTLANDS LÄN</t>
        </is>
      </c>
      <c r="E462" t="inlineStr">
        <is>
          <t>RAGUNDA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25994-2025</t>
        </is>
      </c>
      <c r="B463" s="1" t="n">
        <v>45804.65672453704</v>
      </c>
      <c r="C463" s="1" t="n">
        <v>46049</v>
      </c>
      <c r="D463" t="inlineStr">
        <is>
          <t>JÄMTLANDS LÄN</t>
        </is>
      </c>
      <c r="E463" t="inlineStr">
        <is>
          <t>RAGUNDA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18778-2024</t>
        </is>
      </c>
      <c r="B464" s="1" t="n">
        <v>45426</v>
      </c>
      <c r="C464" s="1" t="n">
        <v>46049</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18781-2024</t>
        </is>
      </c>
      <c r="B465" s="1" t="n">
        <v>45426</v>
      </c>
      <c r="C465" s="1" t="n">
        <v>46049</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26283-2025</t>
        </is>
      </c>
      <c r="B466" s="1" t="n">
        <v>45805.61495370371</v>
      </c>
      <c r="C466" s="1" t="n">
        <v>46049</v>
      </c>
      <c r="D466" t="inlineStr">
        <is>
          <t>JÄMTLANDS LÄN</t>
        </is>
      </c>
      <c r="E466" t="inlineStr">
        <is>
          <t>RAGUNDA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17248-2023</t>
        </is>
      </c>
      <c r="B467" s="1" t="n">
        <v>45033</v>
      </c>
      <c r="C467" s="1" t="n">
        <v>46049</v>
      </c>
      <c r="D467" t="inlineStr">
        <is>
          <t>JÄMTLANDS LÄN</t>
        </is>
      </c>
      <c r="E467" t="inlineStr">
        <is>
          <t>RAGUNDA</t>
        </is>
      </c>
      <c r="G467" t="n">
        <v>3</v>
      </c>
      <c r="H467" t="n">
        <v>0</v>
      </c>
      <c r="I467" t="n">
        <v>0</v>
      </c>
      <c r="J467" t="n">
        <v>0</v>
      </c>
      <c r="K467" t="n">
        <v>0</v>
      </c>
      <c r="L467" t="n">
        <v>0</v>
      </c>
      <c r="M467" t="n">
        <v>0</v>
      </c>
      <c r="N467" t="n">
        <v>0</v>
      </c>
      <c r="O467" t="n">
        <v>0</v>
      </c>
      <c r="P467" t="n">
        <v>0</v>
      </c>
      <c r="Q467" t="n">
        <v>0</v>
      </c>
      <c r="R467" s="2" t="inlineStr"/>
    </row>
    <row r="468" ht="15" customHeight="1">
      <c r="A468" t="inlineStr">
        <is>
          <t>A 53263-2024</t>
        </is>
      </c>
      <c r="B468" s="1" t="n">
        <v>45614.34541666666</v>
      </c>
      <c r="C468" s="1" t="n">
        <v>46049</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24258-2025</t>
        </is>
      </c>
      <c r="B469" s="1" t="n">
        <v>45797.40800925926</v>
      </c>
      <c r="C469" s="1" t="n">
        <v>46049</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58630-2024</t>
        </is>
      </c>
      <c r="B470" s="1" t="n">
        <v>45635.57331018519</v>
      </c>
      <c r="C470" s="1" t="n">
        <v>46049</v>
      </c>
      <c r="D470" t="inlineStr">
        <is>
          <t>JÄMTLANDS LÄN</t>
        </is>
      </c>
      <c r="E470" t="inlineStr">
        <is>
          <t>RAGUNDA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26172-2025</t>
        </is>
      </c>
      <c r="B471" s="1" t="n">
        <v>45805.46613425926</v>
      </c>
      <c r="C471" s="1" t="n">
        <v>46049</v>
      </c>
      <c r="D471" t="inlineStr">
        <is>
          <t>JÄMTLANDS LÄN</t>
        </is>
      </c>
      <c r="E471" t="inlineStr">
        <is>
          <t>RAGUNDA</t>
        </is>
      </c>
      <c r="G471" t="n">
        <v>2.1</v>
      </c>
      <c r="H471" t="n">
        <v>0</v>
      </c>
      <c r="I471" t="n">
        <v>0</v>
      </c>
      <c r="J471" t="n">
        <v>0</v>
      </c>
      <c r="K471" t="n">
        <v>0</v>
      </c>
      <c r="L471" t="n">
        <v>0</v>
      </c>
      <c r="M471" t="n">
        <v>0</v>
      </c>
      <c r="N471" t="n">
        <v>0</v>
      </c>
      <c r="O471" t="n">
        <v>0</v>
      </c>
      <c r="P471" t="n">
        <v>0</v>
      </c>
      <c r="Q471" t="n">
        <v>0</v>
      </c>
      <c r="R471" s="2" t="inlineStr"/>
    </row>
    <row r="472" ht="15" customHeight="1">
      <c r="A472" t="inlineStr">
        <is>
          <t>A 14896-2022</t>
        </is>
      </c>
      <c r="B472" s="1" t="n">
        <v>44656</v>
      </c>
      <c r="C472" s="1" t="n">
        <v>46049</v>
      </c>
      <c r="D472" t="inlineStr">
        <is>
          <t>JÄMTLANDS LÄN</t>
        </is>
      </c>
      <c r="E472" t="inlineStr">
        <is>
          <t>RAGUNDA</t>
        </is>
      </c>
      <c r="F472" t="inlineStr">
        <is>
          <t>SCA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11551-2024</t>
        </is>
      </c>
      <c r="B473" s="1" t="n">
        <v>45372.95762731481</v>
      </c>
      <c r="C473" s="1" t="n">
        <v>46049</v>
      </c>
      <c r="D473" t="inlineStr">
        <is>
          <t>JÄMTLANDS LÄN</t>
        </is>
      </c>
      <c r="E473" t="inlineStr">
        <is>
          <t>RAGUNDA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10788-2025</t>
        </is>
      </c>
      <c r="B474" s="1" t="n">
        <v>45722.48982638889</v>
      </c>
      <c r="C474" s="1" t="n">
        <v>46049</v>
      </c>
      <c r="D474" t="inlineStr">
        <is>
          <t>JÄMTLANDS LÄN</t>
        </is>
      </c>
      <c r="E474" t="inlineStr">
        <is>
          <t>RAGUNDA</t>
        </is>
      </c>
      <c r="G474" t="n">
        <v>3.5</v>
      </c>
      <c r="H474" t="n">
        <v>0</v>
      </c>
      <c r="I474" t="n">
        <v>0</v>
      </c>
      <c r="J474" t="n">
        <v>0</v>
      </c>
      <c r="K474" t="n">
        <v>0</v>
      </c>
      <c r="L474" t="n">
        <v>0</v>
      </c>
      <c r="M474" t="n">
        <v>0</v>
      </c>
      <c r="N474" t="n">
        <v>0</v>
      </c>
      <c r="O474" t="n">
        <v>0</v>
      </c>
      <c r="P474" t="n">
        <v>0</v>
      </c>
      <c r="Q474" t="n">
        <v>0</v>
      </c>
      <c r="R474" s="2" t="inlineStr"/>
    </row>
    <row r="475" ht="15" customHeight="1">
      <c r="A475" t="inlineStr">
        <is>
          <t>A 26246-2025</t>
        </is>
      </c>
      <c r="B475" s="1" t="n">
        <v>45805.57390046296</v>
      </c>
      <c r="C475" s="1" t="n">
        <v>46049</v>
      </c>
      <c r="D475" t="inlineStr">
        <is>
          <t>JÄMTLANDS LÄN</t>
        </is>
      </c>
      <c r="E475" t="inlineStr">
        <is>
          <t>RAGUNDA</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2001-2025</t>
        </is>
      </c>
      <c r="B476" s="1" t="n">
        <v>45672.44898148148</v>
      </c>
      <c r="C476" s="1" t="n">
        <v>46049</v>
      </c>
      <c r="D476" t="inlineStr">
        <is>
          <t>JÄMTLANDS LÄN</t>
        </is>
      </c>
      <c r="E476" t="inlineStr">
        <is>
          <t>RAGUNDA</t>
        </is>
      </c>
      <c r="F476" t="inlineStr">
        <is>
          <t>SCA</t>
        </is>
      </c>
      <c r="G476" t="n">
        <v>16.2</v>
      </c>
      <c r="H476" t="n">
        <v>0</v>
      </c>
      <c r="I476" t="n">
        <v>0</v>
      </c>
      <c r="J476" t="n">
        <v>0</v>
      </c>
      <c r="K476" t="n">
        <v>0</v>
      </c>
      <c r="L476" t="n">
        <v>0</v>
      </c>
      <c r="M476" t="n">
        <v>0</v>
      </c>
      <c r="N476" t="n">
        <v>0</v>
      </c>
      <c r="O476" t="n">
        <v>0</v>
      </c>
      <c r="P476" t="n">
        <v>0</v>
      </c>
      <c r="Q476" t="n">
        <v>0</v>
      </c>
      <c r="R476" s="2" t="inlineStr"/>
    </row>
    <row r="477" ht="15" customHeight="1">
      <c r="A477" t="inlineStr">
        <is>
          <t>A 57839-2022</t>
        </is>
      </c>
      <c r="B477" s="1" t="n">
        <v>44897</v>
      </c>
      <c r="C477" s="1" t="n">
        <v>46049</v>
      </c>
      <c r="D477" t="inlineStr">
        <is>
          <t>JÄMTLANDS LÄN</t>
        </is>
      </c>
      <c r="E477" t="inlineStr">
        <is>
          <t>RAGUNDA</t>
        </is>
      </c>
      <c r="F477" t="inlineStr">
        <is>
          <t>SCA</t>
        </is>
      </c>
      <c r="G477" t="n">
        <v>8.5</v>
      </c>
      <c r="H477" t="n">
        <v>0</v>
      </c>
      <c r="I477" t="n">
        <v>0</v>
      </c>
      <c r="J477" t="n">
        <v>0</v>
      </c>
      <c r="K477" t="n">
        <v>0</v>
      </c>
      <c r="L477" t="n">
        <v>0</v>
      </c>
      <c r="M477" t="n">
        <v>0</v>
      </c>
      <c r="N477" t="n">
        <v>0</v>
      </c>
      <c r="O477" t="n">
        <v>0</v>
      </c>
      <c r="P477" t="n">
        <v>0</v>
      </c>
      <c r="Q477" t="n">
        <v>0</v>
      </c>
      <c r="R477" s="2" t="inlineStr"/>
    </row>
    <row r="478" ht="15" customHeight="1">
      <c r="A478" t="inlineStr">
        <is>
          <t>A 60663-2022</t>
        </is>
      </c>
      <c r="B478" s="1" t="n">
        <v>44911.93846064815</v>
      </c>
      <c r="C478" s="1" t="n">
        <v>46049</v>
      </c>
      <c r="D478" t="inlineStr">
        <is>
          <t>JÄMTLANDS LÄN</t>
        </is>
      </c>
      <c r="E478" t="inlineStr">
        <is>
          <t>RAGUNDA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73278-2021</t>
        </is>
      </c>
      <c r="B479" s="1" t="n">
        <v>44550.92168981482</v>
      </c>
      <c r="C479" s="1" t="n">
        <v>46049</v>
      </c>
      <c r="D479" t="inlineStr">
        <is>
          <t>JÄMTLANDS LÄN</t>
        </is>
      </c>
      <c r="E479" t="inlineStr">
        <is>
          <t>RAGUNDA</t>
        </is>
      </c>
      <c r="G479" t="n">
        <v>4.4</v>
      </c>
      <c r="H479" t="n">
        <v>0</v>
      </c>
      <c r="I479" t="n">
        <v>0</v>
      </c>
      <c r="J479" t="n">
        <v>0</v>
      </c>
      <c r="K479" t="n">
        <v>0</v>
      </c>
      <c r="L479" t="n">
        <v>0</v>
      </c>
      <c r="M479" t="n">
        <v>0</v>
      </c>
      <c r="N479" t="n">
        <v>0</v>
      </c>
      <c r="O479" t="n">
        <v>0</v>
      </c>
      <c r="P479" t="n">
        <v>0</v>
      </c>
      <c r="Q479" t="n">
        <v>0</v>
      </c>
      <c r="R479" s="2" t="inlineStr"/>
    </row>
    <row r="480" ht="15" customHeight="1">
      <c r="A480" t="inlineStr">
        <is>
          <t>A 51396-2024</t>
        </is>
      </c>
      <c r="B480" s="1" t="n">
        <v>45604.4190625</v>
      </c>
      <c r="C480" s="1" t="n">
        <v>46049</v>
      </c>
      <c r="D480" t="inlineStr">
        <is>
          <t>JÄMTLANDS LÄN</t>
        </is>
      </c>
      <c r="E480" t="inlineStr">
        <is>
          <t>RAGUNDA</t>
        </is>
      </c>
      <c r="G480" t="n">
        <v>0.8</v>
      </c>
      <c r="H480" t="n">
        <v>0</v>
      </c>
      <c r="I480" t="n">
        <v>0</v>
      </c>
      <c r="J480" t="n">
        <v>0</v>
      </c>
      <c r="K480" t="n">
        <v>0</v>
      </c>
      <c r="L480" t="n">
        <v>0</v>
      </c>
      <c r="M480" t="n">
        <v>0</v>
      </c>
      <c r="N480" t="n">
        <v>0</v>
      </c>
      <c r="O480" t="n">
        <v>0</v>
      </c>
      <c r="P480" t="n">
        <v>0</v>
      </c>
      <c r="Q480" t="n">
        <v>0</v>
      </c>
      <c r="R480" s="2" t="inlineStr"/>
    </row>
    <row r="481" ht="15" customHeight="1">
      <c r="A481" t="inlineStr">
        <is>
          <t>A 26640-2025</t>
        </is>
      </c>
      <c r="B481" s="1" t="n">
        <v>45810.36495370371</v>
      </c>
      <c r="C481" s="1" t="n">
        <v>46049</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59496-2024</t>
        </is>
      </c>
      <c r="B482" s="1" t="n">
        <v>45638</v>
      </c>
      <c r="C482" s="1" t="n">
        <v>46049</v>
      </c>
      <c r="D482" t="inlineStr">
        <is>
          <t>JÄMTLANDS LÄN</t>
        </is>
      </c>
      <c r="E482" t="inlineStr">
        <is>
          <t>RAGUNDA</t>
        </is>
      </c>
      <c r="G482" t="n">
        <v>13.1</v>
      </c>
      <c r="H482" t="n">
        <v>0</v>
      </c>
      <c r="I482" t="n">
        <v>0</v>
      </c>
      <c r="J482" t="n">
        <v>0</v>
      </c>
      <c r="K482" t="n">
        <v>0</v>
      </c>
      <c r="L482" t="n">
        <v>0</v>
      </c>
      <c r="M482" t="n">
        <v>0</v>
      </c>
      <c r="N482" t="n">
        <v>0</v>
      </c>
      <c r="O482" t="n">
        <v>0</v>
      </c>
      <c r="P482" t="n">
        <v>0</v>
      </c>
      <c r="Q482" t="n">
        <v>0</v>
      </c>
      <c r="R482" s="2" t="inlineStr"/>
    </row>
    <row r="483" ht="15" customHeight="1">
      <c r="A483" t="inlineStr">
        <is>
          <t>A 53762-2023</t>
        </is>
      </c>
      <c r="B483" s="1" t="n">
        <v>45230.96376157407</v>
      </c>
      <c r="C483" s="1" t="n">
        <v>46049</v>
      </c>
      <c r="D483" t="inlineStr">
        <is>
          <t>JÄMTLANDS LÄN</t>
        </is>
      </c>
      <c r="E483" t="inlineStr">
        <is>
          <t>RAGUNDA</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37265-2024</t>
        </is>
      </c>
      <c r="B484" s="1" t="n">
        <v>45540.38564814815</v>
      </c>
      <c r="C484" s="1" t="n">
        <v>46049</v>
      </c>
      <c r="D484" t="inlineStr">
        <is>
          <t>JÄMTLANDS LÄN</t>
        </is>
      </c>
      <c r="E484" t="inlineStr">
        <is>
          <t>RAGUNDA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18612-2024</t>
        </is>
      </c>
      <c r="B485" s="1" t="n">
        <v>45425.96239583333</v>
      </c>
      <c r="C485" s="1" t="n">
        <v>46049</v>
      </c>
      <c r="D485" t="inlineStr">
        <is>
          <t>JÄMTLANDS LÄN</t>
        </is>
      </c>
      <c r="E485" t="inlineStr">
        <is>
          <t>RAGUNDA</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19089-2024</t>
        </is>
      </c>
      <c r="B486" s="1" t="n">
        <v>45428.00471064815</v>
      </c>
      <c r="C486" s="1" t="n">
        <v>46049</v>
      </c>
      <c r="D486" t="inlineStr">
        <is>
          <t>JÄMTLANDS LÄN</t>
        </is>
      </c>
      <c r="E486" t="inlineStr">
        <is>
          <t>RAGUNDA</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48249-2024</t>
        </is>
      </c>
      <c r="B487" s="1" t="n">
        <v>45590.40675925926</v>
      </c>
      <c r="C487" s="1" t="n">
        <v>46049</v>
      </c>
      <c r="D487" t="inlineStr">
        <is>
          <t>JÄMTLANDS LÄN</t>
        </is>
      </c>
      <c r="E487" t="inlineStr">
        <is>
          <t>RAGUNDA</t>
        </is>
      </c>
      <c r="F487" t="inlineStr">
        <is>
          <t>SCA</t>
        </is>
      </c>
      <c r="G487" t="n">
        <v>14.4</v>
      </c>
      <c r="H487" t="n">
        <v>0</v>
      </c>
      <c r="I487" t="n">
        <v>0</v>
      </c>
      <c r="J487" t="n">
        <v>0</v>
      </c>
      <c r="K487" t="n">
        <v>0</v>
      </c>
      <c r="L487" t="n">
        <v>0</v>
      </c>
      <c r="M487" t="n">
        <v>0</v>
      </c>
      <c r="N487" t="n">
        <v>0</v>
      </c>
      <c r="O487" t="n">
        <v>0</v>
      </c>
      <c r="P487" t="n">
        <v>0</v>
      </c>
      <c r="Q487" t="n">
        <v>0</v>
      </c>
      <c r="R487" s="2" t="inlineStr"/>
    </row>
    <row r="488" ht="15" customHeight="1">
      <c r="A488" t="inlineStr">
        <is>
          <t>A 61934-2022</t>
        </is>
      </c>
      <c r="B488" s="1" t="n">
        <v>44917</v>
      </c>
      <c r="C488" s="1" t="n">
        <v>46049</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11558-2023</t>
        </is>
      </c>
      <c r="B489" s="1" t="n">
        <v>44993.94958333333</v>
      </c>
      <c r="C489" s="1" t="n">
        <v>46049</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39192-2025</t>
        </is>
      </c>
      <c r="B490" s="1" t="n">
        <v>45888.6775</v>
      </c>
      <c r="C490" s="1" t="n">
        <v>46049</v>
      </c>
      <c r="D490" t="inlineStr">
        <is>
          <t>JÄMTLANDS LÄN</t>
        </is>
      </c>
      <c r="E490" t="inlineStr">
        <is>
          <t>RAGUNDA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49648-2023</t>
        </is>
      </c>
      <c r="B491" s="1" t="n">
        <v>45211.95061342593</v>
      </c>
      <c r="C491" s="1" t="n">
        <v>46049</v>
      </c>
      <c r="D491" t="inlineStr">
        <is>
          <t>JÄMTLANDS LÄN</t>
        </is>
      </c>
      <c r="E491" t="inlineStr">
        <is>
          <t>RAGUNDA</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19404-2025</t>
        </is>
      </c>
      <c r="B492" s="1" t="n">
        <v>45769.67802083334</v>
      </c>
      <c r="C492" s="1" t="n">
        <v>46049</v>
      </c>
      <c r="D492" t="inlineStr">
        <is>
          <t>JÄMTLANDS LÄN</t>
        </is>
      </c>
      <c r="E492" t="inlineStr">
        <is>
          <t>RAGUNDA</t>
        </is>
      </c>
      <c r="F492" t="inlineStr">
        <is>
          <t>SCA</t>
        </is>
      </c>
      <c r="G492" t="n">
        <v>3</v>
      </c>
      <c r="H492" t="n">
        <v>0</v>
      </c>
      <c r="I492" t="n">
        <v>0</v>
      </c>
      <c r="J492" t="n">
        <v>0</v>
      </c>
      <c r="K492" t="n">
        <v>0</v>
      </c>
      <c r="L492" t="n">
        <v>0</v>
      </c>
      <c r="M492" t="n">
        <v>0</v>
      </c>
      <c r="N492" t="n">
        <v>0</v>
      </c>
      <c r="O492" t="n">
        <v>0</v>
      </c>
      <c r="P492" t="n">
        <v>0</v>
      </c>
      <c r="Q492" t="n">
        <v>0</v>
      </c>
      <c r="R492" s="2" t="inlineStr"/>
      <c r="U492">
        <f>HYPERLINK("https://klasma.github.io/Logging_2303/knärot/A 19404-2025 karta knärot.png", "A 19404-2025")</f>
        <v/>
      </c>
      <c r="V492">
        <f>HYPERLINK("https://klasma.github.io/Logging_2303/klagomål/A 19404-2025 FSC-klagomål.docx", "A 19404-2025")</f>
        <v/>
      </c>
      <c r="W492">
        <f>HYPERLINK("https://klasma.github.io/Logging_2303/klagomålsmail/A 19404-2025 FSC-klagomål mail.docx", "A 19404-2025")</f>
        <v/>
      </c>
      <c r="X492">
        <f>HYPERLINK("https://klasma.github.io/Logging_2303/tillsyn/A 19404-2025 tillsynsbegäran.docx", "A 19404-2025")</f>
        <v/>
      </c>
      <c r="Y492">
        <f>HYPERLINK("https://klasma.github.io/Logging_2303/tillsynsmail/A 19404-2025 tillsynsbegäran mail.docx", "A 19404-2025")</f>
        <v/>
      </c>
    </row>
    <row r="493" ht="15" customHeight="1">
      <c r="A493" t="inlineStr">
        <is>
          <t>A 28216-2025</t>
        </is>
      </c>
      <c r="B493" s="1" t="n">
        <v>45818.46898148148</v>
      </c>
      <c r="C493" s="1" t="n">
        <v>46049</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27510-2025</t>
        </is>
      </c>
      <c r="B494" s="1" t="n">
        <v>45813.42790509259</v>
      </c>
      <c r="C494" s="1" t="n">
        <v>46049</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58194-2022</t>
        </is>
      </c>
      <c r="B495" s="1" t="n">
        <v>44900</v>
      </c>
      <c r="C495" s="1" t="n">
        <v>46049</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42875-2024</t>
        </is>
      </c>
      <c r="B496" s="1" t="n">
        <v>45566.68125</v>
      </c>
      <c r="C496" s="1" t="n">
        <v>46049</v>
      </c>
      <c r="D496" t="inlineStr">
        <is>
          <t>JÄMTLANDS LÄN</t>
        </is>
      </c>
      <c r="E496" t="inlineStr">
        <is>
          <t>RAGUNDA</t>
        </is>
      </c>
      <c r="G496" t="n">
        <v>0.5</v>
      </c>
      <c r="H496" t="n">
        <v>0</v>
      </c>
      <c r="I496" t="n">
        <v>0</v>
      </c>
      <c r="J496" t="n">
        <v>0</v>
      </c>
      <c r="K496" t="n">
        <v>0</v>
      </c>
      <c r="L496" t="n">
        <v>0</v>
      </c>
      <c r="M496" t="n">
        <v>0</v>
      </c>
      <c r="N496" t="n">
        <v>0</v>
      </c>
      <c r="O496" t="n">
        <v>0</v>
      </c>
      <c r="P496" t="n">
        <v>0</v>
      </c>
      <c r="Q496" t="n">
        <v>0</v>
      </c>
      <c r="R496" s="2" t="inlineStr"/>
    </row>
    <row r="497" ht="15" customHeight="1">
      <c r="A497" t="inlineStr">
        <is>
          <t>A 15864-2024</t>
        </is>
      </c>
      <c r="B497" s="1" t="n">
        <v>45404.99792824074</v>
      </c>
      <c r="C497" s="1" t="n">
        <v>46049</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c r="U497">
        <f>HYPERLINK("https://klasma.github.io/Logging_2303/knärot/A 15864-2024 karta knärot.png", "A 15864-2024")</f>
        <v/>
      </c>
      <c r="V497">
        <f>HYPERLINK("https://klasma.github.io/Logging_2303/klagomål/A 15864-2024 FSC-klagomål.docx", "A 15864-2024")</f>
        <v/>
      </c>
      <c r="W497">
        <f>HYPERLINK("https://klasma.github.io/Logging_2303/klagomålsmail/A 15864-2024 FSC-klagomål mail.docx", "A 15864-2024")</f>
        <v/>
      </c>
      <c r="X497">
        <f>HYPERLINK("https://klasma.github.io/Logging_2303/tillsyn/A 15864-2024 tillsynsbegäran.docx", "A 15864-2024")</f>
        <v/>
      </c>
      <c r="Y497">
        <f>HYPERLINK("https://klasma.github.io/Logging_2303/tillsynsmail/A 15864-2024 tillsynsbegäran mail.docx", "A 15864-2024")</f>
        <v/>
      </c>
    </row>
    <row r="498" ht="15" customHeight="1">
      <c r="A498" t="inlineStr">
        <is>
          <t>A 4015-2022</t>
        </is>
      </c>
      <c r="B498" s="1" t="n">
        <v>44587.92149305555</v>
      </c>
      <c r="C498" s="1" t="n">
        <v>46049</v>
      </c>
      <c r="D498" t="inlineStr">
        <is>
          <t>JÄMTLANDS LÄN</t>
        </is>
      </c>
      <c r="E498" t="inlineStr">
        <is>
          <t>RAGUNDA</t>
        </is>
      </c>
      <c r="G498" t="n">
        <v>3.9</v>
      </c>
      <c r="H498" t="n">
        <v>0</v>
      </c>
      <c r="I498" t="n">
        <v>0</v>
      </c>
      <c r="J498" t="n">
        <v>0</v>
      </c>
      <c r="K498" t="n">
        <v>0</v>
      </c>
      <c r="L498" t="n">
        <v>0</v>
      </c>
      <c r="M498" t="n">
        <v>0</v>
      </c>
      <c r="N498" t="n">
        <v>0</v>
      </c>
      <c r="O498" t="n">
        <v>0</v>
      </c>
      <c r="P498" t="n">
        <v>0</v>
      </c>
      <c r="Q498" t="n">
        <v>0</v>
      </c>
      <c r="R498" s="2" t="inlineStr"/>
    </row>
    <row r="499" ht="15" customHeight="1">
      <c r="A499" t="inlineStr">
        <is>
          <t>A 2599-2023</t>
        </is>
      </c>
      <c r="B499" s="1" t="n">
        <v>44943.94802083333</v>
      </c>
      <c r="C499" s="1" t="n">
        <v>46049</v>
      </c>
      <c r="D499" t="inlineStr">
        <is>
          <t>JÄMTLANDS LÄN</t>
        </is>
      </c>
      <c r="E499" t="inlineStr">
        <is>
          <t>RAGUNDA</t>
        </is>
      </c>
      <c r="F499" t="inlineStr">
        <is>
          <t>SCA</t>
        </is>
      </c>
      <c r="G499" t="n">
        <v>5.9</v>
      </c>
      <c r="H499" t="n">
        <v>0</v>
      </c>
      <c r="I499" t="n">
        <v>0</v>
      </c>
      <c r="J499" t="n">
        <v>0</v>
      </c>
      <c r="K499" t="n">
        <v>0</v>
      </c>
      <c r="L499" t="n">
        <v>0</v>
      </c>
      <c r="M499" t="n">
        <v>0</v>
      </c>
      <c r="N499" t="n">
        <v>0</v>
      </c>
      <c r="O499" t="n">
        <v>0</v>
      </c>
      <c r="P499" t="n">
        <v>0</v>
      </c>
      <c r="Q499" t="n">
        <v>0</v>
      </c>
      <c r="R499" s="2" t="inlineStr"/>
    </row>
    <row r="500" ht="15" customHeight="1">
      <c r="A500" t="inlineStr">
        <is>
          <t>A 59044-2022</t>
        </is>
      </c>
      <c r="B500" s="1" t="n">
        <v>44903</v>
      </c>
      <c r="C500" s="1" t="n">
        <v>46049</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4014-2022</t>
        </is>
      </c>
      <c r="B501" s="1" t="n">
        <v>44587.92144675926</v>
      </c>
      <c r="C501" s="1" t="n">
        <v>46049</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18989-2025</t>
        </is>
      </c>
      <c r="B502" s="1" t="n">
        <v>45764</v>
      </c>
      <c r="C502" s="1" t="n">
        <v>46049</v>
      </c>
      <c r="D502" t="inlineStr">
        <is>
          <t>JÄMTLANDS LÄN</t>
        </is>
      </c>
      <c r="E502" t="inlineStr">
        <is>
          <t>RAGUNDA</t>
        </is>
      </c>
      <c r="G502" t="n">
        <v>0.9</v>
      </c>
      <c r="H502" t="n">
        <v>0</v>
      </c>
      <c r="I502" t="n">
        <v>0</v>
      </c>
      <c r="J502" t="n">
        <v>0</v>
      </c>
      <c r="K502" t="n">
        <v>0</v>
      </c>
      <c r="L502" t="n">
        <v>0</v>
      </c>
      <c r="M502" t="n">
        <v>0</v>
      </c>
      <c r="N502" t="n">
        <v>0</v>
      </c>
      <c r="O502" t="n">
        <v>0</v>
      </c>
      <c r="P502" t="n">
        <v>0</v>
      </c>
      <c r="Q502" t="n">
        <v>0</v>
      </c>
      <c r="R502" s="2" t="inlineStr"/>
    </row>
    <row r="503" ht="15" customHeight="1">
      <c r="A503" t="inlineStr">
        <is>
          <t>A 8243-2024</t>
        </is>
      </c>
      <c r="B503" s="1" t="n">
        <v>45351.98532407408</v>
      </c>
      <c r="C503" s="1" t="n">
        <v>46049</v>
      </c>
      <c r="D503" t="inlineStr">
        <is>
          <t>JÄMTLANDS LÄN</t>
        </is>
      </c>
      <c r="E503" t="inlineStr">
        <is>
          <t>RAGUNDA</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6902-2024</t>
        </is>
      </c>
      <c r="B504" s="1" t="n">
        <v>45342</v>
      </c>
      <c r="C504" s="1" t="n">
        <v>46049</v>
      </c>
      <c r="D504" t="inlineStr">
        <is>
          <t>JÄMTLANDS LÄN</t>
        </is>
      </c>
      <c r="E504" t="inlineStr">
        <is>
          <t>RAGUNDA</t>
        </is>
      </c>
      <c r="F504" t="inlineStr">
        <is>
          <t>SCA</t>
        </is>
      </c>
      <c r="G504" t="n">
        <v>18.7</v>
      </c>
      <c r="H504" t="n">
        <v>0</v>
      </c>
      <c r="I504" t="n">
        <v>0</v>
      </c>
      <c r="J504" t="n">
        <v>0</v>
      </c>
      <c r="K504" t="n">
        <v>0</v>
      </c>
      <c r="L504" t="n">
        <v>0</v>
      </c>
      <c r="M504" t="n">
        <v>0</v>
      </c>
      <c r="N504" t="n">
        <v>0</v>
      </c>
      <c r="O504" t="n">
        <v>0</v>
      </c>
      <c r="P504" t="n">
        <v>0</v>
      </c>
      <c r="Q504" t="n">
        <v>0</v>
      </c>
      <c r="R504" s="2" t="inlineStr"/>
    </row>
    <row r="505" ht="15" customHeight="1">
      <c r="A505" t="inlineStr">
        <is>
          <t>A 6905-2024</t>
        </is>
      </c>
      <c r="B505" s="1" t="n">
        <v>45342.9462037037</v>
      </c>
      <c r="C505" s="1" t="n">
        <v>46049</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39384-2025</t>
        </is>
      </c>
      <c r="B506" s="1" t="n">
        <v>45889.61517361111</v>
      </c>
      <c r="C506" s="1" t="n">
        <v>46049</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53989-2024</t>
        </is>
      </c>
      <c r="B507" s="1" t="n">
        <v>45616.34479166667</v>
      </c>
      <c r="C507" s="1" t="n">
        <v>46049</v>
      </c>
      <c r="D507" t="inlineStr">
        <is>
          <t>JÄMTLANDS LÄN</t>
        </is>
      </c>
      <c r="E507" t="inlineStr">
        <is>
          <t>RAGUNDA</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42509-2023</t>
        </is>
      </c>
      <c r="B508" s="1" t="n">
        <v>45180</v>
      </c>
      <c r="C508" s="1" t="n">
        <v>46049</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42510-2023</t>
        </is>
      </c>
      <c r="B509" s="1" t="n">
        <v>45180.95927083334</v>
      </c>
      <c r="C509" s="1" t="n">
        <v>46049</v>
      </c>
      <c r="D509" t="inlineStr">
        <is>
          <t>JÄMTLANDS LÄN</t>
        </is>
      </c>
      <c r="E509" t="inlineStr">
        <is>
          <t>RAGUNDA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11048-2023</t>
        </is>
      </c>
      <c r="B510" s="1" t="n">
        <v>44991</v>
      </c>
      <c r="C510" s="1" t="n">
        <v>46049</v>
      </c>
      <c r="D510" t="inlineStr">
        <is>
          <t>JÄMTLANDS LÄN</t>
        </is>
      </c>
      <c r="E510" t="inlineStr">
        <is>
          <t>RAGUNDA</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16364-2023</t>
        </is>
      </c>
      <c r="B511" s="1" t="n">
        <v>45028</v>
      </c>
      <c r="C511" s="1" t="n">
        <v>46049</v>
      </c>
      <c r="D511" t="inlineStr">
        <is>
          <t>JÄMTLANDS LÄN</t>
        </is>
      </c>
      <c r="E511" t="inlineStr">
        <is>
          <t>RAGUNDA</t>
        </is>
      </c>
      <c r="G511" t="n">
        <v>0.5</v>
      </c>
      <c r="H511" t="n">
        <v>0</v>
      </c>
      <c r="I511" t="n">
        <v>0</v>
      </c>
      <c r="J511" t="n">
        <v>0</v>
      </c>
      <c r="K511" t="n">
        <v>0</v>
      </c>
      <c r="L511" t="n">
        <v>0</v>
      </c>
      <c r="M511" t="n">
        <v>0</v>
      </c>
      <c r="N511" t="n">
        <v>0</v>
      </c>
      <c r="O511" t="n">
        <v>0</v>
      </c>
      <c r="P511" t="n">
        <v>0</v>
      </c>
      <c r="Q511" t="n">
        <v>0</v>
      </c>
      <c r="R511" s="2" t="inlineStr"/>
    </row>
    <row r="512" ht="15" customHeight="1">
      <c r="A512" t="inlineStr">
        <is>
          <t>A 39949-2025</t>
        </is>
      </c>
      <c r="B512" s="1" t="n">
        <v>45892.38619212963</v>
      </c>
      <c r="C512" s="1" t="n">
        <v>46049</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39948-2025</t>
        </is>
      </c>
      <c r="B513" s="1" t="n">
        <v>45892.38591435185</v>
      </c>
      <c r="C513" s="1" t="n">
        <v>46049</v>
      </c>
      <c r="D513" t="inlineStr">
        <is>
          <t>JÄMTLANDS LÄN</t>
        </is>
      </c>
      <c r="E513" t="inlineStr">
        <is>
          <t>RAGUNDA</t>
        </is>
      </c>
      <c r="G513" t="n">
        <v>5</v>
      </c>
      <c r="H513" t="n">
        <v>0</v>
      </c>
      <c r="I513" t="n">
        <v>0</v>
      </c>
      <c r="J513" t="n">
        <v>0</v>
      </c>
      <c r="K513" t="n">
        <v>0</v>
      </c>
      <c r="L513" t="n">
        <v>0</v>
      </c>
      <c r="M513" t="n">
        <v>0</v>
      </c>
      <c r="N513" t="n">
        <v>0</v>
      </c>
      <c r="O513" t="n">
        <v>0</v>
      </c>
      <c r="P513" t="n">
        <v>0</v>
      </c>
      <c r="Q513" t="n">
        <v>0</v>
      </c>
      <c r="R513" s="2" t="inlineStr"/>
    </row>
    <row r="514" ht="15" customHeight="1">
      <c r="A514" t="inlineStr">
        <is>
          <t>A 46549-2023</t>
        </is>
      </c>
      <c r="B514" s="1" t="n">
        <v>45197.94171296297</v>
      </c>
      <c r="C514" s="1" t="n">
        <v>46049</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39947-2025</t>
        </is>
      </c>
      <c r="B515" s="1" t="n">
        <v>45892.34438657408</v>
      </c>
      <c r="C515" s="1" t="n">
        <v>46049</v>
      </c>
      <c r="D515" t="inlineStr">
        <is>
          <t>JÄMTLANDS LÄN</t>
        </is>
      </c>
      <c r="E515" t="inlineStr">
        <is>
          <t>RAGUNDA</t>
        </is>
      </c>
      <c r="G515" t="n">
        <v>6.6</v>
      </c>
      <c r="H515" t="n">
        <v>0</v>
      </c>
      <c r="I515" t="n">
        <v>0</v>
      </c>
      <c r="J515" t="n">
        <v>0</v>
      </c>
      <c r="K515" t="n">
        <v>0</v>
      </c>
      <c r="L515" t="n">
        <v>0</v>
      </c>
      <c r="M515" t="n">
        <v>0</v>
      </c>
      <c r="N515" t="n">
        <v>0</v>
      </c>
      <c r="O515" t="n">
        <v>0</v>
      </c>
      <c r="P515" t="n">
        <v>0</v>
      </c>
      <c r="Q515" t="n">
        <v>0</v>
      </c>
      <c r="R515" s="2" t="inlineStr"/>
    </row>
    <row r="516" ht="15" customHeight="1">
      <c r="A516" t="inlineStr">
        <is>
          <t>A 39951-2025</t>
        </is>
      </c>
      <c r="B516" s="1" t="n">
        <v>45892.38657407407</v>
      </c>
      <c r="C516" s="1" t="n">
        <v>46049</v>
      </c>
      <c r="D516" t="inlineStr">
        <is>
          <t>JÄMTLANDS LÄN</t>
        </is>
      </c>
      <c r="E516" t="inlineStr">
        <is>
          <t>RAGUNDA</t>
        </is>
      </c>
      <c r="G516" t="n">
        <v>2.3</v>
      </c>
      <c r="H516" t="n">
        <v>0</v>
      </c>
      <c r="I516" t="n">
        <v>0</v>
      </c>
      <c r="J516" t="n">
        <v>0</v>
      </c>
      <c r="K516" t="n">
        <v>0</v>
      </c>
      <c r="L516" t="n">
        <v>0</v>
      </c>
      <c r="M516" t="n">
        <v>0</v>
      </c>
      <c r="N516" t="n">
        <v>0</v>
      </c>
      <c r="O516" t="n">
        <v>0</v>
      </c>
      <c r="P516" t="n">
        <v>0</v>
      </c>
      <c r="Q516" t="n">
        <v>0</v>
      </c>
      <c r="R516" s="2" t="inlineStr"/>
    </row>
    <row r="517" ht="15" customHeight="1">
      <c r="A517" t="inlineStr">
        <is>
          <t>A 28637-2025</t>
        </is>
      </c>
      <c r="B517" s="1" t="n">
        <v>45819.6359375</v>
      </c>
      <c r="C517" s="1" t="n">
        <v>46049</v>
      </c>
      <c r="D517" t="inlineStr">
        <is>
          <t>JÄMTLANDS LÄN</t>
        </is>
      </c>
      <c r="E517" t="inlineStr">
        <is>
          <t>RAGUNDA</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39946-2025</t>
        </is>
      </c>
      <c r="B518" s="1" t="n">
        <v>45892.34423611111</v>
      </c>
      <c r="C518" s="1" t="n">
        <v>46049</v>
      </c>
      <c r="D518" t="inlineStr">
        <is>
          <t>JÄMTLANDS LÄN</t>
        </is>
      </c>
      <c r="E518" t="inlineStr">
        <is>
          <t>RAGUNDA</t>
        </is>
      </c>
      <c r="G518" t="n">
        <v>4.7</v>
      </c>
      <c r="H518" t="n">
        <v>0</v>
      </c>
      <c r="I518" t="n">
        <v>0</v>
      </c>
      <c r="J518" t="n">
        <v>0</v>
      </c>
      <c r="K518" t="n">
        <v>0</v>
      </c>
      <c r="L518" t="n">
        <v>0</v>
      </c>
      <c r="M518" t="n">
        <v>0</v>
      </c>
      <c r="N518" t="n">
        <v>0</v>
      </c>
      <c r="O518" t="n">
        <v>0</v>
      </c>
      <c r="P518" t="n">
        <v>0</v>
      </c>
      <c r="Q518" t="n">
        <v>0</v>
      </c>
      <c r="R518" s="2" t="inlineStr"/>
    </row>
    <row r="519" ht="15" customHeight="1">
      <c r="A519" t="inlineStr">
        <is>
          <t>A 39950-2025</t>
        </is>
      </c>
      <c r="B519" s="1" t="n">
        <v>45892.38641203703</v>
      </c>
      <c r="C519" s="1" t="n">
        <v>46049</v>
      </c>
      <c r="D519" t="inlineStr">
        <is>
          <t>JÄMTLANDS LÄN</t>
        </is>
      </c>
      <c r="E519" t="inlineStr">
        <is>
          <t>RAGUNDA</t>
        </is>
      </c>
      <c r="G519" t="n">
        <v>1.1</v>
      </c>
      <c r="H519" t="n">
        <v>0</v>
      </c>
      <c r="I519" t="n">
        <v>0</v>
      </c>
      <c r="J519" t="n">
        <v>0</v>
      </c>
      <c r="K519" t="n">
        <v>0</v>
      </c>
      <c r="L519" t="n">
        <v>0</v>
      </c>
      <c r="M519" t="n">
        <v>0</v>
      </c>
      <c r="N519" t="n">
        <v>0</v>
      </c>
      <c r="O519" t="n">
        <v>0</v>
      </c>
      <c r="P519" t="n">
        <v>0</v>
      </c>
      <c r="Q519" t="n">
        <v>0</v>
      </c>
      <c r="R519" s="2" t="inlineStr"/>
    </row>
    <row r="520" ht="15" customHeight="1">
      <c r="A520" t="inlineStr">
        <is>
          <t>A 39955-2025</t>
        </is>
      </c>
      <c r="B520" s="1" t="n">
        <v>45892.44824074074</v>
      </c>
      <c r="C520" s="1" t="n">
        <v>46049</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39956-2025</t>
        </is>
      </c>
      <c r="B521" s="1" t="n">
        <v>45892.44840277778</v>
      </c>
      <c r="C521" s="1" t="n">
        <v>46049</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55214-2022</t>
        </is>
      </c>
      <c r="B522" s="1" t="n">
        <v>44886</v>
      </c>
      <c r="C522" s="1" t="n">
        <v>46049</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46049</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40246-2024</t>
        </is>
      </c>
      <c r="B524" s="1" t="n">
        <v>45554.61583333334</v>
      </c>
      <c r="C524" s="1" t="n">
        <v>46049</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28973-2025</t>
        </is>
      </c>
      <c r="B525" s="1" t="n">
        <v>45821.34513888889</v>
      </c>
      <c r="C525" s="1" t="n">
        <v>46049</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29723-2025</t>
        </is>
      </c>
      <c r="B526" s="1" t="n">
        <v>45825.57675925926</v>
      </c>
      <c r="C526" s="1" t="n">
        <v>46049</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29731-2025</t>
        </is>
      </c>
      <c r="B527" s="1" t="n">
        <v>45825.58252314815</v>
      </c>
      <c r="C527" s="1" t="n">
        <v>46049</v>
      </c>
      <c r="D527" t="inlineStr">
        <is>
          <t>JÄMTLANDS LÄN</t>
        </is>
      </c>
      <c r="E527" t="inlineStr">
        <is>
          <t>RAGUNDA</t>
        </is>
      </c>
      <c r="G527" t="n">
        <v>2.3</v>
      </c>
      <c r="H527" t="n">
        <v>0</v>
      </c>
      <c r="I527" t="n">
        <v>0</v>
      </c>
      <c r="J527" t="n">
        <v>0</v>
      </c>
      <c r="K527" t="n">
        <v>0</v>
      </c>
      <c r="L527" t="n">
        <v>0</v>
      </c>
      <c r="M527" t="n">
        <v>0</v>
      </c>
      <c r="N527" t="n">
        <v>0</v>
      </c>
      <c r="O527" t="n">
        <v>0</v>
      </c>
      <c r="P527" t="n">
        <v>0</v>
      </c>
      <c r="Q527" t="n">
        <v>0</v>
      </c>
      <c r="R527" s="2" t="inlineStr"/>
    </row>
    <row r="528" ht="15" customHeight="1">
      <c r="A528" t="inlineStr">
        <is>
          <t>A 41161-2025</t>
        </is>
      </c>
      <c r="B528" s="1" t="n">
        <v>45898.53193287037</v>
      </c>
      <c r="C528" s="1" t="n">
        <v>46049</v>
      </c>
      <c r="D528" t="inlineStr">
        <is>
          <t>JÄMTLANDS LÄN</t>
        </is>
      </c>
      <c r="E528" t="inlineStr">
        <is>
          <t>RAGUNDA</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21853-2024</t>
        </is>
      </c>
      <c r="B529" s="1" t="n">
        <v>45442.96296296296</v>
      </c>
      <c r="C529" s="1" t="n">
        <v>46049</v>
      </c>
      <c r="D529" t="inlineStr">
        <is>
          <t>JÄMTLANDS LÄN</t>
        </is>
      </c>
      <c r="E529" t="inlineStr">
        <is>
          <t>RAGUNDA</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41140-2025</t>
        </is>
      </c>
      <c r="B530" s="1" t="n">
        <v>45898.49012731481</v>
      </c>
      <c r="C530" s="1" t="n">
        <v>46049</v>
      </c>
      <c r="D530" t="inlineStr">
        <is>
          <t>JÄMTLANDS LÄN</t>
        </is>
      </c>
      <c r="E530" t="inlineStr">
        <is>
          <t>RAGUNDA</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29775-2023</t>
        </is>
      </c>
      <c r="B531" s="1" t="n">
        <v>45098</v>
      </c>
      <c r="C531" s="1" t="n">
        <v>46049</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40365-2024</t>
        </is>
      </c>
      <c r="B532" s="1" t="n">
        <v>45555.38509259259</v>
      </c>
      <c r="C532" s="1" t="n">
        <v>46049</v>
      </c>
      <c r="D532" t="inlineStr">
        <is>
          <t>JÄMTLANDS LÄN</t>
        </is>
      </c>
      <c r="E532" t="inlineStr">
        <is>
          <t>RAGUNDA</t>
        </is>
      </c>
      <c r="G532" t="n">
        <v>7.8</v>
      </c>
      <c r="H532" t="n">
        <v>0</v>
      </c>
      <c r="I532" t="n">
        <v>0</v>
      </c>
      <c r="J532" t="n">
        <v>0</v>
      </c>
      <c r="K532" t="n">
        <v>0</v>
      </c>
      <c r="L532" t="n">
        <v>0</v>
      </c>
      <c r="M532" t="n">
        <v>0</v>
      </c>
      <c r="N532" t="n">
        <v>0</v>
      </c>
      <c r="O532" t="n">
        <v>0</v>
      </c>
      <c r="P532" t="n">
        <v>0</v>
      </c>
      <c r="Q532" t="n">
        <v>0</v>
      </c>
      <c r="R532" s="2" t="inlineStr"/>
    </row>
    <row r="533" ht="15" customHeight="1">
      <c r="A533" t="inlineStr">
        <is>
          <t>A 41233-2025</t>
        </is>
      </c>
      <c r="B533" s="1" t="n">
        <v>45898.59295138889</v>
      </c>
      <c r="C533" s="1" t="n">
        <v>46049</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41262-2025</t>
        </is>
      </c>
      <c r="B534" s="1" t="n">
        <v>45898.61502314815</v>
      </c>
      <c r="C534" s="1" t="n">
        <v>46049</v>
      </c>
      <c r="D534" t="inlineStr">
        <is>
          <t>JÄMTLANDS LÄN</t>
        </is>
      </c>
      <c r="E534" t="inlineStr">
        <is>
          <t>RAGUNDA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30088-2025</t>
        </is>
      </c>
      <c r="B535" s="1" t="n">
        <v>45826.65759259259</v>
      </c>
      <c r="C535" s="1" t="n">
        <v>46049</v>
      </c>
      <c r="D535" t="inlineStr">
        <is>
          <t>JÄMTLANDS LÄN</t>
        </is>
      </c>
      <c r="E535" t="inlineStr">
        <is>
          <t>RAGUNDA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60456-2023</t>
        </is>
      </c>
      <c r="B536" s="1" t="n">
        <v>45258</v>
      </c>
      <c r="C536" s="1" t="n">
        <v>46049</v>
      </c>
      <c r="D536" t="inlineStr">
        <is>
          <t>JÄMTLANDS LÄN</t>
        </is>
      </c>
      <c r="E536" t="inlineStr">
        <is>
          <t>RAGUNDA</t>
        </is>
      </c>
      <c r="G536" t="n">
        <v>1.8</v>
      </c>
      <c r="H536" t="n">
        <v>0</v>
      </c>
      <c r="I536" t="n">
        <v>0</v>
      </c>
      <c r="J536" t="n">
        <v>0</v>
      </c>
      <c r="K536" t="n">
        <v>0</v>
      </c>
      <c r="L536" t="n">
        <v>0</v>
      </c>
      <c r="M536" t="n">
        <v>0</v>
      </c>
      <c r="N536" t="n">
        <v>0</v>
      </c>
      <c r="O536" t="n">
        <v>0</v>
      </c>
      <c r="P536" t="n">
        <v>0</v>
      </c>
      <c r="Q536" t="n">
        <v>0</v>
      </c>
      <c r="R536" s="2" t="inlineStr"/>
    </row>
    <row r="537" ht="15" customHeight="1">
      <c r="A537" t="inlineStr">
        <is>
          <t>A 31463-2024</t>
        </is>
      </c>
      <c r="B537" s="1" t="n">
        <v>45505</v>
      </c>
      <c r="C537" s="1" t="n">
        <v>46049</v>
      </c>
      <c r="D537" t="inlineStr">
        <is>
          <t>JÄMTLANDS LÄN</t>
        </is>
      </c>
      <c r="E537" t="inlineStr">
        <is>
          <t>RAGUNDA</t>
        </is>
      </c>
      <c r="F537" t="inlineStr">
        <is>
          <t>SCA</t>
        </is>
      </c>
      <c r="G537" t="n">
        <v>20.3</v>
      </c>
      <c r="H537" t="n">
        <v>0</v>
      </c>
      <c r="I537" t="n">
        <v>0</v>
      </c>
      <c r="J537" t="n">
        <v>0</v>
      </c>
      <c r="K537" t="n">
        <v>0</v>
      </c>
      <c r="L537" t="n">
        <v>0</v>
      </c>
      <c r="M537" t="n">
        <v>0</v>
      </c>
      <c r="N537" t="n">
        <v>0</v>
      </c>
      <c r="O537" t="n">
        <v>0</v>
      </c>
      <c r="P537" t="n">
        <v>0</v>
      </c>
      <c r="Q537" t="n">
        <v>0</v>
      </c>
      <c r="R537" s="2" t="inlineStr"/>
    </row>
    <row r="538" ht="15" customHeight="1">
      <c r="A538" t="inlineStr">
        <is>
          <t>A 41422-2025</t>
        </is>
      </c>
      <c r="B538" s="1" t="n">
        <v>45901.38572916666</v>
      </c>
      <c r="C538" s="1" t="n">
        <v>46049</v>
      </c>
      <c r="D538" t="inlineStr">
        <is>
          <t>JÄMTLANDS LÄN</t>
        </is>
      </c>
      <c r="E538" t="inlineStr">
        <is>
          <t>RAGUNDA</t>
        </is>
      </c>
      <c r="G538" t="n">
        <v>4.3</v>
      </c>
      <c r="H538" t="n">
        <v>0</v>
      </c>
      <c r="I538" t="n">
        <v>0</v>
      </c>
      <c r="J538" t="n">
        <v>0</v>
      </c>
      <c r="K538" t="n">
        <v>0</v>
      </c>
      <c r="L538" t="n">
        <v>0</v>
      </c>
      <c r="M538" t="n">
        <v>0</v>
      </c>
      <c r="N538" t="n">
        <v>0</v>
      </c>
      <c r="O538" t="n">
        <v>0</v>
      </c>
      <c r="P538" t="n">
        <v>0</v>
      </c>
      <c r="Q538" t="n">
        <v>0</v>
      </c>
      <c r="R538" s="2" t="inlineStr"/>
    </row>
    <row r="539" ht="15" customHeight="1">
      <c r="A539" t="inlineStr">
        <is>
          <t>A 58438-2022</t>
        </is>
      </c>
      <c r="B539" s="1" t="n">
        <v>44901</v>
      </c>
      <c r="C539" s="1" t="n">
        <v>46049</v>
      </c>
      <c r="D539" t="inlineStr">
        <is>
          <t>JÄMTLANDS LÄN</t>
        </is>
      </c>
      <c r="E539" t="inlineStr">
        <is>
          <t>RAGUNDA</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58442-2022</t>
        </is>
      </c>
      <c r="B540" s="1" t="n">
        <v>44901</v>
      </c>
      <c r="C540" s="1" t="n">
        <v>46049</v>
      </c>
      <c r="D540" t="inlineStr">
        <is>
          <t>JÄMTLANDS LÄN</t>
        </is>
      </c>
      <c r="E540" t="inlineStr">
        <is>
          <t>RAGUNDA</t>
        </is>
      </c>
      <c r="F540" t="inlineStr">
        <is>
          <t>SCA</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30348-2025</t>
        </is>
      </c>
      <c r="B541" s="1" t="n">
        <v>45827.53178240741</v>
      </c>
      <c r="C541" s="1" t="n">
        <v>46049</v>
      </c>
      <c r="D541" t="inlineStr">
        <is>
          <t>JÄMTLANDS LÄN</t>
        </is>
      </c>
      <c r="E541" t="inlineStr">
        <is>
          <t>RAGUNDA</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30434-2025</t>
        </is>
      </c>
      <c r="B542" s="1" t="n">
        <v>45827.63582175926</v>
      </c>
      <c r="C542" s="1" t="n">
        <v>46049</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41423-2025</t>
        </is>
      </c>
      <c r="B543" s="1" t="n">
        <v>45901.38578703703</v>
      </c>
      <c r="C543" s="1" t="n">
        <v>46049</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41656-2025</t>
        </is>
      </c>
      <c r="B544" s="1" t="n">
        <v>45902.34423611111</v>
      </c>
      <c r="C544" s="1" t="n">
        <v>46049</v>
      </c>
      <c r="D544" t="inlineStr">
        <is>
          <t>JÄMTLANDS LÄN</t>
        </is>
      </c>
      <c r="E544" t="inlineStr">
        <is>
          <t>RAGUNDA</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41424-2025</t>
        </is>
      </c>
      <c r="B545" s="1" t="n">
        <v>45901.38584490741</v>
      </c>
      <c r="C545" s="1" t="n">
        <v>46049</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49229-2024</t>
        </is>
      </c>
      <c r="B546" s="1" t="n">
        <v>45595.42738425926</v>
      </c>
      <c r="C546" s="1" t="n">
        <v>46049</v>
      </c>
      <c r="D546" t="inlineStr">
        <is>
          <t>JÄMTLANDS LÄN</t>
        </is>
      </c>
      <c r="E546" t="inlineStr">
        <is>
          <t>RAGUNDA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55524-2024</t>
        </is>
      </c>
      <c r="B547" s="1" t="n">
        <v>45622.47435185185</v>
      </c>
      <c r="C547" s="1" t="n">
        <v>46049</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19419-2024</t>
        </is>
      </c>
      <c r="B548" s="1" t="n">
        <v>45429</v>
      </c>
      <c r="C548" s="1" t="n">
        <v>46049</v>
      </c>
      <c r="D548" t="inlineStr">
        <is>
          <t>JÄMTLANDS LÄN</t>
        </is>
      </c>
      <c r="E548" t="inlineStr">
        <is>
          <t>RAGUNDA</t>
        </is>
      </c>
      <c r="G548" t="n">
        <v>3.5</v>
      </c>
      <c r="H548" t="n">
        <v>0</v>
      </c>
      <c r="I548" t="n">
        <v>0</v>
      </c>
      <c r="J548" t="n">
        <v>0</v>
      </c>
      <c r="K548" t="n">
        <v>0</v>
      </c>
      <c r="L548" t="n">
        <v>0</v>
      </c>
      <c r="M548" t="n">
        <v>0</v>
      </c>
      <c r="N548" t="n">
        <v>0</v>
      </c>
      <c r="O548" t="n">
        <v>0</v>
      </c>
      <c r="P548" t="n">
        <v>0</v>
      </c>
      <c r="Q548" t="n">
        <v>0</v>
      </c>
      <c r="R548" s="2" t="inlineStr"/>
    </row>
    <row r="549" ht="15" customHeight="1">
      <c r="A549" t="inlineStr">
        <is>
          <t>A 30883-2025</t>
        </is>
      </c>
      <c r="B549" s="1" t="n">
        <v>45832.34552083333</v>
      </c>
      <c r="C549" s="1" t="n">
        <v>46049</v>
      </c>
      <c r="D549" t="inlineStr">
        <is>
          <t>JÄMTLANDS LÄN</t>
        </is>
      </c>
      <c r="E549" t="inlineStr">
        <is>
          <t>RAGUNDA</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30880-2025</t>
        </is>
      </c>
      <c r="B550" s="1" t="n">
        <v>45832.34524305556</v>
      </c>
      <c r="C550" s="1" t="n">
        <v>46049</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30887-2025</t>
        </is>
      </c>
      <c r="B551" s="1" t="n">
        <v>45832.3459375</v>
      </c>
      <c r="C551" s="1" t="n">
        <v>46049</v>
      </c>
      <c r="D551" t="inlineStr">
        <is>
          <t>JÄMTLANDS LÄN</t>
        </is>
      </c>
      <c r="E551" t="inlineStr">
        <is>
          <t>RAGUNDA</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41876-2025</t>
        </is>
      </c>
      <c r="B552" s="1" t="n">
        <v>45903.34555555556</v>
      </c>
      <c r="C552" s="1" t="n">
        <v>46049</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46049</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31882-2025</t>
        </is>
      </c>
      <c r="B554" s="1" t="n">
        <v>45834.65662037037</v>
      </c>
      <c r="C554" s="1" t="n">
        <v>46049</v>
      </c>
      <c r="D554" t="inlineStr">
        <is>
          <t>JÄMTLANDS LÄN</t>
        </is>
      </c>
      <c r="E554" t="inlineStr">
        <is>
          <t>RAGUNDA</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46211-2024</t>
        </is>
      </c>
      <c r="B555" s="1" t="n">
        <v>45581.55260416667</v>
      </c>
      <c r="C555" s="1" t="n">
        <v>46049</v>
      </c>
      <c r="D555" t="inlineStr">
        <is>
          <t>JÄMTLANDS LÄN</t>
        </is>
      </c>
      <c r="E555" t="inlineStr">
        <is>
          <t>RAGUNDA</t>
        </is>
      </c>
      <c r="G555" t="n">
        <v>7.3</v>
      </c>
      <c r="H555" t="n">
        <v>0</v>
      </c>
      <c r="I555" t="n">
        <v>0</v>
      </c>
      <c r="J555" t="n">
        <v>0</v>
      </c>
      <c r="K555" t="n">
        <v>0</v>
      </c>
      <c r="L555" t="n">
        <v>0</v>
      </c>
      <c r="M555" t="n">
        <v>0</v>
      </c>
      <c r="N555" t="n">
        <v>0</v>
      </c>
      <c r="O555" t="n">
        <v>0</v>
      </c>
      <c r="P555" t="n">
        <v>0</v>
      </c>
      <c r="Q555" t="n">
        <v>0</v>
      </c>
      <c r="R555" s="2" t="inlineStr"/>
    </row>
    <row r="556" ht="15" customHeight="1">
      <c r="A556" t="inlineStr">
        <is>
          <t>A 8679-2023</t>
        </is>
      </c>
      <c r="B556" s="1" t="n">
        <v>44977.98670138889</v>
      </c>
      <c r="C556" s="1" t="n">
        <v>46049</v>
      </c>
      <c r="D556" t="inlineStr">
        <is>
          <t>JÄMTLANDS LÄN</t>
        </is>
      </c>
      <c r="E556" t="inlineStr">
        <is>
          <t>RAGUNDA</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14158-2024</t>
        </is>
      </c>
      <c r="B557" s="1" t="n">
        <v>45392</v>
      </c>
      <c r="C557" s="1" t="n">
        <v>46049</v>
      </c>
      <c r="D557" t="inlineStr">
        <is>
          <t>JÄMTLANDS LÄN</t>
        </is>
      </c>
      <c r="E557" t="inlineStr">
        <is>
          <t>RAGUNDA</t>
        </is>
      </c>
      <c r="G557" t="n">
        <v>0.7</v>
      </c>
      <c r="H557" t="n">
        <v>0</v>
      </c>
      <c r="I557" t="n">
        <v>0</v>
      </c>
      <c r="J557" t="n">
        <v>0</v>
      </c>
      <c r="K557" t="n">
        <v>0</v>
      </c>
      <c r="L557" t="n">
        <v>0</v>
      </c>
      <c r="M557" t="n">
        <v>0</v>
      </c>
      <c r="N557" t="n">
        <v>0</v>
      </c>
      <c r="O557" t="n">
        <v>0</v>
      </c>
      <c r="P557" t="n">
        <v>0</v>
      </c>
      <c r="Q557" t="n">
        <v>0</v>
      </c>
      <c r="R557" s="2" t="inlineStr"/>
    </row>
    <row r="558" ht="15" customHeight="1">
      <c r="A558" t="inlineStr">
        <is>
          <t>A 33763-2025</t>
        </is>
      </c>
      <c r="B558" s="1" t="n">
        <v>45842.38579861111</v>
      </c>
      <c r="C558" s="1" t="n">
        <v>46049</v>
      </c>
      <c r="D558" t="inlineStr">
        <is>
          <t>JÄMTLANDS LÄN</t>
        </is>
      </c>
      <c r="E558" t="inlineStr">
        <is>
          <t>RAGUNDA</t>
        </is>
      </c>
      <c r="F558" t="inlineStr">
        <is>
          <t>SCA</t>
        </is>
      </c>
      <c r="G558" t="n">
        <v>13.4</v>
      </c>
      <c r="H558" t="n">
        <v>0</v>
      </c>
      <c r="I558" t="n">
        <v>0</v>
      </c>
      <c r="J558" t="n">
        <v>0</v>
      </c>
      <c r="K558" t="n">
        <v>0</v>
      </c>
      <c r="L558" t="n">
        <v>0</v>
      </c>
      <c r="M558" t="n">
        <v>0</v>
      </c>
      <c r="N558" t="n">
        <v>0</v>
      </c>
      <c r="O558" t="n">
        <v>0</v>
      </c>
      <c r="P558" t="n">
        <v>0</v>
      </c>
      <c r="Q558" t="n">
        <v>0</v>
      </c>
      <c r="R558" s="2" t="inlineStr"/>
    </row>
    <row r="559" ht="15" customHeight="1">
      <c r="A559" t="inlineStr">
        <is>
          <t>A 55649-2023</t>
        </is>
      </c>
      <c r="B559" s="1" t="n">
        <v>45238</v>
      </c>
      <c r="C559" s="1" t="n">
        <v>46049</v>
      </c>
      <c r="D559" t="inlineStr">
        <is>
          <t>JÄMTLANDS LÄN</t>
        </is>
      </c>
      <c r="E559" t="inlineStr">
        <is>
          <t>RAGUNDA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32762-2025</t>
        </is>
      </c>
      <c r="B560" s="1" t="n">
        <v>45838</v>
      </c>
      <c r="C560" s="1" t="n">
        <v>46049</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53769-2023</t>
        </is>
      </c>
      <c r="B561" s="1" t="n">
        <v>45230</v>
      </c>
      <c r="C561" s="1" t="n">
        <v>46049</v>
      </c>
      <c r="D561" t="inlineStr">
        <is>
          <t>JÄMTLANDS LÄN</t>
        </is>
      </c>
      <c r="E561" t="inlineStr">
        <is>
          <t>RAGUNDA</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32306-2025</t>
        </is>
      </c>
      <c r="B562" s="1" t="n">
        <v>45835.72046296296</v>
      </c>
      <c r="C562" s="1" t="n">
        <v>46049</v>
      </c>
      <c r="D562" t="inlineStr">
        <is>
          <t>JÄMTLANDS LÄN</t>
        </is>
      </c>
      <c r="E562" t="inlineStr">
        <is>
          <t>RAGUNDA</t>
        </is>
      </c>
      <c r="G562" t="n">
        <v>10.2</v>
      </c>
      <c r="H562" t="n">
        <v>0</v>
      </c>
      <c r="I562" t="n">
        <v>0</v>
      </c>
      <c r="J562" t="n">
        <v>0</v>
      </c>
      <c r="K562" t="n">
        <v>0</v>
      </c>
      <c r="L562" t="n">
        <v>0</v>
      </c>
      <c r="M562" t="n">
        <v>0</v>
      </c>
      <c r="N562" t="n">
        <v>0</v>
      </c>
      <c r="O562" t="n">
        <v>0</v>
      </c>
      <c r="P562" t="n">
        <v>0</v>
      </c>
      <c r="Q562" t="n">
        <v>0</v>
      </c>
      <c r="R562" s="2" t="inlineStr"/>
    </row>
    <row r="563" ht="15" customHeight="1">
      <c r="A563" t="inlineStr">
        <is>
          <t>A 32757-2025</t>
        </is>
      </c>
      <c r="B563" s="1" t="n">
        <v>45838</v>
      </c>
      <c r="C563" s="1" t="n">
        <v>46049</v>
      </c>
      <c r="D563" t="inlineStr">
        <is>
          <t>JÄMTLANDS LÄN</t>
        </is>
      </c>
      <c r="E563" t="inlineStr">
        <is>
          <t>RAGUNDA</t>
        </is>
      </c>
      <c r="G563" t="n">
        <v>4.5</v>
      </c>
      <c r="H563" t="n">
        <v>0</v>
      </c>
      <c r="I563" t="n">
        <v>0</v>
      </c>
      <c r="J563" t="n">
        <v>0</v>
      </c>
      <c r="K563" t="n">
        <v>0</v>
      </c>
      <c r="L563" t="n">
        <v>0</v>
      </c>
      <c r="M563" t="n">
        <v>0</v>
      </c>
      <c r="N563" t="n">
        <v>0</v>
      </c>
      <c r="O563" t="n">
        <v>0</v>
      </c>
      <c r="P563" t="n">
        <v>0</v>
      </c>
      <c r="Q563" t="n">
        <v>0</v>
      </c>
      <c r="R563" s="2" t="inlineStr"/>
    </row>
    <row r="564" ht="15" customHeight="1">
      <c r="A564" t="inlineStr">
        <is>
          <t>A 32660-2025</t>
        </is>
      </c>
      <c r="B564" s="1" t="n">
        <v>45838.67887731481</v>
      </c>
      <c r="C564" s="1" t="n">
        <v>46049</v>
      </c>
      <c r="D564" t="inlineStr">
        <is>
          <t>JÄMTLANDS LÄN</t>
        </is>
      </c>
      <c r="E564" t="inlineStr">
        <is>
          <t>RAGUNDA</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32527-2025</t>
        </is>
      </c>
      <c r="B565" s="1" t="n">
        <v>45838.48996527777</v>
      </c>
      <c r="C565" s="1" t="n">
        <v>46049</v>
      </c>
      <c r="D565" t="inlineStr">
        <is>
          <t>JÄMTLANDS LÄN</t>
        </is>
      </c>
      <c r="E565" t="inlineStr">
        <is>
          <t>RAGUNDA</t>
        </is>
      </c>
      <c r="G565" t="n">
        <v>5</v>
      </c>
      <c r="H565" t="n">
        <v>0</v>
      </c>
      <c r="I565" t="n">
        <v>0</v>
      </c>
      <c r="J565" t="n">
        <v>0</v>
      </c>
      <c r="K565" t="n">
        <v>0</v>
      </c>
      <c r="L565" t="n">
        <v>0</v>
      </c>
      <c r="M565" t="n">
        <v>0</v>
      </c>
      <c r="N565" t="n">
        <v>0</v>
      </c>
      <c r="O565" t="n">
        <v>0</v>
      </c>
      <c r="P565" t="n">
        <v>0</v>
      </c>
      <c r="Q565" t="n">
        <v>0</v>
      </c>
      <c r="R565" s="2" t="inlineStr"/>
    </row>
    <row r="566" ht="15" customHeight="1">
      <c r="A566" t="inlineStr">
        <is>
          <t>A 40919-2024</t>
        </is>
      </c>
      <c r="B566" s="1" t="n">
        <v>45558.63575231482</v>
      </c>
      <c r="C566" s="1" t="n">
        <v>46049</v>
      </c>
      <c r="D566" t="inlineStr">
        <is>
          <t>JÄMTLANDS LÄN</t>
        </is>
      </c>
      <c r="E566" t="inlineStr">
        <is>
          <t>RAGUNDA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15024-2022</t>
        </is>
      </c>
      <c r="B567" s="1" t="n">
        <v>44657</v>
      </c>
      <c r="C567" s="1" t="n">
        <v>46049</v>
      </c>
      <c r="D567" t="inlineStr">
        <is>
          <t>JÄMTLANDS LÄN</t>
        </is>
      </c>
      <c r="E567" t="inlineStr">
        <is>
          <t>RAGUNDA</t>
        </is>
      </c>
      <c r="G567" t="n">
        <v>1.8</v>
      </c>
      <c r="H567" t="n">
        <v>0</v>
      </c>
      <c r="I567" t="n">
        <v>0</v>
      </c>
      <c r="J567" t="n">
        <v>0</v>
      </c>
      <c r="K567" t="n">
        <v>0</v>
      </c>
      <c r="L567" t="n">
        <v>0</v>
      </c>
      <c r="M567" t="n">
        <v>0</v>
      </c>
      <c r="N567" t="n">
        <v>0</v>
      </c>
      <c r="O567" t="n">
        <v>0</v>
      </c>
      <c r="P567" t="n">
        <v>0</v>
      </c>
      <c r="Q567" t="n">
        <v>0</v>
      </c>
      <c r="R567" s="2" t="inlineStr"/>
    </row>
    <row r="568" ht="15" customHeight="1">
      <c r="A568" t="inlineStr">
        <is>
          <t>A 32021-2025</t>
        </is>
      </c>
      <c r="B568" s="1" t="n">
        <v>45835.40668981482</v>
      </c>
      <c r="C568" s="1" t="n">
        <v>46049</v>
      </c>
      <c r="D568" t="inlineStr">
        <is>
          <t>JÄMTLANDS LÄN</t>
        </is>
      </c>
      <c r="E568" t="inlineStr">
        <is>
          <t>RAGUNDA</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32655-2025</t>
        </is>
      </c>
      <c r="B569" s="1" t="n">
        <v>45838.67800925926</v>
      </c>
      <c r="C569" s="1" t="n">
        <v>46049</v>
      </c>
      <c r="D569" t="inlineStr">
        <is>
          <t>JÄMTLANDS LÄN</t>
        </is>
      </c>
      <c r="E569" t="inlineStr">
        <is>
          <t>RAGUNDA</t>
        </is>
      </c>
      <c r="G569" t="n">
        <v>2.8</v>
      </c>
      <c r="H569" t="n">
        <v>0</v>
      </c>
      <c r="I569" t="n">
        <v>0</v>
      </c>
      <c r="J569" t="n">
        <v>0</v>
      </c>
      <c r="K569" t="n">
        <v>0</v>
      </c>
      <c r="L569" t="n">
        <v>0</v>
      </c>
      <c r="M569" t="n">
        <v>0</v>
      </c>
      <c r="N569" t="n">
        <v>0</v>
      </c>
      <c r="O569" t="n">
        <v>0</v>
      </c>
      <c r="P569" t="n">
        <v>0</v>
      </c>
      <c r="Q569" t="n">
        <v>0</v>
      </c>
      <c r="R569" s="2" t="inlineStr"/>
    </row>
    <row r="570" ht="15" customHeight="1">
      <c r="A570" t="inlineStr">
        <is>
          <t>A 32151-2025</t>
        </is>
      </c>
      <c r="B570" s="1" t="n">
        <v>45835.53166666667</v>
      </c>
      <c r="C570" s="1" t="n">
        <v>46049</v>
      </c>
      <c r="D570" t="inlineStr">
        <is>
          <t>JÄMTLANDS LÄN</t>
        </is>
      </c>
      <c r="E570" t="inlineStr">
        <is>
          <t>RAGUNDA</t>
        </is>
      </c>
      <c r="F570" t="inlineStr">
        <is>
          <t>SCA</t>
        </is>
      </c>
      <c r="G570" t="n">
        <v>12.3</v>
      </c>
      <c r="H570" t="n">
        <v>0</v>
      </c>
      <c r="I570" t="n">
        <v>0</v>
      </c>
      <c r="J570" t="n">
        <v>0</v>
      </c>
      <c r="K570" t="n">
        <v>0</v>
      </c>
      <c r="L570" t="n">
        <v>0</v>
      </c>
      <c r="M570" t="n">
        <v>0</v>
      </c>
      <c r="N570" t="n">
        <v>0</v>
      </c>
      <c r="O570" t="n">
        <v>0</v>
      </c>
      <c r="P570" t="n">
        <v>0</v>
      </c>
      <c r="Q570" t="n">
        <v>0</v>
      </c>
      <c r="R570" s="2" t="inlineStr"/>
    </row>
    <row r="571" ht="15" customHeight="1">
      <c r="A571" t="inlineStr">
        <is>
          <t>A 43330-2025</t>
        </is>
      </c>
      <c r="B571" s="1" t="n">
        <v>45910.67766203704</v>
      </c>
      <c r="C571" s="1" t="n">
        <v>46049</v>
      </c>
      <c r="D571" t="inlineStr">
        <is>
          <t>JÄMTLANDS LÄN</t>
        </is>
      </c>
      <c r="E571" t="inlineStr">
        <is>
          <t>RAGUNDA</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32096-2025</t>
        </is>
      </c>
      <c r="B572" s="1" t="n">
        <v>45835.46334490741</v>
      </c>
      <c r="C572" s="1" t="n">
        <v>46049</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48192-2024</t>
        </is>
      </c>
      <c r="B573" s="1" t="n">
        <v>45590</v>
      </c>
      <c r="C573" s="1" t="n">
        <v>46049</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32748-2025</t>
        </is>
      </c>
      <c r="B574" s="1" t="n">
        <v>45839.42822916667</v>
      </c>
      <c r="C574" s="1" t="n">
        <v>46049</v>
      </c>
      <c r="D574" t="inlineStr">
        <is>
          <t>JÄMTLANDS LÄN</t>
        </is>
      </c>
      <c r="E574" t="inlineStr">
        <is>
          <t>RAGUNDA</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32777-2025</t>
        </is>
      </c>
      <c r="B575" s="1" t="n">
        <v>45839.46915509259</v>
      </c>
      <c r="C575" s="1" t="n">
        <v>46049</v>
      </c>
      <c r="D575" t="inlineStr">
        <is>
          <t>JÄMTLANDS LÄN</t>
        </is>
      </c>
      <c r="E575" t="inlineStr">
        <is>
          <t>RAGUNDA</t>
        </is>
      </c>
      <c r="F575" t="inlineStr">
        <is>
          <t>SCA</t>
        </is>
      </c>
      <c r="G575" t="n">
        <v>21.7</v>
      </c>
      <c r="H575" t="n">
        <v>0</v>
      </c>
      <c r="I575" t="n">
        <v>0</v>
      </c>
      <c r="J575" t="n">
        <v>0</v>
      </c>
      <c r="K575" t="n">
        <v>0</v>
      </c>
      <c r="L575" t="n">
        <v>0</v>
      </c>
      <c r="M575" t="n">
        <v>0</v>
      </c>
      <c r="N575" t="n">
        <v>0</v>
      </c>
      <c r="O575" t="n">
        <v>0</v>
      </c>
      <c r="P575" t="n">
        <v>0</v>
      </c>
      <c r="Q575" t="n">
        <v>0</v>
      </c>
      <c r="R575" s="2" t="inlineStr"/>
    </row>
    <row r="576" ht="15" customHeight="1">
      <c r="A576" t="inlineStr">
        <is>
          <t>A 12768-2022</t>
        </is>
      </c>
      <c r="B576" s="1" t="n">
        <v>44641</v>
      </c>
      <c r="C576" s="1" t="n">
        <v>46049</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12773-2022</t>
        </is>
      </c>
      <c r="B577" s="1" t="n">
        <v>44641</v>
      </c>
      <c r="C577" s="1" t="n">
        <v>46049</v>
      </c>
      <c r="D577" t="inlineStr">
        <is>
          <t>JÄMTLANDS LÄN</t>
        </is>
      </c>
      <c r="E577" t="inlineStr">
        <is>
          <t>RAGUNDA</t>
        </is>
      </c>
      <c r="F577" t="inlineStr">
        <is>
          <t>SCA</t>
        </is>
      </c>
      <c r="G577" t="n">
        <v>14.7</v>
      </c>
      <c r="H577" t="n">
        <v>0</v>
      </c>
      <c r="I577" t="n">
        <v>0</v>
      </c>
      <c r="J577" t="n">
        <v>0</v>
      </c>
      <c r="K577" t="n">
        <v>0</v>
      </c>
      <c r="L577" t="n">
        <v>0</v>
      </c>
      <c r="M577" t="n">
        <v>0</v>
      </c>
      <c r="N577" t="n">
        <v>0</v>
      </c>
      <c r="O577" t="n">
        <v>0</v>
      </c>
      <c r="P577" t="n">
        <v>0</v>
      </c>
      <c r="Q577" t="n">
        <v>0</v>
      </c>
      <c r="R577" s="2" t="inlineStr"/>
    </row>
    <row r="578" ht="15" customHeight="1">
      <c r="A578" t="inlineStr">
        <is>
          <t>A 32430-2025</t>
        </is>
      </c>
      <c r="B578" s="1" t="n">
        <v>45838.36532407408</v>
      </c>
      <c r="C578" s="1" t="n">
        <v>46049</v>
      </c>
      <c r="D578" t="inlineStr">
        <is>
          <t>JÄMTLANDS LÄN</t>
        </is>
      </c>
      <c r="E578" t="inlineStr">
        <is>
          <t>RAGUNDA</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43181-2025</t>
        </is>
      </c>
      <c r="B579" s="1" t="n">
        <v>45910.40721064815</v>
      </c>
      <c r="C579" s="1" t="n">
        <v>46049</v>
      </c>
      <c r="D579" t="inlineStr">
        <is>
          <t>JÄMTLANDS LÄN</t>
        </is>
      </c>
      <c r="E579" t="inlineStr">
        <is>
          <t>RAGUNDA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32796-2025</t>
        </is>
      </c>
      <c r="B580" s="1" t="n">
        <v>45839.49082175926</v>
      </c>
      <c r="C580" s="1" t="n">
        <v>46049</v>
      </c>
      <c r="D580" t="inlineStr">
        <is>
          <t>JÄMTLANDS LÄN</t>
        </is>
      </c>
      <c r="E580" t="inlineStr">
        <is>
          <t>RAGUNDA</t>
        </is>
      </c>
      <c r="G580" t="n">
        <v>1.7</v>
      </c>
      <c r="H580" t="n">
        <v>0</v>
      </c>
      <c r="I580" t="n">
        <v>0</v>
      </c>
      <c r="J580" t="n">
        <v>0</v>
      </c>
      <c r="K580" t="n">
        <v>0</v>
      </c>
      <c r="L580" t="n">
        <v>0</v>
      </c>
      <c r="M580" t="n">
        <v>0</v>
      </c>
      <c r="N580" t="n">
        <v>0</v>
      </c>
      <c r="O580" t="n">
        <v>0</v>
      </c>
      <c r="P580" t="n">
        <v>0</v>
      </c>
      <c r="Q580" t="n">
        <v>0</v>
      </c>
      <c r="R580" s="2" t="inlineStr"/>
    </row>
    <row r="581" ht="15" customHeight="1">
      <c r="A581" t="inlineStr">
        <is>
          <t>A 43177-2025</t>
        </is>
      </c>
      <c r="B581" s="1" t="n">
        <v>45910.40667824074</v>
      </c>
      <c r="C581" s="1" t="n">
        <v>46049</v>
      </c>
      <c r="D581" t="inlineStr">
        <is>
          <t>JÄMTLANDS LÄN</t>
        </is>
      </c>
      <c r="E581" t="inlineStr">
        <is>
          <t>RAGUNDA</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32747-2025</t>
        </is>
      </c>
      <c r="B582" s="1" t="n">
        <v>45839.42810185185</v>
      </c>
      <c r="C582" s="1" t="n">
        <v>46049</v>
      </c>
      <c r="D582" t="inlineStr">
        <is>
          <t>JÄMTLANDS LÄN</t>
        </is>
      </c>
      <c r="E582" t="inlineStr">
        <is>
          <t>RAGUNDA</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32751-2025</t>
        </is>
      </c>
      <c r="B583" s="1" t="n">
        <v>45839.42864583333</v>
      </c>
      <c r="C583" s="1" t="n">
        <v>46049</v>
      </c>
      <c r="D583" t="inlineStr">
        <is>
          <t>JÄMTLANDS LÄN</t>
        </is>
      </c>
      <c r="E583" t="inlineStr">
        <is>
          <t>RAGUNDA</t>
        </is>
      </c>
      <c r="F583" t="inlineStr">
        <is>
          <t>SCA</t>
        </is>
      </c>
      <c r="G583" t="n">
        <v>10</v>
      </c>
      <c r="H583" t="n">
        <v>0</v>
      </c>
      <c r="I583" t="n">
        <v>0</v>
      </c>
      <c r="J583" t="n">
        <v>0</v>
      </c>
      <c r="K583" t="n">
        <v>0</v>
      </c>
      <c r="L583" t="n">
        <v>0</v>
      </c>
      <c r="M583" t="n">
        <v>0</v>
      </c>
      <c r="N583" t="n">
        <v>0</v>
      </c>
      <c r="O583" t="n">
        <v>0</v>
      </c>
      <c r="P583" t="n">
        <v>0</v>
      </c>
      <c r="Q583" t="n">
        <v>0</v>
      </c>
      <c r="R583" s="2" t="inlineStr"/>
    </row>
    <row r="584" ht="15" customHeight="1">
      <c r="A584" t="inlineStr">
        <is>
          <t>A 32846-2025</t>
        </is>
      </c>
      <c r="B584" s="1" t="n">
        <v>45839.57331018519</v>
      </c>
      <c r="C584" s="1" t="n">
        <v>46049</v>
      </c>
      <c r="D584" t="inlineStr">
        <is>
          <t>JÄMTLANDS LÄN</t>
        </is>
      </c>
      <c r="E584" t="inlineStr">
        <is>
          <t>RAGUNDA</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33140-2025</t>
        </is>
      </c>
      <c r="B585" s="1" t="n">
        <v>45840.52225694444</v>
      </c>
      <c r="C585" s="1" t="n">
        <v>46049</v>
      </c>
      <c r="D585" t="inlineStr">
        <is>
          <t>JÄMTLANDS LÄN</t>
        </is>
      </c>
      <c r="E585" t="inlineStr">
        <is>
          <t>RAGUNDA</t>
        </is>
      </c>
      <c r="G585" t="n">
        <v>2</v>
      </c>
      <c r="H585" t="n">
        <v>0</v>
      </c>
      <c r="I585" t="n">
        <v>0</v>
      </c>
      <c r="J585" t="n">
        <v>0</v>
      </c>
      <c r="K585" t="n">
        <v>0</v>
      </c>
      <c r="L585" t="n">
        <v>0</v>
      </c>
      <c r="M585" t="n">
        <v>0</v>
      </c>
      <c r="N585" t="n">
        <v>0</v>
      </c>
      <c r="O585" t="n">
        <v>0</v>
      </c>
      <c r="P585" t="n">
        <v>0</v>
      </c>
      <c r="Q585" t="n">
        <v>0</v>
      </c>
      <c r="R585" s="2" t="inlineStr"/>
    </row>
    <row r="586" ht="15" customHeight="1">
      <c r="A586" t="inlineStr">
        <is>
          <t>A 18375-2022</t>
        </is>
      </c>
      <c r="B586" s="1" t="n">
        <v>44685</v>
      </c>
      <c r="C586" s="1" t="n">
        <v>46049</v>
      </c>
      <c r="D586" t="inlineStr">
        <is>
          <t>JÄMTLANDS LÄN</t>
        </is>
      </c>
      <c r="E586" t="inlineStr">
        <is>
          <t>RAGUNDA</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55536-2024</t>
        </is>
      </c>
      <c r="B587" s="1" t="n">
        <v>45622</v>
      </c>
      <c r="C587" s="1" t="n">
        <v>46049</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2411-2023</t>
        </is>
      </c>
      <c r="B588" s="1" t="n">
        <v>44942</v>
      </c>
      <c r="C588" s="1" t="n">
        <v>46049</v>
      </c>
      <c r="D588" t="inlineStr">
        <is>
          <t>JÄMTLANDS LÄN</t>
        </is>
      </c>
      <c r="E588" t="inlineStr">
        <is>
          <t>RAGUNDA</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11834-2023</t>
        </is>
      </c>
      <c r="B589" s="1" t="n">
        <v>44994.94296296296</v>
      </c>
      <c r="C589" s="1" t="n">
        <v>46049</v>
      </c>
      <c r="D589" t="inlineStr">
        <is>
          <t>JÄMTLANDS LÄN</t>
        </is>
      </c>
      <c r="E589" t="inlineStr">
        <is>
          <t>RAGUNDA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53264-2024</t>
        </is>
      </c>
      <c r="B590" s="1" t="n">
        <v>45614.34545138889</v>
      </c>
      <c r="C590" s="1" t="n">
        <v>46049</v>
      </c>
      <c r="D590" t="inlineStr">
        <is>
          <t>JÄMTLANDS LÄN</t>
        </is>
      </c>
      <c r="E590" t="inlineStr">
        <is>
          <t>RAGUNDA</t>
        </is>
      </c>
      <c r="G590" t="n">
        <v>1.4</v>
      </c>
      <c r="H590" t="n">
        <v>0</v>
      </c>
      <c r="I590" t="n">
        <v>0</v>
      </c>
      <c r="J590" t="n">
        <v>0</v>
      </c>
      <c r="K590" t="n">
        <v>0</v>
      </c>
      <c r="L590" t="n">
        <v>0</v>
      </c>
      <c r="M590" t="n">
        <v>0</v>
      </c>
      <c r="N590" t="n">
        <v>0</v>
      </c>
      <c r="O590" t="n">
        <v>0</v>
      </c>
      <c r="P590" t="n">
        <v>0</v>
      </c>
      <c r="Q590" t="n">
        <v>0</v>
      </c>
      <c r="R590" s="2" t="inlineStr"/>
    </row>
    <row r="591" ht="15" customHeight="1">
      <c r="A591" t="inlineStr">
        <is>
          <t>A 43776-2025</t>
        </is>
      </c>
      <c r="B591" s="1" t="n">
        <v>45912.51086805556</v>
      </c>
      <c r="C591" s="1" t="n">
        <v>46049</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43804-2025</t>
        </is>
      </c>
      <c r="B592" s="1" t="n">
        <v>45912.57373842593</v>
      </c>
      <c r="C592" s="1" t="n">
        <v>46049</v>
      </c>
      <c r="D592" t="inlineStr">
        <is>
          <t>JÄMTLANDS LÄN</t>
        </is>
      </c>
      <c r="E592" t="inlineStr">
        <is>
          <t>RAGUNDA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50431-2024</t>
        </is>
      </c>
      <c r="B593" s="1" t="n">
        <v>45601.40686342592</v>
      </c>
      <c r="C593" s="1" t="n">
        <v>46049</v>
      </c>
      <c r="D593" t="inlineStr">
        <is>
          <t>JÄMTLANDS LÄN</t>
        </is>
      </c>
      <c r="E593" t="inlineStr">
        <is>
          <t>RAGUNDA</t>
        </is>
      </c>
      <c r="F593" t="inlineStr">
        <is>
          <t>SCA</t>
        </is>
      </c>
      <c r="G593" t="n">
        <v>8.5</v>
      </c>
      <c r="H593" t="n">
        <v>0</v>
      </c>
      <c r="I593" t="n">
        <v>0</v>
      </c>
      <c r="J593" t="n">
        <v>0</v>
      </c>
      <c r="K593" t="n">
        <v>0</v>
      </c>
      <c r="L593" t="n">
        <v>0</v>
      </c>
      <c r="M593" t="n">
        <v>0</v>
      </c>
      <c r="N593" t="n">
        <v>0</v>
      </c>
      <c r="O593" t="n">
        <v>0</v>
      </c>
      <c r="P593" t="n">
        <v>0</v>
      </c>
      <c r="Q593" t="n">
        <v>0</v>
      </c>
      <c r="R593" s="2" t="inlineStr"/>
    </row>
    <row r="594" ht="15" customHeight="1">
      <c r="A594" t="inlineStr">
        <is>
          <t>A 33556-2025</t>
        </is>
      </c>
      <c r="B594" s="1" t="n">
        <v>45841.57427083333</v>
      </c>
      <c r="C594" s="1" t="n">
        <v>46049</v>
      </c>
      <c r="D594" t="inlineStr">
        <is>
          <t>JÄMTLANDS LÄN</t>
        </is>
      </c>
      <c r="E594" t="inlineStr">
        <is>
          <t>RAGUNDA</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16334-2025</t>
        </is>
      </c>
      <c r="B595" s="1" t="n">
        <v>45751.36490740741</v>
      </c>
      <c r="C595" s="1" t="n">
        <v>46049</v>
      </c>
      <c r="D595" t="inlineStr">
        <is>
          <t>JÄMTLANDS LÄN</t>
        </is>
      </c>
      <c r="E595" t="inlineStr">
        <is>
          <t>RAGUNDA</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33790-2025</t>
        </is>
      </c>
      <c r="B596" s="1" t="n">
        <v>45842.42608796297</v>
      </c>
      <c r="C596" s="1" t="n">
        <v>46049</v>
      </c>
      <c r="D596" t="inlineStr">
        <is>
          <t>JÄMTLANDS LÄN</t>
        </is>
      </c>
      <c r="E596" t="inlineStr">
        <is>
          <t>RAGUNDA</t>
        </is>
      </c>
      <c r="G596" t="n">
        <v>0.3</v>
      </c>
      <c r="H596" t="n">
        <v>0</v>
      </c>
      <c r="I596" t="n">
        <v>0</v>
      </c>
      <c r="J596" t="n">
        <v>0</v>
      </c>
      <c r="K596" t="n">
        <v>0</v>
      </c>
      <c r="L596" t="n">
        <v>0</v>
      </c>
      <c r="M596" t="n">
        <v>0</v>
      </c>
      <c r="N596" t="n">
        <v>0</v>
      </c>
      <c r="O596" t="n">
        <v>0</v>
      </c>
      <c r="P596" t="n">
        <v>0</v>
      </c>
      <c r="Q596" t="n">
        <v>0</v>
      </c>
      <c r="R596" s="2" t="inlineStr"/>
    </row>
    <row r="597" ht="15" customHeight="1">
      <c r="A597" t="inlineStr">
        <is>
          <t>A 43971-2025</t>
        </is>
      </c>
      <c r="B597" s="1" t="n">
        <v>45915.40694444445</v>
      </c>
      <c r="C597" s="1" t="n">
        <v>46049</v>
      </c>
      <c r="D597" t="inlineStr">
        <is>
          <t>JÄMTLANDS LÄN</t>
        </is>
      </c>
      <c r="E597" t="inlineStr">
        <is>
          <t>RAGUNDA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7284-2024</t>
        </is>
      </c>
      <c r="B598" s="1" t="n">
        <v>45344.92865740741</v>
      </c>
      <c r="C598" s="1" t="n">
        <v>46049</v>
      </c>
      <c r="D598" t="inlineStr">
        <is>
          <t>JÄMTLANDS LÄN</t>
        </is>
      </c>
      <c r="E598" t="inlineStr">
        <is>
          <t>RAGUNDA</t>
        </is>
      </c>
      <c r="G598" t="n">
        <v>2.1</v>
      </c>
      <c r="H598" t="n">
        <v>0</v>
      </c>
      <c r="I598" t="n">
        <v>0</v>
      </c>
      <c r="J598" t="n">
        <v>0</v>
      </c>
      <c r="K598" t="n">
        <v>0</v>
      </c>
      <c r="L598" t="n">
        <v>0</v>
      </c>
      <c r="M598" t="n">
        <v>0</v>
      </c>
      <c r="N598" t="n">
        <v>0</v>
      </c>
      <c r="O598" t="n">
        <v>0</v>
      </c>
      <c r="P598" t="n">
        <v>0</v>
      </c>
      <c r="Q598" t="n">
        <v>0</v>
      </c>
      <c r="R598" s="2" t="inlineStr"/>
    </row>
    <row r="599" ht="15" customHeight="1">
      <c r="A599" t="inlineStr">
        <is>
          <t>A 7285-2024</t>
        </is>
      </c>
      <c r="B599" s="1" t="n">
        <v>45344.92873842592</v>
      </c>
      <c r="C599" s="1" t="n">
        <v>46049</v>
      </c>
      <c r="D599" t="inlineStr">
        <is>
          <t>JÄMTLANDS LÄN</t>
        </is>
      </c>
      <c r="E599" t="inlineStr">
        <is>
          <t>RAGUNDA</t>
        </is>
      </c>
      <c r="G599" t="n">
        <v>0.5</v>
      </c>
      <c r="H599" t="n">
        <v>0</v>
      </c>
      <c r="I599" t="n">
        <v>0</v>
      </c>
      <c r="J599" t="n">
        <v>0</v>
      </c>
      <c r="K599" t="n">
        <v>0</v>
      </c>
      <c r="L599" t="n">
        <v>0</v>
      </c>
      <c r="M599" t="n">
        <v>0</v>
      </c>
      <c r="N599" t="n">
        <v>0</v>
      </c>
      <c r="O599" t="n">
        <v>0</v>
      </c>
      <c r="P599" t="n">
        <v>0</v>
      </c>
      <c r="Q599" t="n">
        <v>0</v>
      </c>
      <c r="R599" s="2" t="inlineStr"/>
    </row>
    <row r="600" ht="15" customHeight="1">
      <c r="A600" t="inlineStr">
        <is>
          <t>A 2242-2024</t>
        </is>
      </c>
      <c r="B600" s="1" t="n">
        <v>45309</v>
      </c>
      <c r="C600" s="1" t="n">
        <v>46049</v>
      </c>
      <c r="D600" t="inlineStr">
        <is>
          <t>JÄMTLANDS LÄN</t>
        </is>
      </c>
      <c r="E600" t="inlineStr">
        <is>
          <t>RAGUNDA</t>
        </is>
      </c>
      <c r="G600" t="n">
        <v>0.9</v>
      </c>
      <c r="H600" t="n">
        <v>0</v>
      </c>
      <c r="I600" t="n">
        <v>0</v>
      </c>
      <c r="J600" t="n">
        <v>0</v>
      </c>
      <c r="K600" t="n">
        <v>0</v>
      </c>
      <c r="L600" t="n">
        <v>0</v>
      </c>
      <c r="M600" t="n">
        <v>0</v>
      </c>
      <c r="N600" t="n">
        <v>0</v>
      </c>
      <c r="O600" t="n">
        <v>0</v>
      </c>
      <c r="P600" t="n">
        <v>0</v>
      </c>
      <c r="Q600" t="n">
        <v>0</v>
      </c>
      <c r="R600" s="2" t="inlineStr"/>
    </row>
    <row r="601" ht="15" customHeight="1">
      <c r="A601" t="inlineStr">
        <is>
          <t>A 2248-2024</t>
        </is>
      </c>
      <c r="B601" s="1" t="n">
        <v>45309</v>
      </c>
      <c r="C601" s="1" t="n">
        <v>46049</v>
      </c>
      <c r="D601" t="inlineStr">
        <is>
          <t>JÄMTLANDS LÄN</t>
        </is>
      </c>
      <c r="E601" t="inlineStr">
        <is>
          <t>RAGUNDA</t>
        </is>
      </c>
      <c r="G601" t="n">
        <v>4.2</v>
      </c>
      <c r="H601" t="n">
        <v>0</v>
      </c>
      <c r="I601" t="n">
        <v>0</v>
      </c>
      <c r="J601" t="n">
        <v>0</v>
      </c>
      <c r="K601" t="n">
        <v>0</v>
      </c>
      <c r="L601" t="n">
        <v>0</v>
      </c>
      <c r="M601" t="n">
        <v>0</v>
      </c>
      <c r="N601" t="n">
        <v>0</v>
      </c>
      <c r="O601" t="n">
        <v>0</v>
      </c>
      <c r="P601" t="n">
        <v>0</v>
      </c>
      <c r="Q601" t="n">
        <v>0</v>
      </c>
      <c r="R601" s="2" t="inlineStr"/>
    </row>
    <row r="602" ht="15" customHeight="1">
      <c r="A602" t="inlineStr">
        <is>
          <t>A 5958-2021</t>
        </is>
      </c>
      <c r="B602" s="1" t="n">
        <v>44231</v>
      </c>
      <c r="C602" s="1" t="n">
        <v>46049</v>
      </c>
      <c r="D602" t="inlineStr">
        <is>
          <t>JÄMTLANDS LÄN</t>
        </is>
      </c>
      <c r="E602" t="inlineStr">
        <is>
          <t>RAGUNDA</t>
        </is>
      </c>
      <c r="G602" t="n">
        <v>3.1</v>
      </c>
      <c r="H602" t="n">
        <v>0</v>
      </c>
      <c r="I602" t="n">
        <v>0</v>
      </c>
      <c r="J602" t="n">
        <v>0</v>
      </c>
      <c r="K602" t="n">
        <v>0</v>
      </c>
      <c r="L602" t="n">
        <v>0</v>
      </c>
      <c r="M602" t="n">
        <v>0</v>
      </c>
      <c r="N602" t="n">
        <v>0</v>
      </c>
      <c r="O602" t="n">
        <v>0</v>
      </c>
      <c r="P602" t="n">
        <v>0</v>
      </c>
      <c r="Q602" t="n">
        <v>0</v>
      </c>
      <c r="R602" s="2" t="inlineStr"/>
    </row>
    <row r="603" ht="15" customHeight="1">
      <c r="A603" t="inlineStr">
        <is>
          <t>A 34296-2025</t>
        </is>
      </c>
      <c r="B603" s="1" t="n">
        <v>45846.34454861111</v>
      </c>
      <c r="C603" s="1" t="n">
        <v>46049</v>
      </c>
      <c r="D603" t="inlineStr">
        <is>
          <t>JÄMTLANDS LÄN</t>
        </is>
      </c>
      <c r="E603" t="inlineStr">
        <is>
          <t>RAGUNDA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24197-2024</t>
        </is>
      </c>
      <c r="B604" s="1" t="n">
        <v>45456.96601851852</v>
      </c>
      <c r="C604" s="1" t="n">
        <v>46049</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4916-2025</t>
        </is>
      </c>
      <c r="B605" s="1" t="n">
        <v>45688.68196759259</v>
      </c>
      <c r="C605" s="1" t="n">
        <v>46049</v>
      </c>
      <c r="D605" t="inlineStr">
        <is>
          <t>JÄMTLANDS LÄN</t>
        </is>
      </c>
      <c r="E605" t="inlineStr">
        <is>
          <t>RAGUNDA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23305-2023</t>
        </is>
      </c>
      <c r="B606" s="1" t="n">
        <v>45075.94506944445</v>
      </c>
      <c r="C606" s="1" t="n">
        <v>46049</v>
      </c>
      <c r="D606" t="inlineStr">
        <is>
          <t>JÄMTLANDS LÄN</t>
        </is>
      </c>
      <c r="E606" t="inlineStr">
        <is>
          <t>RAGUNDA</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34461-2025</t>
        </is>
      </c>
      <c r="B607" s="1" t="n">
        <v>45847.34474537037</v>
      </c>
      <c r="C607" s="1" t="n">
        <v>46049</v>
      </c>
      <c r="D607" t="inlineStr">
        <is>
          <t>JÄMTLANDS LÄN</t>
        </is>
      </c>
      <c r="E607" t="inlineStr">
        <is>
          <t>RAGUNDA</t>
        </is>
      </c>
      <c r="F607" t="inlineStr">
        <is>
          <t>SCA</t>
        </is>
      </c>
      <c r="G607" t="n">
        <v>44.8</v>
      </c>
      <c r="H607" t="n">
        <v>0</v>
      </c>
      <c r="I607" t="n">
        <v>0</v>
      </c>
      <c r="J607" t="n">
        <v>0</v>
      </c>
      <c r="K607" t="n">
        <v>0</v>
      </c>
      <c r="L607" t="n">
        <v>0</v>
      </c>
      <c r="M607" t="n">
        <v>0</v>
      </c>
      <c r="N607" t="n">
        <v>0</v>
      </c>
      <c r="O607" t="n">
        <v>0</v>
      </c>
      <c r="P607" t="n">
        <v>0</v>
      </c>
      <c r="Q607" t="n">
        <v>0</v>
      </c>
      <c r="R607" s="2" t="inlineStr"/>
    </row>
    <row r="608" ht="15" customHeight="1">
      <c r="A608" t="inlineStr">
        <is>
          <t>A 34464-2025</t>
        </is>
      </c>
      <c r="B608" s="1" t="n">
        <v>45847.34528935186</v>
      </c>
      <c r="C608" s="1" t="n">
        <v>46049</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44954-2025</t>
        </is>
      </c>
      <c r="B609" s="1" t="n">
        <v>45918.61203703703</v>
      </c>
      <c r="C609" s="1" t="n">
        <v>46049</v>
      </c>
      <c r="D609" t="inlineStr">
        <is>
          <t>JÄMTLANDS LÄN</t>
        </is>
      </c>
      <c r="E609" t="inlineStr">
        <is>
          <t>RAGUNDA</t>
        </is>
      </c>
      <c r="G609" t="n">
        <v>3</v>
      </c>
      <c r="H609" t="n">
        <v>0</v>
      </c>
      <c r="I609" t="n">
        <v>0</v>
      </c>
      <c r="J609" t="n">
        <v>0</v>
      </c>
      <c r="K609" t="n">
        <v>0</v>
      </c>
      <c r="L609" t="n">
        <v>0</v>
      </c>
      <c r="M609" t="n">
        <v>0</v>
      </c>
      <c r="N609" t="n">
        <v>0</v>
      </c>
      <c r="O609" t="n">
        <v>0</v>
      </c>
      <c r="P609" t="n">
        <v>0</v>
      </c>
      <c r="Q609" t="n">
        <v>0</v>
      </c>
      <c r="R609" s="2" t="inlineStr"/>
    </row>
    <row r="610" ht="15" customHeight="1">
      <c r="A610" t="inlineStr">
        <is>
          <t>A 4615-2023</t>
        </is>
      </c>
      <c r="B610" s="1" t="n">
        <v>44956.93924768519</v>
      </c>
      <c r="C610" s="1" t="n">
        <v>46049</v>
      </c>
      <c r="D610" t="inlineStr">
        <is>
          <t>JÄMTLANDS LÄN</t>
        </is>
      </c>
      <c r="E610" t="inlineStr">
        <is>
          <t>RAGUNDA</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2673-2024</t>
        </is>
      </c>
      <c r="B611" s="1" t="n">
        <v>45314</v>
      </c>
      <c r="C611" s="1" t="n">
        <v>46049</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34468-2025</t>
        </is>
      </c>
      <c r="B612" s="1" t="n">
        <v>45847.34597222223</v>
      </c>
      <c r="C612" s="1" t="n">
        <v>46049</v>
      </c>
      <c r="D612" t="inlineStr">
        <is>
          <t>JÄMTLANDS LÄN</t>
        </is>
      </c>
      <c r="E612" t="inlineStr">
        <is>
          <t>RAGUNDA</t>
        </is>
      </c>
      <c r="F612" t="inlineStr">
        <is>
          <t>SCA</t>
        </is>
      </c>
      <c r="G612" t="n">
        <v>10</v>
      </c>
      <c r="H612" t="n">
        <v>0</v>
      </c>
      <c r="I612" t="n">
        <v>0</v>
      </c>
      <c r="J612" t="n">
        <v>0</v>
      </c>
      <c r="K612" t="n">
        <v>0</v>
      </c>
      <c r="L612" t="n">
        <v>0</v>
      </c>
      <c r="M612" t="n">
        <v>0</v>
      </c>
      <c r="N612" t="n">
        <v>0</v>
      </c>
      <c r="O612" t="n">
        <v>0</v>
      </c>
      <c r="P612" t="n">
        <v>0</v>
      </c>
      <c r="Q612" t="n">
        <v>0</v>
      </c>
      <c r="R612" s="2" t="inlineStr"/>
    </row>
    <row r="613" ht="15" customHeight="1">
      <c r="A613" t="inlineStr">
        <is>
          <t>A 34586-2025</t>
        </is>
      </c>
      <c r="B613" s="1" t="n">
        <v>45847.61513888889</v>
      </c>
      <c r="C613" s="1" t="n">
        <v>46049</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34607-2025</t>
        </is>
      </c>
      <c r="B614" s="1" t="n">
        <v>45847.65703703704</v>
      </c>
      <c r="C614" s="1" t="n">
        <v>46049</v>
      </c>
      <c r="D614" t="inlineStr">
        <is>
          <t>JÄMTLANDS LÄN</t>
        </is>
      </c>
      <c r="E614" t="inlineStr">
        <is>
          <t>RAGUNDA</t>
        </is>
      </c>
      <c r="F614" t="inlineStr">
        <is>
          <t>SCA</t>
        </is>
      </c>
      <c r="G614" t="n">
        <v>31.4</v>
      </c>
      <c r="H614" t="n">
        <v>0</v>
      </c>
      <c r="I614" t="n">
        <v>0</v>
      </c>
      <c r="J614" t="n">
        <v>0</v>
      </c>
      <c r="K614" t="n">
        <v>0</v>
      </c>
      <c r="L614" t="n">
        <v>0</v>
      </c>
      <c r="M614" t="n">
        <v>0</v>
      </c>
      <c r="N614" t="n">
        <v>0</v>
      </c>
      <c r="O614" t="n">
        <v>0</v>
      </c>
      <c r="P614" t="n">
        <v>0</v>
      </c>
      <c r="Q614" t="n">
        <v>0</v>
      </c>
      <c r="R614" s="2" t="inlineStr"/>
    </row>
    <row r="615" ht="15" customHeight="1">
      <c r="A615" t="inlineStr">
        <is>
          <t>A 34772-2025</t>
        </is>
      </c>
      <c r="B615" s="1" t="n">
        <v>45848.65658564815</v>
      </c>
      <c r="C615" s="1" t="n">
        <v>46049</v>
      </c>
      <c r="D615" t="inlineStr">
        <is>
          <t>JÄMTLANDS LÄN</t>
        </is>
      </c>
      <c r="E615" t="inlineStr">
        <is>
          <t>RAGUNDA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34466-2025</t>
        </is>
      </c>
      <c r="B616" s="1" t="n">
        <v>45847.34565972222</v>
      </c>
      <c r="C616" s="1" t="n">
        <v>46049</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57112-2024</t>
        </is>
      </c>
      <c r="B617" s="1" t="n">
        <v>45629.36486111111</v>
      </c>
      <c r="C617" s="1" t="n">
        <v>46049</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36375-2022</t>
        </is>
      </c>
      <c r="B618" s="1" t="n">
        <v>44803.94351851852</v>
      </c>
      <c r="C618" s="1" t="n">
        <v>46049</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34588-2025</t>
        </is>
      </c>
      <c r="B619" s="1" t="n">
        <v>45847.61548611111</v>
      </c>
      <c r="C619" s="1" t="n">
        <v>46049</v>
      </c>
      <c r="D619" t="inlineStr">
        <is>
          <t>JÄMTLANDS LÄN</t>
        </is>
      </c>
      <c r="E619" t="inlineStr">
        <is>
          <t>RAGUNDA</t>
        </is>
      </c>
      <c r="G619" t="n">
        <v>32.3</v>
      </c>
      <c r="H619" t="n">
        <v>0</v>
      </c>
      <c r="I619" t="n">
        <v>0</v>
      </c>
      <c r="J619" t="n">
        <v>0</v>
      </c>
      <c r="K619" t="n">
        <v>0</v>
      </c>
      <c r="L619" t="n">
        <v>0</v>
      </c>
      <c r="M619" t="n">
        <v>0</v>
      </c>
      <c r="N619" t="n">
        <v>0</v>
      </c>
      <c r="O619" t="n">
        <v>0</v>
      </c>
      <c r="P619" t="n">
        <v>0</v>
      </c>
      <c r="Q619" t="n">
        <v>0</v>
      </c>
      <c r="R619" s="2" t="inlineStr"/>
    </row>
    <row r="620" ht="15" customHeight="1">
      <c r="A620" t="inlineStr">
        <is>
          <t>A 34463-2025</t>
        </is>
      </c>
      <c r="B620" s="1" t="n">
        <v>45847.34515046296</v>
      </c>
      <c r="C620" s="1" t="n">
        <v>46049</v>
      </c>
      <c r="D620" t="inlineStr">
        <is>
          <t>JÄMTLANDS LÄN</t>
        </is>
      </c>
      <c r="E620" t="inlineStr">
        <is>
          <t>RAGUNDA</t>
        </is>
      </c>
      <c r="F620" t="inlineStr">
        <is>
          <t>SCA</t>
        </is>
      </c>
      <c r="G620" t="n">
        <v>6.1</v>
      </c>
      <c r="H620" t="n">
        <v>0</v>
      </c>
      <c r="I620" t="n">
        <v>0</v>
      </c>
      <c r="J620" t="n">
        <v>0</v>
      </c>
      <c r="K620" t="n">
        <v>0</v>
      </c>
      <c r="L620" t="n">
        <v>0</v>
      </c>
      <c r="M620" t="n">
        <v>0</v>
      </c>
      <c r="N620" t="n">
        <v>0</v>
      </c>
      <c r="O620" t="n">
        <v>0</v>
      </c>
      <c r="P620" t="n">
        <v>0</v>
      </c>
      <c r="Q620" t="n">
        <v>0</v>
      </c>
      <c r="R620" s="2" t="inlineStr"/>
    </row>
    <row r="621" ht="15" customHeight="1">
      <c r="A621" t="inlineStr">
        <is>
          <t>A 34710-2025</t>
        </is>
      </c>
      <c r="B621" s="1" t="n">
        <v>45848.49774305556</v>
      </c>
      <c r="C621" s="1" t="n">
        <v>46049</v>
      </c>
      <c r="D621" t="inlineStr">
        <is>
          <t>JÄMTLANDS LÄN</t>
        </is>
      </c>
      <c r="E621" t="inlineStr">
        <is>
          <t>RAGUNDA</t>
        </is>
      </c>
      <c r="G621" t="n">
        <v>4.1</v>
      </c>
      <c r="H621" t="n">
        <v>0</v>
      </c>
      <c r="I621" t="n">
        <v>0</v>
      </c>
      <c r="J621" t="n">
        <v>0</v>
      </c>
      <c r="K621" t="n">
        <v>0</v>
      </c>
      <c r="L621" t="n">
        <v>0</v>
      </c>
      <c r="M621" t="n">
        <v>0</v>
      </c>
      <c r="N621" t="n">
        <v>0</v>
      </c>
      <c r="O621" t="n">
        <v>0</v>
      </c>
      <c r="P621" t="n">
        <v>0</v>
      </c>
      <c r="Q621" t="n">
        <v>0</v>
      </c>
      <c r="R621" s="2" t="inlineStr"/>
    </row>
    <row r="622" ht="15" customHeight="1">
      <c r="A622" t="inlineStr">
        <is>
          <t>A 17667-2025</t>
        </is>
      </c>
      <c r="B622" s="1" t="n">
        <v>45758.36487268518</v>
      </c>
      <c r="C622" s="1" t="n">
        <v>46049</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5148-2023</t>
        </is>
      </c>
      <c r="B623" s="1" t="n">
        <v>44958</v>
      </c>
      <c r="C623" s="1" t="n">
        <v>46049</v>
      </c>
      <c r="D623" t="inlineStr">
        <is>
          <t>JÄMTLANDS LÄN</t>
        </is>
      </c>
      <c r="E623" t="inlineStr">
        <is>
          <t>RAGUNDA</t>
        </is>
      </c>
      <c r="G623" t="n">
        <v>2.9</v>
      </c>
      <c r="H623" t="n">
        <v>0</v>
      </c>
      <c r="I623" t="n">
        <v>0</v>
      </c>
      <c r="J623" t="n">
        <v>0</v>
      </c>
      <c r="K623" t="n">
        <v>0</v>
      </c>
      <c r="L623" t="n">
        <v>0</v>
      </c>
      <c r="M623" t="n">
        <v>0</v>
      </c>
      <c r="N623" t="n">
        <v>0</v>
      </c>
      <c r="O623" t="n">
        <v>0</v>
      </c>
      <c r="P623" t="n">
        <v>0</v>
      </c>
      <c r="Q623" t="n">
        <v>0</v>
      </c>
      <c r="R623" s="2" t="inlineStr"/>
    </row>
    <row r="624" ht="15" customHeight="1">
      <c r="A624" t="inlineStr">
        <is>
          <t>A 51049-2024</t>
        </is>
      </c>
      <c r="B624" s="1" t="n">
        <v>45603.44644675926</v>
      </c>
      <c r="C624" s="1" t="n">
        <v>46049</v>
      </c>
      <c r="D624" t="inlineStr">
        <is>
          <t>JÄMTLANDS LÄN</t>
        </is>
      </c>
      <c r="E624" t="inlineStr">
        <is>
          <t>RAGUNDA</t>
        </is>
      </c>
      <c r="F624" t="inlineStr">
        <is>
          <t>SCA</t>
        </is>
      </c>
      <c r="G624" t="n">
        <v>6.9</v>
      </c>
      <c r="H624" t="n">
        <v>0</v>
      </c>
      <c r="I624" t="n">
        <v>0</v>
      </c>
      <c r="J624" t="n">
        <v>0</v>
      </c>
      <c r="K624" t="n">
        <v>0</v>
      </c>
      <c r="L624" t="n">
        <v>0</v>
      </c>
      <c r="M624" t="n">
        <v>0</v>
      </c>
      <c r="N624" t="n">
        <v>0</v>
      </c>
      <c r="O624" t="n">
        <v>0</v>
      </c>
      <c r="P624" t="n">
        <v>0</v>
      </c>
      <c r="Q624" t="n">
        <v>0</v>
      </c>
      <c r="R624" s="2" t="inlineStr"/>
    </row>
    <row r="625" ht="15" customHeight="1">
      <c r="A625" t="inlineStr">
        <is>
          <t>A 55489-2024</t>
        </is>
      </c>
      <c r="B625" s="1" t="n">
        <v>45622.44774305556</v>
      </c>
      <c r="C625" s="1" t="n">
        <v>46049</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34709-2025</t>
        </is>
      </c>
      <c r="B626" s="1" t="n">
        <v>45848.49761574074</v>
      </c>
      <c r="C626" s="1" t="n">
        <v>46049</v>
      </c>
      <c r="D626" t="inlineStr">
        <is>
          <t>JÄMTLANDS LÄN</t>
        </is>
      </c>
      <c r="E626" t="inlineStr">
        <is>
          <t>RAGUNDA</t>
        </is>
      </c>
      <c r="G626" t="n">
        <v>3.1</v>
      </c>
      <c r="H626" t="n">
        <v>0</v>
      </c>
      <c r="I626" t="n">
        <v>0</v>
      </c>
      <c r="J626" t="n">
        <v>0</v>
      </c>
      <c r="K626" t="n">
        <v>0</v>
      </c>
      <c r="L626" t="n">
        <v>0</v>
      </c>
      <c r="M626" t="n">
        <v>0</v>
      </c>
      <c r="N626" t="n">
        <v>0</v>
      </c>
      <c r="O626" t="n">
        <v>0</v>
      </c>
      <c r="P626" t="n">
        <v>0</v>
      </c>
      <c r="Q626" t="n">
        <v>0</v>
      </c>
      <c r="R626" s="2" t="inlineStr"/>
    </row>
    <row r="627" ht="15" customHeight="1">
      <c r="A627" t="inlineStr">
        <is>
          <t>A 45279-2025</t>
        </is>
      </c>
      <c r="B627" s="1" t="n">
        <v>45919.71912037037</v>
      </c>
      <c r="C627" s="1" t="n">
        <v>46049</v>
      </c>
      <c r="D627" t="inlineStr">
        <is>
          <t>JÄMTLANDS LÄN</t>
        </is>
      </c>
      <c r="E627" t="inlineStr">
        <is>
          <t>RAGUNDA</t>
        </is>
      </c>
      <c r="F627" t="inlineStr">
        <is>
          <t>SCA</t>
        </is>
      </c>
      <c r="G627" t="n">
        <v>11.5</v>
      </c>
      <c r="H627" t="n">
        <v>0</v>
      </c>
      <c r="I627" t="n">
        <v>0</v>
      </c>
      <c r="J627" t="n">
        <v>0</v>
      </c>
      <c r="K627" t="n">
        <v>0</v>
      </c>
      <c r="L627" t="n">
        <v>0</v>
      </c>
      <c r="M627" t="n">
        <v>0</v>
      </c>
      <c r="N627" t="n">
        <v>0</v>
      </c>
      <c r="O627" t="n">
        <v>0</v>
      </c>
      <c r="P627" t="n">
        <v>0</v>
      </c>
      <c r="Q627" t="n">
        <v>0</v>
      </c>
      <c r="R627" s="2" t="inlineStr"/>
    </row>
    <row r="628" ht="15" customHeight="1">
      <c r="A628" t="inlineStr">
        <is>
          <t>A 14074-2023</t>
        </is>
      </c>
      <c r="B628" s="1" t="n">
        <v>45009.089375</v>
      </c>
      <c r="C628" s="1" t="n">
        <v>46049</v>
      </c>
      <c r="D628" t="inlineStr">
        <is>
          <t>JÄMTLANDS LÄN</t>
        </is>
      </c>
      <c r="E628" t="inlineStr">
        <is>
          <t>RAGUNDA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35092-2025</t>
        </is>
      </c>
      <c r="B629" s="1" t="n">
        <v>45852.53185185185</v>
      </c>
      <c r="C629" s="1" t="n">
        <v>46049</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34998-2025</t>
        </is>
      </c>
      <c r="B630" s="1" t="n">
        <v>45850.34434027778</v>
      </c>
      <c r="C630" s="1" t="n">
        <v>46049</v>
      </c>
      <c r="D630" t="inlineStr">
        <is>
          <t>JÄMTLANDS LÄN</t>
        </is>
      </c>
      <c r="E630" t="inlineStr">
        <is>
          <t>RAGUNDA</t>
        </is>
      </c>
      <c r="G630" t="n">
        <v>1.4</v>
      </c>
      <c r="H630" t="n">
        <v>0</v>
      </c>
      <c r="I630" t="n">
        <v>0</v>
      </c>
      <c r="J630" t="n">
        <v>0</v>
      </c>
      <c r="K630" t="n">
        <v>0</v>
      </c>
      <c r="L630" t="n">
        <v>0</v>
      </c>
      <c r="M630" t="n">
        <v>0</v>
      </c>
      <c r="N630" t="n">
        <v>0</v>
      </c>
      <c r="O630" t="n">
        <v>0</v>
      </c>
      <c r="P630" t="n">
        <v>0</v>
      </c>
      <c r="Q630" t="n">
        <v>0</v>
      </c>
      <c r="R630" s="2" t="inlineStr"/>
    </row>
    <row r="631" ht="15" customHeight="1">
      <c r="A631" t="inlineStr">
        <is>
          <t>A 34968-2025</t>
        </is>
      </c>
      <c r="B631" s="1" t="n">
        <v>45849.65663194445</v>
      </c>
      <c r="C631" s="1" t="n">
        <v>46049</v>
      </c>
      <c r="D631" t="inlineStr">
        <is>
          <t>JÄMTLANDS LÄN</t>
        </is>
      </c>
      <c r="E631" t="inlineStr">
        <is>
          <t>RAGUNDA</t>
        </is>
      </c>
      <c r="F631" t="inlineStr">
        <is>
          <t>SCA</t>
        </is>
      </c>
      <c r="G631" t="n">
        <v>20.2</v>
      </c>
      <c r="H631" t="n">
        <v>0</v>
      </c>
      <c r="I631" t="n">
        <v>0</v>
      </c>
      <c r="J631" t="n">
        <v>0</v>
      </c>
      <c r="K631" t="n">
        <v>0</v>
      </c>
      <c r="L631" t="n">
        <v>0</v>
      </c>
      <c r="M631" t="n">
        <v>0</v>
      </c>
      <c r="N631" t="n">
        <v>0</v>
      </c>
      <c r="O631" t="n">
        <v>0</v>
      </c>
      <c r="P631" t="n">
        <v>0</v>
      </c>
      <c r="Q631" t="n">
        <v>0</v>
      </c>
      <c r="R631" s="2" t="inlineStr"/>
    </row>
    <row r="632" ht="15" customHeight="1">
      <c r="A632" t="inlineStr">
        <is>
          <t>A 54764-2024</t>
        </is>
      </c>
      <c r="B632" s="1" t="n">
        <v>45618.46921296296</v>
      </c>
      <c r="C632" s="1" t="n">
        <v>46049</v>
      </c>
      <c r="D632" t="inlineStr">
        <is>
          <t>JÄMTLANDS LÄN</t>
        </is>
      </c>
      <c r="E632" t="inlineStr">
        <is>
          <t>RAGUNDA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34999-2025</t>
        </is>
      </c>
      <c r="B633" s="1" t="n">
        <v>45850.34450231482</v>
      </c>
      <c r="C633" s="1" t="n">
        <v>46049</v>
      </c>
      <c r="D633" t="inlineStr">
        <is>
          <t>JÄMTLANDS LÄN</t>
        </is>
      </c>
      <c r="E633" t="inlineStr">
        <is>
          <t>RAGUNDA</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35091-2025</t>
        </is>
      </c>
      <c r="B634" s="1" t="n">
        <v>45852.53168981482</v>
      </c>
      <c r="C634" s="1" t="n">
        <v>46049</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35355-2025</t>
        </is>
      </c>
      <c r="B635" s="1" t="n">
        <v>45854.65663194445</v>
      </c>
      <c r="C635" s="1" t="n">
        <v>46049</v>
      </c>
      <c r="D635" t="inlineStr">
        <is>
          <t>JÄMTLANDS LÄN</t>
        </is>
      </c>
      <c r="E635" t="inlineStr">
        <is>
          <t>RAGUNDA</t>
        </is>
      </c>
      <c r="F635" t="inlineStr">
        <is>
          <t>SCA</t>
        </is>
      </c>
      <c r="G635" t="n">
        <v>4</v>
      </c>
      <c r="H635" t="n">
        <v>0</v>
      </c>
      <c r="I635" t="n">
        <v>0</v>
      </c>
      <c r="J635" t="n">
        <v>0</v>
      </c>
      <c r="K635" t="n">
        <v>0</v>
      </c>
      <c r="L635" t="n">
        <v>0</v>
      </c>
      <c r="M635" t="n">
        <v>0</v>
      </c>
      <c r="N635" t="n">
        <v>0</v>
      </c>
      <c r="O635" t="n">
        <v>0</v>
      </c>
      <c r="P635" t="n">
        <v>0</v>
      </c>
      <c r="Q635" t="n">
        <v>0</v>
      </c>
      <c r="R635" s="2" t="inlineStr"/>
    </row>
    <row r="636" ht="15" customHeight="1">
      <c r="A636" t="inlineStr">
        <is>
          <t>A 7279-2024</t>
        </is>
      </c>
      <c r="B636" s="1" t="n">
        <v>45344.92822916667</v>
      </c>
      <c r="C636" s="1" t="n">
        <v>46049</v>
      </c>
      <c r="D636" t="inlineStr">
        <is>
          <t>JÄMTLANDS LÄN</t>
        </is>
      </c>
      <c r="E636" t="inlineStr">
        <is>
          <t>RAGUNDA</t>
        </is>
      </c>
      <c r="G636" t="n">
        <v>2.1</v>
      </c>
      <c r="H636" t="n">
        <v>0</v>
      </c>
      <c r="I636" t="n">
        <v>0</v>
      </c>
      <c r="J636" t="n">
        <v>0</v>
      </c>
      <c r="K636" t="n">
        <v>0</v>
      </c>
      <c r="L636" t="n">
        <v>0</v>
      </c>
      <c r="M636" t="n">
        <v>0</v>
      </c>
      <c r="N636" t="n">
        <v>0</v>
      </c>
      <c r="O636" t="n">
        <v>0</v>
      </c>
      <c r="P636" t="n">
        <v>0</v>
      </c>
      <c r="Q636" t="n">
        <v>0</v>
      </c>
      <c r="R636" s="2" t="inlineStr"/>
    </row>
    <row r="637" ht="15" customHeight="1">
      <c r="A637" t="inlineStr">
        <is>
          <t>A 45894-2025</t>
        </is>
      </c>
      <c r="B637" s="1" t="n">
        <v>45923.67765046296</v>
      </c>
      <c r="C637" s="1" t="n">
        <v>46049</v>
      </c>
      <c r="D637" t="inlineStr">
        <is>
          <t>JÄMTLANDS LÄN</t>
        </is>
      </c>
      <c r="E637" t="inlineStr">
        <is>
          <t>RAGUNDA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35477-2025</t>
        </is>
      </c>
      <c r="B638" s="1" t="n">
        <v>45855.67899305555</v>
      </c>
      <c r="C638" s="1" t="n">
        <v>46049</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35541-2025</t>
        </is>
      </c>
      <c r="B639" s="1" t="n">
        <v>45856.46931712963</v>
      </c>
      <c r="C639" s="1" t="n">
        <v>46049</v>
      </c>
      <c r="D639" t="inlineStr">
        <is>
          <t>JÄMTLANDS LÄN</t>
        </is>
      </c>
      <c r="E639" t="inlineStr">
        <is>
          <t>RAGUNDA</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35462-2025</t>
        </is>
      </c>
      <c r="B640" s="1" t="n">
        <v>45855.61523148148</v>
      </c>
      <c r="C640" s="1" t="n">
        <v>46049</v>
      </c>
      <c r="D640" t="inlineStr">
        <is>
          <t>JÄMTLANDS LÄN</t>
        </is>
      </c>
      <c r="E640" t="inlineStr">
        <is>
          <t>RAGUNDA</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46192-2025</t>
        </is>
      </c>
      <c r="B641" s="1" t="n">
        <v>45924.67789351852</v>
      </c>
      <c r="C641" s="1" t="n">
        <v>46049</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35689-2025</t>
        </is>
      </c>
      <c r="B642" s="1" t="n">
        <v>45860.30229166667</v>
      </c>
      <c r="C642" s="1" t="n">
        <v>46049</v>
      </c>
      <c r="D642" t="inlineStr">
        <is>
          <t>JÄMTLANDS LÄN</t>
        </is>
      </c>
      <c r="E642" t="inlineStr">
        <is>
          <t>RAGUNDA</t>
        </is>
      </c>
      <c r="G642" t="n">
        <v>1.9</v>
      </c>
      <c r="H642" t="n">
        <v>0</v>
      </c>
      <c r="I642" t="n">
        <v>0</v>
      </c>
      <c r="J642" t="n">
        <v>0</v>
      </c>
      <c r="K642" t="n">
        <v>0</v>
      </c>
      <c r="L642" t="n">
        <v>0</v>
      </c>
      <c r="M642" t="n">
        <v>0</v>
      </c>
      <c r="N642" t="n">
        <v>0</v>
      </c>
      <c r="O642" t="n">
        <v>0</v>
      </c>
      <c r="P642" t="n">
        <v>0</v>
      </c>
      <c r="Q642" t="n">
        <v>0</v>
      </c>
      <c r="R642" s="2" t="inlineStr"/>
    </row>
    <row r="643" ht="15" customHeight="1">
      <c r="A643" t="inlineStr">
        <is>
          <t>A 35658-2025</t>
        </is>
      </c>
      <c r="B643" s="1" t="n">
        <v>45859.594375</v>
      </c>
      <c r="C643" s="1" t="n">
        <v>46049</v>
      </c>
      <c r="D643" t="inlineStr">
        <is>
          <t>JÄMTLANDS LÄN</t>
        </is>
      </c>
      <c r="E643" t="inlineStr">
        <is>
          <t>RAGUNDA</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46689-2025</t>
        </is>
      </c>
      <c r="B644" s="1" t="n">
        <v>45926.55307870371</v>
      </c>
      <c r="C644" s="1" t="n">
        <v>46049</v>
      </c>
      <c r="D644" t="inlineStr">
        <is>
          <t>JÄMTLANDS LÄN</t>
        </is>
      </c>
      <c r="E644" t="inlineStr">
        <is>
          <t>RAGUNDA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10706-2023</t>
        </is>
      </c>
      <c r="B645" s="1" t="n">
        <v>44984</v>
      </c>
      <c r="C645" s="1" t="n">
        <v>46049</v>
      </c>
      <c r="D645" t="inlineStr">
        <is>
          <t>JÄMTLANDS LÄN</t>
        </is>
      </c>
      <c r="E645" t="inlineStr">
        <is>
          <t>RAGUNDA</t>
        </is>
      </c>
      <c r="G645" t="n">
        <v>7.7</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46049</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46275-2025</t>
        </is>
      </c>
      <c r="B647" s="1" t="n">
        <v>45925.3711574074</v>
      </c>
      <c r="C647" s="1" t="n">
        <v>46049</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8416-2023</t>
        </is>
      </c>
      <c r="B648" s="1" t="n">
        <v>44977.44373842593</v>
      </c>
      <c r="C648" s="1" t="n">
        <v>46049</v>
      </c>
      <c r="D648" t="inlineStr">
        <is>
          <t>JÄMTLANDS LÄN</t>
        </is>
      </c>
      <c r="E648" t="inlineStr">
        <is>
          <t>RAGUNDA</t>
        </is>
      </c>
      <c r="G648" t="n">
        <v>0.7</v>
      </c>
      <c r="H648" t="n">
        <v>0</v>
      </c>
      <c r="I648" t="n">
        <v>0</v>
      </c>
      <c r="J648" t="n">
        <v>0</v>
      </c>
      <c r="K648" t="n">
        <v>0</v>
      </c>
      <c r="L648" t="n">
        <v>0</v>
      </c>
      <c r="M648" t="n">
        <v>0</v>
      </c>
      <c r="N648" t="n">
        <v>0</v>
      </c>
      <c r="O648" t="n">
        <v>0</v>
      </c>
      <c r="P648" t="n">
        <v>0</v>
      </c>
      <c r="Q648" t="n">
        <v>0</v>
      </c>
      <c r="R648" s="2" t="inlineStr"/>
    </row>
    <row r="649" ht="15" customHeight="1">
      <c r="A649" t="inlineStr">
        <is>
          <t>A 46710-2025</t>
        </is>
      </c>
      <c r="B649" s="1" t="n">
        <v>45926.57337962963</v>
      </c>
      <c r="C649" s="1" t="n">
        <v>46049</v>
      </c>
      <c r="D649" t="inlineStr">
        <is>
          <t>JÄMTLANDS LÄN</t>
        </is>
      </c>
      <c r="E649" t="inlineStr">
        <is>
          <t>RAGUNDA</t>
        </is>
      </c>
      <c r="F649" t="inlineStr">
        <is>
          <t>SCA</t>
        </is>
      </c>
      <c r="G649" t="n">
        <v>6</v>
      </c>
      <c r="H649" t="n">
        <v>0</v>
      </c>
      <c r="I649" t="n">
        <v>0</v>
      </c>
      <c r="J649" t="n">
        <v>0</v>
      </c>
      <c r="K649" t="n">
        <v>0</v>
      </c>
      <c r="L649" t="n">
        <v>0</v>
      </c>
      <c r="M649" t="n">
        <v>0</v>
      </c>
      <c r="N649" t="n">
        <v>0</v>
      </c>
      <c r="O649" t="n">
        <v>0</v>
      </c>
      <c r="P649" t="n">
        <v>0</v>
      </c>
      <c r="Q649" t="n">
        <v>0</v>
      </c>
      <c r="R649" s="2" t="inlineStr"/>
    </row>
    <row r="650" ht="15" customHeight="1">
      <c r="A650" t="inlineStr">
        <is>
          <t>A 46751-2025</t>
        </is>
      </c>
      <c r="B650" s="1" t="n">
        <v>45926.6153125</v>
      </c>
      <c r="C650" s="1" t="n">
        <v>46049</v>
      </c>
      <c r="D650" t="inlineStr">
        <is>
          <t>JÄMTLANDS LÄN</t>
        </is>
      </c>
      <c r="E650" t="inlineStr">
        <is>
          <t>RAGUNDA</t>
        </is>
      </c>
      <c r="F650" t="inlineStr">
        <is>
          <t>SCA</t>
        </is>
      </c>
      <c r="G650" t="n">
        <v>7.8</v>
      </c>
      <c r="H650" t="n">
        <v>0</v>
      </c>
      <c r="I650" t="n">
        <v>0</v>
      </c>
      <c r="J650" t="n">
        <v>0</v>
      </c>
      <c r="K650" t="n">
        <v>0</v>
      </c>
      <c r="L650" t="n">
        <v>0</v>
      </c>
      <c r="M650" t="n">
        <v>0</v>
      </c>
      <c r="N650" t="n">
        <v>0</v>
      </c>
      <c r="O650" t="n">
        <v>0</v>
      </c>
      <c r="P650" t="n">
        <v>0</v>
      </c>
      <c r="Q650" t="n">
        <v>0</v>
      </c>
      <c r="R650" s="2" t="inlineStr"/>
    </row>
    <row r="651" ht="15" customHeight="1">
      <c r="A651" t="inlineStr">
        <is>
          <t>A 46753-2025</t>
        </is>
      </c>
      <c r="B651" s="1" t="n">
        <v>45926.61552083334</v>
      </c>
      <c r="C651" s="1" t="n">
        <v>46049</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40801-2023</t>
        </is>
      </c>
      <c r="B652" s="1" t="n">
        <v>45170</v>
      </c>
      <c r="C652" s="1" t="n">
        <v>46049</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27499-2024</t>
        </is>
      </c>
      <c r="B653" s="1" t="n">
        <v>45474.50608796296</v>
      </c>
      <c r="C653" s="1" t="n">
        <v>46049</v>
      </c>
      <c r="D653" t="inlineStr">
        <is>
          <t>JÄMTLANDS LÄN</t>
        </is>
      </c>
      <c r="E653" t="inlineStr">
        <is>
          <t>RAGUNDA</t>
        </is>
      </c>
      <c r="G653" t="n">
        <v>1.3</v>
      </c>
      <c r="H653" t="n">
        <v>0</v>
      </c>
      <c r="I653" t="n">
        <v>0</v>
      </c>
      <c r="J653" t="n">
        <v>0</v>
      </c>
      <c r="K653" t="n">
        <v>0</v>
      </c>
      <c r="L653" t="n">
        <v>0</v>
      </c>
      <c r="M653" t="n">
        <v>0</v>
      </c>
      <c r="N653" t="n">
        <v>0</v>
      </c>
      <c r="O653" t="n">
        <v>0</v>
      </c>
      <c r="P653" t="n">
        <v>0</v>
      </c>
      <c r="Q653" t="n">
        <v>0</v>
      </c>
      <c r="R653" s="2" t="inlineStr"/>
    </row>
    <row r="654" ht="15" customHeight="1">
      <c r="A654" t="inlineStr">
        <is>
          <t>A 54092-2024</t>
        </is>
      </c>
      <c r="B654" s="1" t="n">
        <v>45616.5108912037</v>
      </c>
      <c r="C654" s="1" t="n">
        <v>46049</v>
      </c>
      <c r="D654" t="inlineStr">
        <is>
          <t>JÄMTLANDS LÄN</t>
        </is>
      </c>
      <c r="E654" t="inlineStr">
        <is>
          <t>RAGUNDA</t>
        </is>
      </c>
      <c r="F654" t="inlineStr">
        <is>
          <t>Naturvårdsverket</t>
        </is>
      </c>
      <c r="G654" t="n">
        <v>1.3</v>
      </c>
      <c r="H654" t="n">
        <v>0</v>
      </c>
      <c r="I654" t="n">
        <v>0</v>
      </c>
      <c r="J654" t="n">
        <v>0</v>
      </c>
      <c r="K654" t="n">
        <v>0</v>
      </c>
      <c r="L654" t="n">
        <v>0</v>
      </c>
      <c r="M654" t="n">
        <v>0</v>
      </c>
      <c r="N654" t="n">
        <v>0</v>
      </c>
      <c r="O654" t="n">
        <v>0</v>
      </c>
      <c r="P654" t="n">
        <v>0</v>
      </c>
      <c r="Q654" t="n">
        <v>0</v>
      </c>
      <c r="R654" s="2" t="inlineStr"/>
    </row>
    <row r="655" ht="15" customHeight="1">
      <c r="A655" t="inlineStr">
        <is>
          <t>A 52148-2024</t>
        </is>
      </c>
      <c r="B655" s="1" t="n">
        <v>45608.52354166667</v>
      </c>
      <c r="C655" s="1" t="n">
        <v>46049</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462-2023</t>
        </is>
      </c>
      <c r="B656" s="1" t="n">
        <v>44929</v>
      </c>
      <c r="C656" s="1" t="n">
        <v>46049</v>
      </c>
      <c r="D656" t="inlineStr">
        <is>
          <t>JÄMTLANDS LÄN</t>
        </is>
      </c>
      <c r="E656" t="inlineStr">
        <is>
          <t>RAGUNDA</t>
        </is>
      </c>
      <c r="G656" t="n">
        <v>4.5</v>
      </c>
      <c r="H656" t="n">
        <v>0</v>
      </c>
      <c r="I656" t="n">
        <v>0</v>
      </c>
      <c r="J656" t="n">
        <v>0</v>
      </c>
      <c r="K656" t="n">
        <v>0</v>
      </c>
      <c r="L656" t="n">
        <v>0</v>
      </c>
      <c r="M656" t="n">
        <v>0</v>
      </c>
      <c r="N656" t="n">
        <v>0</v>
      </c>
      <c r="O656" t="n">
        <v>0</v>
      </c>
      <c r="P656" t="n">
        <v>0</v>
      </c>
      <c r="Q656" t="n">
        <v>0</v>
      </c>
      <c r="R656" s="2" t="inlineStr"/>
    </row>
    <row r="657" ht="15" customHeight="1">
      <c r="A657" t="inlineStr">
        <is>
          <t>A 47228-2025</t>
        </is>
      </c>
      <c r="B657" s="1" t="n">
        <v>45930.3990162037</v>
      </c>
      <c r="C657" s="1" t="n">
        <v>46049</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46974-2025</t>
        </is>
      </c>
      <c r="B658" s="1" t="n">
        <v>45929.51104166666</v>
      </c>
      <c r="C658" s="1" t="n">
        <v>46049</v>
      </c>
      <c r="D658" t="inlineStr">
        <is>
          <t>JÄMTLANDS LÄN</t>
        </is>
      </c>
      <c r="E658" t="inlineStr">
        <is>
          <t>RAGUNDA</t>
        </is>
      </c>
      <c r="F658" t="inlineStr">
        <is>
          <t>SCA</t>
        </is>
      </c>
      <c r="G658" t="n">
        <v>12.1</v>
      </c>
      <c r="H658" t="n">
        <v>0</v>
      </c>
      <c r="I658" t="n">
        <v>0</v>
      </c>
      <c r="J658" t="n">
        <v>0</v>
      </c>
      <c r="K658" t="n">
        <v>0</v>
      </c>
      <c r="L658" t="n">
        <v>0</v>
      </c>
      <c r="M658" t="n">
        <v>0</v>
      </c>
      <c r="N658" t="n">
        <v>0</v>
      </c>
      <c r="O658" t="n">
        <v>0</v>
      </c>
      <c r="P658" t="n">
        <v>0</v>
      </c>
      <c r="Q658" t="n">
        <v>0</v>
      </c>
      <c r="R658" s="2" t="inlineStr"/>
    </row>
    <row r="659" ht="15" customHeight="1">
      <c r="A659" t="inlineStr">
        <is>
          <t>A 47037-2025</t>
        </is>
      </c>
      <c r="B659" s="1" t="n">
        <v>45929.59456018519</v>
      </c>
      <c r="C659" s="1" t="n">
        <v>46049</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47119-2025</t>
        </is>
      </c>
      <c r="B660" s="1" t="n">
        <v>45929.67795138889</v>
      </c>
      <c r="C660" s="1" t="n">
        <v>46049</v>
      </c>
      <c r="D660" t="inlineStr">
        <is>
          <t>JÄMTLANDS LÄN</t>
        </is>
      </c>
      <c r="E660" t="inlineStr">
        <is>
          <t>RAGUNDA</t>
        </is>
      </c>
      <c r="F660" t="inlineStr">
        <is>
          <t>SCA</t>
        </is>
      </c>
      <c r="G660" t="n">
        <v>22.7</v>
      </c>
      <c r="H660" t="n">
        <v>0</v>
      </c>
      <c r="I660" t="n">
        <v>0</v>
      </c>
      <c r="J660" t="n">
        <v>0</v>
      </c>
      <c r="K660" t="n">
        <v>0</v>
      </c>
      <c r="L660" t="n">
        <v>0</v>
      </c>
      <c r="M660" t="n">
        <v>0</v>
      </c>
      <c r="N660" t="n">
        <v>0</v>
      </c>
      <c r="O660" t="n">
        <v>0</v>
      </c>
      <c r="P660" t="n">
        <v>0</v>
      </c>
      <c r="Q660" t="n">
        <v>0</v>
      </c>
      <c r="R660" s="2" t="inlineStr"/>
    </row>
    <row r="661" ht="15" customHeight="1">
      <c r="A661" t="inlineStr">
        <is>
          <t>A 47122-2025</t>
        </is>
      </c>
      <c r="B661" s="1" t="n">
        <v>45929.67878472222</v>
      </c>
      <c r="C661" s="1" t="n">
        <v>46049</v>
      </c>
      <c r="D661" t="inlineStr">
        <is>
          <t>JÄMTLANDS LÄN</t>
        </is>
      </c>
      <c r="E661" t="inlineStr">
        <is>
          <t>RAGUNDA</t>
        </is>
      </c>
      <c r="F661" t="inlineStr">
        <is>
          <t>SCA</t>
        </is>
      </c>
      <c r="G661" t="n">
        <v>31.1</v>
      </c>
      <c r="H661" t="n">
        <v>0</v>
      </c>
      <c r="I661" t="n">
        <v>0</v>
      </c>
      <c r="J661" t="n">
        <v>0</v>
      </c>
      <c r="K661" t="n">
        <v>0</v>
      </c>
      <c r="L661" t="n">
        <v>0</v>
      </c>
      <c r="M661" t="n">
        <v>0</v>
      </c>
      <c r="N661" t="n">
        <v>0</v>
      </c>
      <c r="O661" t="n">
        <v>0</v>
      </c>
      <c r="P661" t="n">
        <v>0</v>
      </c>
      <c r="Q661" t="n">
        <v>0</v>
      </c>
      <c r="R661" s="2" t="inlineStr"/>
    </row>
    <row r="662" ht="15" customHeight="1">
      <c r="A662" t="inlineStr">
        <is>
          <t>A 26645-2024</t>
        </is>
      </c>
      <c r="B662" s="1" t="n">
        <v>45469.94667824074</v>
      </c>
      <c r="C662" s="1" t="n">
        <v>46049</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46909-2025</t>
        </is>
      </c>
      <c r="B663" s="1" t="n">
        <v>45929.40673611111</v>
      </c>
      <c r="C663" s="1" t="n">
        <v>46049</v>
      </c>
      <c r="D663" t="inlineStr">
        <is>
          <t>JÄMTLANDS LÄN</t>
        </is>
      </c>
      <c r="E663" t="inlineStr">
        <is>
          <t>RAGUNDA</t>
        </is>
      </c>
      <c r="G663" t="n">
        <v>5.7</v>
      </c>
      <c r="H663" t="n">
        <v>0</v>
      </c>
      <c r="I663" t="n">
        <v>0</v>
      </c>
      <c r="J663" t="n">
        <v>0</v>
      </c>
      <c r="K663" t="n">
        <v>0</v>
      </c>
      <c r="L663" t="n">
        <v>0</v>
      </c>
      <c r="M663" t="n">
        <v>0</v>
      </c>
      <c r="N663" t="n">
        <v>0</v>
      </c>
      <c r="O663" t="n">
        <v>0</v>
      </c>
      <c r="P663" t="n">
        <v>0</v>
      </c>
      <c r="Q663" t="n">
        <v>0</v>
      </c>
      <c r="R663" s="2" t="inlineStr"/>
    </row>
    <row r="664" ht="15" customHeight="1">
      <c r="A664" t="inlineStr">
        <is>
          <t>A 32258-2024</t>
        </is>
      </c>
      <c r="B664" s="1" t="n">
        <v>45511</v>
      </c>
      <c r="C664" s="1" t="n">
        <v>46049</v>
      </c>
      <c r="D664" t="inlineStr">
        <is>
          <t>JÄMTLANDS LÄN</t>
        </is>
      </c>
      <c r="E664" t="inlineStr">
        <is>
          <t>RAGUNDA</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36541-2025</t>
        </is>
      </c>
      <c r="B665" s="1" t="n">
        <v>45869.65666666667</v>
      </c>
      <c r="C665" s="1" t="n">
        <v>46049</v>
      </c>
      <c r="D665" t="inlineStr">
        <is>
          <t>JÄMTLANDS LÄN</t>
        </is>
      </c>
      <c r="E665" t="inlineStr">
        <is>
          <t>RAGUNDA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36544-2025</t>
        </is>
      </c>
      <c r="B666" s="1" t="n">
        <v>45869.67744212963</v>
      </c>
      <c r="C666" s="1" t="n">
        <v>46049</v>
      </c>
      <c r="D666" t="inlineStr">
        <is>
          <t>JÄMTLANDS LÄN</t>
        </is>
      </c>
      <c r="E666" t="inlineStr">
        <is>
          <t>RAGUNDA</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36553-2025</t>
        </is>
      </c>
      <c r="B667" s="1" t="n">
        <v>45870.34439814815</v>
      </c>
      <c r="C667" s="1" t="n">
        <v>46049</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47229-2025</t>
        </is>
      </c>
      <c r="B668" s="1" t="n">
        <v>45930.40166666666</v>
      </c>
      <c r="C668" s="1" t="n">
        <v>46049</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47075-2025</t>
        </is>
      </c>
      <c r="B669" s="1" t="n">
        <v>45929.63728009259</v>
      </c>
      <c r="C669" s="1" t="n">
        <v>46049</v>
      </c>
      <c r="D669" t="inlineStr">
        <is>
          <t>JÄMTLANDS LÄN</t>
        </is>
      </c>
      <c r="E669" t="inlineStr">
        <is>
          <t>RAGUNDA</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46825-2025</t>
        </is>
      </c>
      <c r="B670" s="1" t="n">
        <v>45926.92506944444</v>
      </c>
      <c r="C670" s="1" t="n">
        <v>46049</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47749-2025</t>
        </is>
      </c>
      <c r="B671" s="1" t="n">
        <v>45931.65711805555</v>
      </c>
      <c r="C671" s="1" t="n">
        <v>46049</v>
      </c>
      <c r="D671" t="inlineStr">
        <is>
          <t>JÄMTLANDS LÄN</t>
        </is>
      </c>
      <c r="E671" t="inlineStr">
        <is>
          <t>RAGUNDA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15672-2021</t>
        </is>
      </c>
      <c r="B672" s="1" t="n">
        <v>44286</v>
      </c>
      <c r="C672" s="1" t="n">
        <v>46049</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50650-2023</t>
        </is>
      </c>
      <c r="B673" s="1" t="n">
        <v>45210</v>
      </c>
      <c r="C673" s="1" t="n">
        <v>46049</v>
      </c>
      <c r="D673" t="inlineStr">
        <is>
          <t>JÄMTLANDS LÄN</t>
        </is>
      </c>
      <c r="E673" t="inlineStr">
        <is>
          <t>RAGUNDA</t>
        </is>
      </c>
      <c r="G673" t="n">
        <v>1.3</v>
      </c>
      <c r="H673" t="n">
        <v>0</v>
      </c>
      <c r="I673" t="n">
        <v>0</v>
      </c>
      <c r="J673" t="n">
        <v>0</v>
      </c>
      <c r="K673" t="n">
        <v>0</v>
      </c>
      <c r="L673" t="n">
        <v>0</v>
      </c>
      <c r="M673" t="n">
        <v>0</v>
      </c>
      <c r="N673" t="n">
        <v>0</v>
      </c>
      <c r="O673" t="n">
        <v>0</v>
      </c>
      <c r="P673" t="n">
        <v>0</v>
      </c>
      <c r="Q673" t="n">
        <v>0</v>
      </c>
      <c r="R673" s="2" t="inlineStr"/>
    </row>
    <row r="674" ht="15" customHeight="1">
      <c r="A674" t="inlineStr">
        <is>
          <t>A 19438-2023</t>
        </is>
      </c>
      <c r="B674" s="1" t="n">
        <v>45049</v>
      </c>
      <c r="C674" s="1" t="n">
        <v>46049</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564-2025</t>
        </is>
      </c>
      <c r="B675" s="1" t="n">
        <v>45664.55241898148</v>
      </c>
      <c r="C675" s="1" t="n">
        <v>46049</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36947-2025</t>
        </is>
      </c>
      <c r="B676" s="1" t="n">
        <v>45874.59496527778</v>
      </c>
      <c r="C676" s="1" t="n">
        <v>46049</v>
      </c>
      <c r="D676" t="inlineStr">
        <is>
          <t>JÄMTLANDS LÄN</t>
        </is>
      </c>
      <c r="E676" t="inlineStr">
        <is>
          <t>RAGUNDA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32075-2025</t>
        </is>
      </c>
      <c r="B677" s="1" t="n">
        <v>45835.4506712963</v>
      </c>
      <c r="C677" s="1" t="n">
        <v>46049</v>
      </c>
      <c r="D677" t="inlineStr">
        <is>
          <t>JÄMTLANDS LÄN</t>
        </is>
      </c>
      <c r="E677" t="inlineStr">
        <is>
          <t>RAGUNDA</t>
        </is>
      </c>
      <c r="G677" t="n">
        <v>1.1</v>
      </c>
      <c r="H677" t="n">
        <v>0</v>
      </c>
      <c r="I677" t="n">
        <v>0</v>
      </c>
      <c r="J677" t="n">
        <v>0</v>
      </c>
      <c r="K677" t="n">
        <v>0</v>
      </c>
      <c r="L677" t="n">
        <v>0</v>
      </c>
      <c r="M677" t="n">
        <v>0</v>
      </c>
      <c r="N677" t="n">
        <v>0</v>
      </c>
      <c r="O677" t="n">
        <v>0</v>
      </c>
      <c r="P677" t="n">
        <v>0</v>
      </c>
      <c r="Q677" t="n">
        <v>0</v>
      </c>
      <c r="R677" s="2" t="inlineStr"/>
    </row>
    <row r="678" ht="15" customHeight="1">
      <c r="A678" t="inlineStr">
        <is>
          <t>A 36994-2025</t>
        </is>
      </c>
      <c r="B678" s="1" t="n">
        <v>45874.67746527777</v>
      </c>
      <c r="C678" s="1" t="n">
        <v>46049</v>
      </c>
      <c r="D678" t="inlineStr">
        <is>
          <t>JÄMTLANDS LÄN</t>
        </is>
      </c>
      <c r="E678" t="inlineStr">
        <is>
          <t>RAGUNDA</t>
        </is>
      </c>
      <c r="F678" t="inlineStr">
        <is>
          <t>SCA</t>
        </is>
      </c>
      <c r="G678" t="n">
        <v>7.2</v>
      </c>
      <c r="H678" t="n">
        <v>0</v>
      </c>
      <c r="I678" t="n">
        <v>0</v>
      </c>
      <c r="J678" t="n">
        <v>0</v>
      </c>
      <c r="K678" t="n">
        <v>0</v>
      </c>
      <c r="L678" t="n">
        <v>0</v>
      </c>
      <c r="M678" t="n">
        <v>0</v>
      </c>
      <c r="N678" t="n">
        <v>0</v>
      </c>
      <c r="O678" t="n">
        <v>0</v>
      </c>
      <c r="P678" t="n">
        <v>0</v>
      </c>
      <c r="Q678" t="n">
        <v>0</v>
      </c>
      <c r="R678" s="2" t="inlineStr"/>
    </row>
    <row r="679" ht="15" customHeight="1">
      <c r="A679" t="inlineStr">
        <is>
          <t>A 32874-2025</t>
        </is>
      </c>
      <c r="B679" s="1" t="n">
        <v>45839</v>
      </c>
      <c r="C679" s="1" t="n">
        <v>46049</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21332-2025</t>
        </is>
      </c>
      <c r="B680" s="1" t="n">
        <v>45782.36506944444</v>
      </c>
      <c r="C680" s="1" t="n">
        <v>46049</v>
      </c>
      <c r="D680" t="inlineStr">
        <is>
          <t>JÄMTLANDS LÄN</t>
        </is>
      </c>
      <c r="E680" t="inlineStr">
        <is>
          <t>RAGUNDA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47748-2025</t>
        </is>
      </c>
      <c r="B681" s="1" t="n">
        <v>45931.65693287037</v>
      </c>
      <c r="C681" s="1" t="n">
        <v>46049</v>
      </c>
      <c r="D681" t="inlineStr">
        <is>
          <t>JÄMTLANDS LÄN</t>
        </is>
      </c>
      <c r="E681" t="inlineStr">
        <is>
          <t>RAGUNDA</t>
        </is>
      </c>
      <c r="F681" t="inlineStr">
        <is>
          <t>SCA</t>
        </is>
      </c>
      <c r="G681" t="n">
        <v>8.6</v>
      </c>
      <c r="H681" t="n">
        <v>0</v>
      </c>
      <c r="I681" t="n">
        <v>0</v>
      </c>
      <c r="J681" t="n">
        <v>0</v>
      </c>
      <c r="K681" t="n">
        <v>0</v>
      </c>
      <c r="L681" t="n">
        <v>0</v>
      </c>
      <c r="M681" t="n">
        <v>0</v>
      </c>
      <c r="N681" t="n">
        <v>0</v>
      </c>
      <c r="O681" t="n">
        <v>0</v>
      </c>
      <c r="P681" t="n">
        <v>0</v>
      </c>
      <c r="Q681" t="n">
        <v>0</v>
      </c>
      <c r="R681" s="2" t="inlineStr"/>
    </row>
    <row r="682" ht="15" customHeight="1">
      <c r="A682" t="inlineStr">
        <is>
          <t>A 3767-2025</t>
        </is>
      </c>
      <c r="B682" s="1" t="n">
        <v>45681.60203703704</v>
      </c>
      <c r="C682" s="1" t="n">
        <v>46049</v>
      </c>
      <c r="D682" t="inlineStr">
        <is>
          <t>JÄMTLANDS LÄN</t>
        </is>
      </c>
      <c r="E682" t="inlineStr">
        <is>
          <t>RAGUNDA</t>
        </is>
      </c>
      <c r="G682" t="n">
        <v>4.9</v>
      </c>
      <c r="H682" t="n">
        <v>0</v>
      </c>
      <c r="I682" t="n">
        <v>0</v>
      </c>
      <c r="J682" t="n">
        <v>0</v>
      </c>
      <c r="K682" t="n">
        <v>0</v>
      </c>
      <c r="L682" t="n">
        <v>0</v>
      </c>
      <c r="M682" t="n">
        <v>0</v>
      </c>
      <c r="N682" t="n">
        <v>0</v>
      </c>
      <c r="O682" t="n">
        <v>0</v>
      </c>
      <c r="P682" t="n">
        <v>0</v>
      </c>
      <c r="Q682" t="n">
        <v>0</v>
      </c>
      <c r="R682" s="2" t="inlineStr"/>
    </row>
    <row r="683" ht="15" customHeight="1">
      <c r="A683" t="inlineStr">
        <is>
          <t>A 37008-2025</t>
        </is>
      </c>
      <c r="B683" s="1" t="n">
        <v>45874.69844907407</v>
      </c>
      <c r="C683" s="1" t="n">
        <v>46049</v>
      </c>
      <c r="D683" t="inlineStr">
        <is>
          <t>JÄMTLANDS LÄN</t>
        </is>
      </c>
      <c r="E683" t="inlineStr">
        <is>
          <t>RAGUNDA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48528-2025</t>
        </is>
      </c>
      <c r="B684" s="1" t="n">
        <v>45936.40758101852</v>
      </c>
      <c r="C684" s="1" t="n">
        <v>46049</v>
      </c>
      <c r="D684" t="inlineStr">
        <is>
          <t>JÄMTLANDS LÄN</t>
        </is>
      </c>
      <c r="E684" t="inlineStr">
        <is>
          <t>RAGUNDA</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3186-2025</t>
        </is>
      </c>
      <c r="B685" s="1" t="n">
        <v>45679.40362268518</v>
      </c>
      <c r="C685" s="1" t="n">
        <v>46049</v>
      </c>
      <c r="D685" t="inlineStr">
        <is>
          <t>JÄMTLANDS LÄN</t>
        </is>
      </c>
      <c r="E685" t="inlineStr">
        <is>
          <t>RAGUNDA</t>
        </is>
      </c>
      <c r="G685" t="n">
        <v>5.2</v>
      </c>
      <c r="H685" t="n">
        <v>0</v>
      </c>
      <c r="I685" t="n">
        <v>0</v>
      </c>
      <c r="J685" t="n">
        <v>0</v>
      </c>
      <c r="K685" t="n">
        <v>0</v>
      </c>
      <c r="L685" t="n">
        <v>0</v>
      </c>
      <c r="M685" t="n">
        <v>0</v>
      </c>
      <c r="N685" t="n">
        <v>0</v>
      </c>
      <c r="O685" t="n">
        <v>0</v>
      </c>
      <c r="P685" t="n">
        <v>0</v>
      </c>
      <c r="Q685" t="n">
        <v>0</v>
      </c>
      <c r="R685" s="2" t="inlineStr"/>
    </row>
    <row r="686" ht="15" customHeight="1">
      <c r="A686" t="inlineStr">
        <is>
          <t>A 1308-2025</t>
        </is>
      </c>
      <c r="B686" s="1" t="n">
        <v>45667.55239583334</v>
      </c>
      <c r="C686" s="1" t="n">
        <v>46049</v>
      </c>
      <c r="D686" t="inlineStr">
        <is>
          <t>JÄMTLANDS LÄN</t>
        </is>
      </c>
      <c r="E686" t="inlineStr">
        <is>
          <t>RAGUNDA</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37292-2025</t>
        </is>
      </c>
      <c r="B687" s="1" t="n">
        <v>45876.53188657408</v>
      </c>
      <c r="C687" s="1" t="n">
        <v>46049</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48742-2025</t>
        </is>
      </c>
      <c r="B688" s="1" t="n">
        <v>45936.67810185185</v>
      </c>
      <c r="C688" s="1" t="n">
        <v>46049</v>
      </c>
      <c r="D688" t="inlineStr">
        <is>
          <t>JÄMTLANDS LÄN</t>
        </is>
      </c>
      <c r="E688" t="inlineStr">
        <is>
          <t>RAGUNDA</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41262-2021</t>
        </is>
      </c>
      <c r="B689" s="1" t="n">
        <v>44424</v>
      </c>
      <c r="C689" s="1" t="n">
        <v>46049</v>
      </c>
      <c r="D689" t="inlineStr">
        <is>
          <t>JÄMTLANDS LÄN</t>
        </is>
      </c>
      <c r="E689" t="inlineStr">
        <is>
          <t>RAGUNDA</t>
        </is>
      </c>
      <c r="G689" t="n">
        <v>2.6</v>
      </c>
      <c r="H689" t="n">
        <v>0</v>
      </c>
      <c r="I689" t="n">
        <v>0</v>
      </c>
      <c r="J689" t="n">
        <v>0</v>
      </c>
      <c r="K689" t="n">
        <v>0</v>
      </c>
      <c r="L689" t="n">
        <v>0</v>
      </c>
      <c r="M689" t="n">
        <v>0</v>
      </c>
      <c r="N689" t="n">
        <v>0</v>
      </c>
      <c r="O689" t="n">
        <v>0</v>
      </c>
      <c r="P689" t="n">
        <v>0</v>
      </c>
      <c r="Q689" t="n">
        <v>0</v>
      </c>
      <c r="R689" s="2" t="inlineStr"/>
    </row>
    <row r="690" ht="15" customHeight="1">
      <c r="A690" t="inlineStr">
        <is>
          <t>A 36371-2023</t>
        </is>
      </c>
      <c r="B690" s="1" t="n">
        <v>45149</v>
      </c>
      <c r="C690" s="1" t="n">
        <v>46049</v>
      </c>
      <c r="D690" t="inlineStr">
        <is>
          <t>JÄMTLANDS LÄN</t>
        </is>
      </c>
      <c r="E690" t="inlineStr">
        <is>
          <t>RAGUNDA</t>
        </is>
      </c>
      <c r="G690" t="n">
        <v>25.7</v>
      </c>
      <c r="H690" t="n">
        <v>0</v>
      </c>
      <c r="I690" t="n">
        <v>0</v>
      </c>
      <c r="J690" t="n">
        <v>0</v>
      </c>
      <c r="K690" t="n">
        <v>0</v>
      </c>
      <c r="L690" t="n">
        <v>0</v>
      </c>
      <c r="M690" t="n">
        <v>0</v>
      </c>
      <c r="N690" t="n">
        <v>0</v>
      </c>
      <c r="O690" t="n">
        <v>0</v>
      </c>
      <c r="P690" t="n">
        <v>0</v>
      </c>
      <c r="Q690" t="n">
        <v>0</v>
      </c>
      <c r="R690" s="2" t="inlineStr"/>
    </row>
    <row r="691" ht="15" customHeight="1">
      <c r="A691" t="inlineStr">
        <is>
          <t>A 51579-2024</t>
        </is>
      </c>
      <c r="B691" s="1" t="n">
        <v>45604.63575231482</v>
      </c>
      <c r="C691" s="1" t="n">
        <v>46049</v>
      </c>
      <c r="D691" t="inlineStr">
        <is>
          <t>JÄMTLANDS LÄN</t>
        </is>
      </c>
      <c r="E691" t="inlineStr">
        <is>
          <t>RAGUNDA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48748-2025</t>
        </is>
      </c>
      <c r="B692" s="1" t="n">
        <v>45936.67912037037</v>
      </c>
      <c r="C692" s="1" t="n">
        <v>46049</v>
      </c>
      <c r="D692" t="inlineStr">
        <is>
          <t>JÄMTLANDS LÄN</t>
        </is>
      </c>
      <c r="E692" t="inlineStr">
        <is>
          <t>RAGUNDA</t>
        </is>
      </c>
      <c r="F692" t="inlineStr">
        <is>
          <t>SCA</t>
        </is>
      </c>
      <c r="G692" t="n">
        <v>11.1</v>
      </c>
      <c r="H692" t="n">
        <v>0</v>
      </c>
      <c r="I692" t="n">
        <v>0</v>
      </c>
      <c r="J692" t="n">
        <v>0</v>
      </c>
      <c r="K692" t="n">
        <v>0</v>
      </c>
      <c r="L692" t="n">
        <v>0</v>
      </c>
      <c r="M692" t="n">
        <v>0</v>
      </c>
      <c r="N692" t="n">
        <v>0</v>
      </c>
      <c r="O692" t="n">
        <v>0</v>
      </c>
      <c r="P692" t="n">
        <v>0</v>
      </c>
      <c r="Q692" t="n">
        <v>0</v>
      </c>
      <c r="R692" s="2" t="inlineStr"/>
    </row>
    <row r="693" ht="15" customHeight="1">
      <c r="A693" t="inlineStr">
        <is>
          <t>A 48746-2025</t>
        </is>
      </c>
      <c r="B693" s="1" t="n">
        <v>45936.67878472222</v>
      </c>
      <c r="C693" s="1" t="n">
        <v>46049</v>
      </c>
      <c r="D693" t="inlineStr">
        <is>
          <t>JÄMTLANDS LÄN</t>
        </is>
      </c>
      <c r="E693" t="inlineStr">
        <is>
          <t>RAGUNDA</t>
        </is>
      </c>
      <c r="F693" t="inlineStr">
        <is>
          <t>SCA</t>
        </is>
      </c>
      <c r="G693" t="n">
        <v>6.5</v>
      </c>
      <c r="H693" t="n">
        <v>0</v>
      </c>
      <c r="I693" t="n">
        <v>0</v>
      </c>
      <c r="J693" t="n">
        <v>0</v>
      </c>
      <c r="K693" t="n">
        <v>0</v>
      </c>
      <c r="L693" t="n">
        <v>0</v>
      </c>
      <c r="M693" t="n">
        <v>0</v>
      </c>
      <c r="N693" t="n">
        <v>0</v>
      </c>
      <c r="O693" t="n">
        <v>0</v>
      </c>
      <c r="P693" t="n">
        <v>0</v>
      </c>
      <c r="Q693" t="n">
        <v>0</v>
      </c>
      <c r="R693" s="2" t="inlineStr"/>
    </row>
    <row r="694" ht="15" customHeight="1">
      <c r="A694" t="inlineStr">
        <is>
          <t>A 9504-2025</t>
        </is>
      </c>
      <c r="B694" s="1" t="n">
        <v>45714</v>
      </c>
      <c r="C694" s="1" t="n">
        <v>46049</v>
      </c>
      <c r="D694" t="inlineStr">
        <is>
          <t>JÄMTLANDS LÄN</t>
        </is>
      </c>
      <c r="E694" t="inlineStr">
        <is>
          <t>RAGUNDA</t>
        </is>
      </c>
      <c r="G694" t="n">
        <v>6</v>
      </c>
      <c r="H694" t="n">
        <v>0</v>
      </c>
      <c r="I694" t="n">
        <v>0</v>
      </c>
      <c r="J694" t="n">
        <v>0</v>
      </c>
      <c r="K694" t="n">
        <v>0</v>
      </c>
      <c r="L694" t="n">
        <v>0</v>
      </c>
      <c r="M694" t="n">
        <v>0</v>
      </c>
      <c r="N694" t="n">
        <v>0</v>
      </c>
      <c r="O694" t="n">
        <v>0</v>
      </c>
      <c r="P694" t="n">
        <v>0</v>
      </c>
      <c r="Q694" t="n">
        <v>0</v>
      </c>
      <c r="R694" s="2" t="inlineStr"/>
    </row>
    <row r="695" ht="15" customHeight="1">
      <c r="A695" t="inlineStr">
        <is>
          <t>A 44630-2023</t>
        </is>
      </c>
      <c r="B695" s="1" t="n">
        <v>45184</v>
      </c>
      <c r="C695" s="1" t="n">
        <v>46049</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49059-2025</t>
        </is>
      </c>
      <c r="B696" s="1" t="n">
        <v>45937.64123842592</v>
      </c>
      <c r="C696" s="1" t="n">
        <v>46049</v>
      </c>
      <c r="D696" t="inlineStr">
        <is>
          <t>JÄMTLANDS LÄN</t>
        </is>
      </c>
      <c r="E696" t="inlineStr">
        <is>
          <t>RAGUNDA</t>
        </is>
      </c>
      <c r="G696" t="n">
        <v>2.1</v>
      </c>
      <c r="H696" t="n">
        <v>0</v>
      </c>
      <c r="I696" t="n">
        <v>0</v>
      </c>
      <c r="J696" t="n">
        <v>0</v>
      </c>
      <c r="K696" t="n">
        <v>0</v>
      </c>
      <c r="L696" t="n">
        <v>0</v>
      </c>
      <c r="M696" t="n">
        <v>0</v>
      </c>
      <c r="N696" t="n">
        <v>0</v>
      </c>
      <c r="O696" t="n">
        <v>0</v>
      </c>
      <c r="P696" t="n">
        <v>0</v>
      </c>
      <c r="Q696" t="n">
        <v>0</v>
      </c>
      <c r="R696" s="2" t="inlineStr"/>
    </row>
    <row r="697" ht="15" customHeight="1">
      <c r="A697" t="inlineStr">
        <is>
          <t>A 49092-2025</t>
        </is>
      </c>
      <c r="B697" s="1" t="n">
        <v>45937.67792824074</v>
      </c>
      <c r="C697" s="1" t="n">
        <v>46049</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49193-2025</t>
        </is>
      </c>
      <c r="B698" s="1" t="n">
        <v>45938.40831018519</v>
      </c>
      <c r="C698" s="1" t="n">
        <v>46049</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12522-2023</t>
        </is>
      </c>
      <c r="B699" s="1" t="n">
        <v>45000</v>
      </c>
      <c r="C699" s="1" t="n">
        <v>46049</v>
      </c>
      <c r="D699" t="inlineStr">
        <is>
          <t>JÄMTLANDS LÄN</t>
        </is>
      </c>
      <c r="E699" t="inlineStr">
        <is>
          <t>RAGUNDA</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12523-2023</t>
        </is>
      </c>
      <c r="B700" s="1" t="n">
        <v>45000</v>
      </c>
      <c r="C700" s="1" t="n">
        <v>46049</v>
      </c>
      <c r="D700" t="inlineStr">
        <is>
          <t>JÄMTLANDS LÄN</t>
        </is>
      </c>
      <c r="E700" t="inlineStr">
        <is>
          <t>RAGUNDA</t>
        </is>
      </c>
      <c r="F700" t="inlineStr">
        <is>
          <t>SCA</t>
        </is>
      </c>
      <c r="G700" t="n">
        <v>14.3</v>
      </c>
      <c r="H700" t="n">
        <v>0</v>
      </c>
      <c r="I700" t="n">
        <v>0</v>
      </c>
      <c r="J700" t="n">
        <v>0</v>
      </c>
      <c r="K700" t="n">
        <v>0</v>
      </c>
      <c r="L700" t="n">
        <v>0</v>
      </c>
      <c r="M700" t="n">
        <v>0</v>
      </c>
      <c r="N700" t="n">
        <v>0</v>
      </c>
      <c r="O700" t="n">
        <v>0</v>
      </c>
      <c r="P700" t="n">
        <v>0</v>
      </c>
      <c r="Q700" t="n">
        <v>0</v>
      </c>
      <c r="R700" s="2" t="inlineStr"/>
    </row>
    <row r="701" ht="15" customHeight="1">
      <c r="A701" t="inlineStr">
        <is>
          <t>A 49290-2025</t>
        </is>
      </c>
      <c r="B701" s="1" t="n">
        <v>45938.53168981482</v>
      </c>
      <c r="C701" s="1" t="n">
        <v>46049</v>
      </c>
      <c r="D701" t="inlineStr">
        <is>
          <t>JÄMTLANDS LÄN</t>
        </is>
      </c>
      <c r="E701" t="inlineStr">
        <is>
          <t>RAGUNDA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36246-2024</t>
        </is>
      </c>
      <c r="B702" s="1" t="n">
        <v>45534</v>
      </c>
      <c r="C702" s="1" t="n">
        <v>46049</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49238-2025</t>
        </is>
      </c>
      <c r="B703" s="1" t="n">
        <v>45938.48231481481</v>
      </c>
      <c r="C703" s="1" t="n">
        <v>46049</v>
      </c>
      <c r="D703" t="inlineStr">
        <is>
          <t>JÄMTLANDS LÄN</t>
        </is>
      </c>
      <c r="E703" t="inlineStr">
        <is>
          <t>RAGUNDA</t>
        </is>
      </c>
      <c r="G703" t="n">
        <v>4.7</v>
      </c>
      <c r="H703" t="n">
        <v>0</v>
      </c>
      <c r="I703" t="n">
        <v>0</v>
      </c>
      <c r="J703" t="n">
        <v>0</v>
      </c>
      <c r="K703" t="n">
        <v>0</v>
      </c>
      <c r="L703" t="n">
        <v>0</v>
      </c>
      <c r="M703" t="n">
        <v>0</v>
      </c>
      <c r="N703" t="n">
        <v>0</v>
      </c>
      <c r="O703" t="n">
        <v>0</v>
      </c>
      <c r="P703" t="n">
        <v>0</v>
      </c>
      <c r="Q703" t="n">
        <v>0</v>
      </c>
      <c r="R703" s="2" t="inlineStr"/>
    </row>
    <row r="704" ht="15" customHeight="1">
      <c r="A704" t="inlineStr">
        <is>
          <t>A 32063-2024</t>
        </is>
      </c>
      <c r="B704" s="1" t="n">
        <v>45510</v>
      </c>
      <c r="C704" s="1" t="n">
        <v>46049</v>
      </c>
      <c r="D704" t="inlineStr">
        <is>
          <t>JÄMTLANDS LÄN</t>
        </is>
      </c>
      <c r="E704" t="inlineStr">
        <is>
          <t>RAGUNDA</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46049</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5307-2025</t>
        </is>
      </c>
      <c r="B706" s="1" t="n">
        <v>45692.48993055556</v>
      </c>
      <c r="C706" s="1" t="n">
        <v>46049</v>
      </c>
      <c r="D706" t="inlineStr">
        <is>
          <t>JÄMTLANDS LÄN</t>
        </is>
      </c>
      <c r="E706" t="inlineStr">
        <is>
          <t>RAGUNDA</t>
        </is>
      </c>
      <c r="F706" t="inlineStr">
        <is>
          <t>SCA</t>
        </is>
      </c>
      <c r="G706" t="n">
        <v>20.9</v>
      </c>
      <c r="H706" t="n">
        <v>0</v>
      </c>
      <c r="I706" t="n">
        <v>0</v>
      </c>
      <c r="J706" t="n">
        <v>0</v>
      </c>
      <c r="K706" t="n">
        <v>0</v>
      </c>
      <c r="L706" t="n">
        <v>0</v>
      </c>
      <c r="M706" t="n">
        <v>0</v>
      </c>
      <c r="N706" t="n">
        <v>0</v>
      </c>
      <c r="O706" t="n">
        <v>0</v>
      </c>
      <c r="P706" t="n">
        <v>0</v>
      </c>
      <c r="Q706" t="n">
        <v>0</v>
      </c>
      <c r="R706" s="2" t="inlineStr"/>
    </row>
    <row r="707" ht="15" customHeight="1">
      <c r="A707" t="inlineStr">
        <is>
          <t>A 48066-2022</t>
        </is>
      </c>
      <c r="B707" s="1" t="n">
        <v>44855</v>
      </c>
      <c r="C707" s="1" t="n">
        <v>46049</v>
      </c>
      <c r="D707" t="inlineStr">
        <is>
          <t>JÄMTLANDS LÄN</t>
        </is>
      </c>
      <c r="E707" t="inlineStr">
        <is>
          <t>RAGUNDA</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26942-2021</t>
        </is>
      </c>
      <c r="B708" s="1" t="n">
        <v>44349.91978009259</v>
      </c>
      <c r="C708" s="1" t="n">
        <v>46049</v>
      </c>
      <c r="D708" t="inlineStr">
        <is>
          <t>JÄMTLANDS LÄN</t>
        </is>
      </c>
      <c r="E708" t="inlineStr">
        <is>
          <t>RAGUNDA</t>
        </is>
      </c>
      <c r="G708" t="n">
        <v>6.2</v>
      </c>
      <c r="H708" t="n">
        <v>0</v>
      </c>
      <c r="I708" t="n">
        <v>0</v>
      </c>
      <c r="J708" t="n">
        <v>0</v>
      </c>
      <c r="K708" t="n">
        <v>0</v>
      </c>
      <c r="L708" t="n">
        <v>0</v>
      </c>
      <c r="M708" t="n">
        <v>0</v>
      </c>
      <c r="N708" t="n">
        <v>0</v>
      </c>
      <c r="O708" t="n">
        <v>0</v>
      </c>
      <c r="P708" t="n">
        <v>0</v>
      </c>
      <c r="Q708" t="n">
        <v>0</v>
      </c>
      <c r="R708" s="2" t="inlineStr"/>
    </row>
    <row r="709" ht="15" customHeight="1">
      <c r="A709" t="inlineStr">
        <is>
          <t>A 56504-2024</t>
        </is>
      </c>
      <c r="B709" s="1" t="n">
        <v>45625.51068287037</v>
      </c>
      <c r="C709" s="1" t="n">
        <v>46049</v>
      </c>
      <c r="D709" t="inlineStr">
        <is>
          <t>JÄMTLANDS LÄN</t>
        </is>
      </c>
      <c r="E709" t="inlineStr">
        <is>
          <t>RAGUNDA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34088-2025</t>
        </is>
      </c>
      <c r="B710" s="1" t="n">
        <v>45845</v>
      </c>
      <c r="C710" s="1" t="n">
        <v>46049</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5938-2025</t>
        </is>
      </c>
      <c r="B711" s="1" t="n">
        <v>45695.45868055556</v>
      </c>
      <c r="C711" s="1" t="n">
        <v>46049</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49994-2025</t>
        </is>
      </c>
      <c r="B712" s="1" t="n">
        <v>45942.96922453704</v>
      </c>
      <c r="C712" s="1" t="n">
        <v>46049</v>
      </c>
      <c r="D712" t="inlineStr">
        <is>
          <t>JÄMTLANDS LÄN</t>
        </is>
      </c>
      <c r="E712" t="inlineStr">
        <is>
          <t>RAGUNDA</t>
        </is>
      </c>
      <c r="G712" t="n">
        <v>4.5</v>
      </c>
      <c r="H712" t="n">
        <v>0</v>
      </c>
      <c r="I712" t="n">
        <v>0</v>
      </c>
      <c r="J712" t="n">
        <v>0</v>
      </c>
      <c r="K712" t="n">
        <v>0</v>
      </c>
      <c r="L712" t="n">
        <v>0</v>
      </c>
      <c r="M712" t="n">
        <v>0</v>
      </c>
      <c r="N712" t="n">
        <v>0</v>
      </c>
      <c r="O712" t="n">
        <v>0</v>
      </c>
      <c r="P712" t="n">
        <v>0</v>
      </c>
      <c r="Q712" t="n">
        <v>0</v>
      </c>
      <c r="R712" s="2" t="inlineStr"/>
    </row>
    <row r="713" ht="15" customHeight="1">
      <c r="A713" t="inlineStr">
        <is>
          <t>A 49995-2025</t>
        </is>
      </c>
      <c r="B713" s="1" t="n">
        <v>45943.00986111111</v>
      </c>
      <c r="C713" s="1" t="n">
        <v>46049</v>
      </c>
      <c r="D713" t="inlineStr">
        <is>
          <t>JÄMTLANDS LÄN</t>
        </is>
      </c>
      <c r="E713" t="inlineStr">
        <is>
          <t>RAGUNDA</t>
        </is>
      </c>
      <c r="G713" t="n">
        <v>2.5</v>
      </c>
      <c r="H713" t="n">
        <v>0</v>
      </c>
      <c r="I713" t="n">
        <v>0</v>
      </c>
      <c r="J713" t="n">
        <v>0</v>
      </c>
      <c r="K713" t="n">
        <v>0</v>
      </c>
      <c r="L713" t="n">
        <v>0</v>
      </c>
      <c r="M713" t="n">
        <v>0</v>
      </c>
      <c r="N713" t="n">
        <v>0</v>
      </c>
      <c r="O713" t="n">
        <v>0</v>
      </c>
      <c r="P713" t="n">
        <v>0</v>
      </c>
      <c r="Q713" t="n">
        <v>0</v>
      </c>
      <c r="R713" s="2" t="inlineStr"/>
    </row>
    <row r="714" ht="15" customHeight="1">
      <c r="A714" t="inlineStr">
        <is>
          <t>A 50098-2025</t>
        </is>
      </c>
      <c r="B714" s="1" t="n">
        <v>45943.51086805556</v>
      </c>
      <c r="C714" s="1" t="n">
        <v>46049</v>
      </c>
      <c r="D714" t="inlineStr">
        <is>
          <t>JÄMTLANDS LÄN</t>
        </is>
      </c>
      <c r="E714" t="inlineStr">
        <is>
          <t>RAGUNDA</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50126-2025</t>
        </is>
      </c>
      <c r="B715" s="1" t="n">
        <v>45943.55271990741</v>
      </c>
      <c r="C715" s="1" t="n">
        <v>46049</v>
      </c>
      <c r="D715" t="inlineStr">
        <is>
          <t>JÄMTLANDS LÄN</t>
        </is>
      </c>
      <c r="E715" t="inlineStr">
        <is>
          <t>RAGUNDA</t>
        </is>
      </c>
      <c r="G715" t="n">
        <v>1</v>
      </c>
      <c r="H715" t="n">
        <v>0</v>
      </c>
      <c r="I715" t="n">
        <v>0</v>
      </c>
      <c r="J715" t="n">
        <v>0</v>
      </c>
      <c r="K715" t="n">
        <v>0</v>
      </c>
      <c r="L715" t="n">
        <v>0</v>
      </c>
      <c r="M715" t="n">
        <v>0</v>
      </c>
      <c r="N715" t="n">
        <v>0</v>
      </c>
      <c r="O715" t="n">
        <v>0</v>
      </c>
      <c r="P715" t="n">
        <v>0</v>
      </c>
      <c r="Q715" t="n">
        <v>0</v>
      </c>
      <c r="R715" s="2" t="inlineStr"/>
    </row>
    <row r="716" ht="15" customHeight="1">
      <c r="A716" t="inlineStr">
        <is>
          <t>A 28173-2024</t>
        </is>
      </c>
      <c r="B716" s="1" t="n">
        <v>45476.94533564815</v>
      </c>
      <c r="C716" s="1" t="n">
        <v>46049</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50081-2025</t>
        </is>
      </c>
      <c r="B717" s="1" t="n">
        <v>45943.46954861111</v>
      </c>
      <c r="C717" s="1" t="n">
        <v>46049</v>
      </c>
      <c r="D717" t="inlineStr">
        <is>
          <t>JÄMTLANDS LÄN</t>
        </is>
      </c>
      <c r="E717" t="inlineStr">
        <is>
          <t>RAGUNDA</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50260-2025</t>
        </is>
      </c>
      <c r="B718" s="1" t="n">
        <v>45944.34515046296</v>
      </c>
      <c r="C718" s="1" t="n">
        <v>46049</v>
      </c>
      <c r="D718" t="inlineStr">
        <is>
          <t>JÄMTLANDS LÄN</t>
        </is>
      </c>
      <c r="E718" t="inlineStr">
        <is>
          <t>RAGUNDA</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50215-2025</t>
        </is>
      </c>
      <c r="B719" s="1" t="n">
        <v>45943.67842592593</v>
      </c>
      <c r="C719" s="1" t="n">
        <v>46049</v>
      </c>
      <c r="D719" t="inlineStr">
        <is>
          <t>JÄMTLANDS LÄN</t>
        </is>
      </c>
      <c r="E719" t="inlineStr">
        <is>
          <t>RAGUNDA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49991-2025</t>
        </is>
      </c>
      <c r="B720" s="1" t="n">
        <v>45942.91568287037</v>
      </c>
      <c r="C720" s="1" t="n">
        <v>46049</v>
      </c>
      <c r="D720" t="inlineStr">
        <is>
          <t>JÄMTLANDS LÄN</t>
        </is>
      </c>
      <c r="E720" t="inlineStr">
        <is>
          <t>RAGUNDA</t>
        </is>
      </c>
      <c r="G720" t="n">
        <v>9</v>
      </c>
      <c r="H720" t="n">
        <v>0</v>
      </c>
      <c r="I720" t="n">
        <v>0</v>
      </c>
      <c r="J720" t="n">
        <v>0</v>
      </c>
      <c r="K720" t="n">
        <v>0</v>
      </c>
      <c r="L720" t="n">
        <v>0</v>
      </c>
      <c r="M720" t="n">
        <v>0</v>
      </c>
      <c r="N720" t="n">
        <v>0</v>
      </c>
      <c r="O720" t="n">
        <v>0</v>
      </c>
      <c r="P720" t="n">
        <v>0</v>
      </c>
      <c r="Q720" t="n">
        <v>0</v>
      </c>
      <c r="R720" s="2" t="inlineStr"/>
    </row>
    <row r="721" ht="15" customHeight="1">
      <c r="A721" t="inlineStr">
        <is>
          <t>A 49993-2025</t>
        </is>
      </c>
      <c r="B721" s="1" t="n">
        <v>45942.94371527778</v>
      </c>
      <c r="C721" s="1" t="n">
        <v>46049</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50125-2025</t>
        </is>
      </c>
      <c r="B722" s="1" t="n">
        <v>45943.55262731481</v>
      </c>
      <c r="C722" s="1" t="n">
        <v>46049</v>
      </c>
      <c r="D722" t="inlineStr">
        <is>
          <t>JÄMTLANDS LÄN</t>
        </is>
      </c>
      <c r="E722" t="inlineStr">
        <is>
          <t>RAGUNDA</t>
        </is>
      </c>
      <c r="F722" t="inlineStr">
        <is>
          <t>Sveaskog</t>
        </is>
      </c>
      <c r="G722" t="n">
        <v>23.2</v>
      </c>
      <c r="H722" t="n">
        <v>0</v>
      </c>
      <c r="I722" t="n">
        <v>0</v>
      </c>
      <c r="J722" t="n">
        <v>0</v>
      </c>
      <c r="K722" t="n">
        <v>0</v>
      </c>
      <c r="L722" t="n">
        <v>0</v>
      </c>
      <c r="M722" t="n">
        <v>0</v>
      </c>
      <c r="N722" t="n">
        <v>0</v>
      </c>
      <c r="O722" t="n">
        <v>0</v>
      </c>
      <c r="P722" t="n">
        <v>0</v>
      </c>
      <c r="Q722" t="n">
        <v>0</v>
      </c>
      <c r="R722" s="2" t="inlineStr"/>
    </row>
    <row r="723" ht="15" customHeight="1">
      <c r="A723" t="inlineStr">
        <is>
          <t>A 35537-2021</t>
        </is>
      </c>
      <c r="B723" s="1" t="n">
        <v>44384</v>
      </c>
      <c r="C723" s="1" t="n">
        <v>46049</v>
      </c>
      <c r="D723" t="inlineStr">
        <is>
          <t>JÄMTLANDS LÄN</t>
        </is>
      </c>
      <c r="E723" t="inlineStr">
        <is>
          <t>RAGUNDA</t>
        </is>
      </c>
      <c r="G723" t="n">
        <v>3.1</v>
      </c>
      <c r="H723" t="n">
        <v>0</v>
      </c>
      <c r="I723" t="n">
        <v>0</v>
      </c>
      <c r="J723" t="n">
        <v>0</v>
      </c>
      <c r="K723" t="n">
        <v>0</v>
      </c>
      <c r="L723" t="n">
        <v>0</v>
      </c>
      <c r="M723" t="n">
        <v>0</v>
      </c>
      <c r="N723" t="n">
        <v>0</v>
      </c>
      <c r="O723" t="n">
        <v>0</v>
      </c>
      <c r="P723" t="n">
        <v>0</v>
      </c>
      <c r="Q723" t="n">
        <v>0</v>
      </c>
      <c r="R723" s="2" t="inlineStr"/>
    </row>
    <row r="724" ht="15" customHeight="1">
      <c r="A724" t="inlineStr">
        <is>
          <t>A 50080-2025</t>
        </is>
      </c>
      <c r="B724" s="1" t="n">
        <v>45943.469375</v>
      </c>
      <c r="C724" s="1" t="n">
        <v>46049</v>
      </c>
      <c r="D724" t="inlineStr">
        <is>
          <t>JÄMTLANDS LÄN</t>
        </is>
      </c>
      <c r="E724" t="inlineStr">
        <is>
          <t>RAGUNDA</t>
        </is>
      </c>
      <c r="F724" t="inlineStr">
        <is>
          <t>Naturvårdsverket</t>
        </is>
      </c>
      <c r="G724" t="n">
        <v>6.1</v>
      </c>
      <c r="H724" t="n">
        <v>0</v>
      </c>
      <c r="I724" t="n">
        <v>0</v>
      </c>
      <c r="J724" t="n">
        <v>0</v>
      </c>
      <c r="K724" t="n">
        <v>0</v>
      </c>
      <c r="L724" t="n">
        <v>0</v>
      </c>
      <c r="M724" t="n">
        <v>0</v>
      </c>
      <c r="N724" t="n">
        <v>0</v>
      </c>
      <c r="O724" t="n">
        <v>0</v>
      </c>
      <c r="P724" t="n">
        <v>0</v>
      </c>
      <c r="Q724" t="n">
        <v>0</v>
      </c>
      <c r="R724" s="2" t="inlineStr"/>
    </row>
    <row r="725" ht="15" customHeight="1">
      <c r="A725" t="inlineStr">
        <is>
          <t>A 50055-2025</t>
        </is>
      </c>
      <c r="B725" s="1" t="n">
        <v>45943.43287037037</v>
      </c>
      <c r="C725" s="1" t="n">
        <v>46049</v>
      </c>
      <c r="D725" t="inlineStr">
        <is>
          <t>JÄMTLANDS LÄN</t>
        </is>
      </c>
      <c r="E725" t="inlineStr">
        <is>
          <t>RAGUNDA</t>
        </is>
      </c>
      <c r="G725" t="n">
        <v>17.6</v>
      </c>
      <c r="H725" t="n">
        <v>0</v>
      </c>
      <c r="I725" t="n">
        <v>0</v>
      </c>
      <c r="J725" t="n">
        <v>0</v>
      </c>
      <c r="K725" t="n">
        <v>0</v>
      </c>
      <c r="L725" t="n">
        <v>0</v>
      </c>
      <c r="M725" t="n">
        <v>0</v>
      </c>
      <c r="N725" t="n">
        <v>0</v>
      </c>
      <c r="O725" t="n">
        <v>0</v>
      </c>
      <c r="P725" t="n">
        <v>0</v>
      </c>
      <c r="Q725" t="n">
        <v>0</v>
      </c>
      <c r="R725" s="2" t="inlineStr"/>
    </row>
    <row r="726" ht="15" customHeight="1">
      <c r="A726" t="inlineStr">
        <is>
          <t>A 33650-2025</t>
        </is>
      </c>
      <c r="B726" s="1" t="n">
        <v>45841</v>
      </c>
      <c r="C726" s="1" t="n">
        <v>46049</v>
      </c>
      <c r="D726" t="inlineStr">
        <is>
          <t>JÄMTLANDS LÄN</t>
        </is>
      </c>
      <c r="E726" t="inlineStr">
        <is>
          <t>RAGUNDA</t>
        </is>
      </c>
      <c r="G726" t="n">
        <v>1.4</v>
      </c>
      <c r="H726" t="n">
        <v>0</v>
      </c>
      <c r="I726" t="n">
        <v>0</v>
      </c>
      <c r="J726" t="n">
        <v>0</v>
      </c>
      <c r="K726" t="n">
        <v>0</v>
      </c>
      <c r="L726" t="n">
        <v>0</v>
      </c>
      <c r="M726" t="n">
        <v>0</v>
      </c>
      <c r="N726" t="n">
        <v>0</v>
      </c>
      <c r="O726" t="n">
        <v>0</v>
      </c>
      <c r="P726" t="n">
        <v>0</v>
      </c>
      <c r="Q726" t="n">
        <v>0</v>
      </c>
      <c r="R726" s="2" t="inlineStr"/>
    </row>
    <row r="727" ht="15" customHeight="1">
      <c r="A727" t="inlineStr">
        <is>
          <t>A 50504-2025</t>
        </is>
      </c>
      <c r="B727" s="1" t="n">
        <v>45945.4284837963</v>
      </c>
      <c r="C727" s="1" t="n">
        <v>46049</v>
      </c>
      <c r="D727" t="inlineStr">
        <is>
          <t>JÄMTLANDS LÄN</t>
        </is>
      </c>
      <c r="E727" t="inlineStr">
        <is>
          <t>RAGUNDA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50473-2025</t>
        </is>
      </c>
      <c r="B728" s="1" t="n">
        <v>45945.36520833334</v>
      </c>
      <c r="C728" s="1" t="n">
        <v>46049</v>
      </c>
      <c r="D728" t="inlineStr">
        <is>
          <t>JÄMTLANDS LÄN</t>
        </is>
      </c>
      <c r="E728" t="inlineStr">
        <is>
          <t>RAGUNDA</t>
        </is>
      </c>
      <c r="F728" t="inlineStr">
        <is>
          <t>SCA</t>
        </is>
      </c>
      <c r="G728" t="n">
        <v>11.2</v>
      </c>
      <c r="H728" t="n">
        <v>0</v>
      </c>
      <c r="I728" t="n">
        <v>0</v>
      </c>
      <c r="J728" t="n">
        <v>0</v>
      </c>
      <c r="K728" t="n">
        <v>0</v>
      </c>
      <c r="L728" t="n">
        <v>0</v>
      </c>
      <c r="M728" t="n">
        <v>0</v>
      </c>
      <c r="N728" t="n">
        <v>0</v>
      </c>
      <c r="O728" t="n">
        <v>0</v>
      </c>
      <c r="P728" t="n">
        <v>0</v>
      </c>
      <c r="Q728" t="n">
        <v>0</v>
      </c>
      <c r="R728" s="2" t="inlineStr"/>
    </row>
    <row r="729" ht="15" customHeight="1">
      <c r="A729" t="inlineStr">
        <is>
          <t>A 50503-2025</t>
        </is>
      </c>
      <c r="B729" s="1" t="n">
        <v>45945.42746527777</v>
      </c>
      <c r="C729" s="1" t="n">
        <v>46049</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18248-2023</t>
        </is>
      </c>
      <c r="B730" s="1" t="n">
        <v>45040</v>
      </c>
      <c r="C730" s="1" t="n">
        <v>46049</v>
      </c>
      <c r="D730" t="inlineStr">
        <is>
          <t>JÄMTLANDS LÄN</t>
        </is>
      </c>
      <c r="E730" t="inlineStr">
        <is>
          <t>RAGUNDA</t>
        </is>
      </c>
      <c r="G730" t="n">
        <v>4.3</v>
      </c>
      <c r="H730" t="n">
        <v>0</v>
      </c>
      <c r="I730" t="n">
        <v>0</v>
      </c>
      <c r="J730" t="n">
        <v>0</v>
      </c>
      <c r="K730" t="n">
        <v>0</v>
      </c>
      <c r="L730" t="n">
        <v>0</v>
      </c>
      <c r="M730" t="n">
        <v>0</v>
      </c>
      <c r="N730" t="n">
        <v>0</v>
      </c>
      <c r="O730" t="n">
        <v>0</v>
      </c>
      <c r="P730" t="n">
        <v>0</v>
      </c>
      <c r="Q730" t="n">
        <v>0</v>
      </c>
      <c r="R730" s="2" t="inlineStr"/>
    </row>
    <row r="731" ht="15" customHeight="1">
      <c r="A731" t="inlineStr">
        <is>
          <t>A 45438-2022</t>
        </is>
      </c>
      <c r="B731" s="1" t="n">
        <v>44844.95368055555</v>
      </c>
      <c r="C731" s="1" t="n">
        <v>46049</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50719-2025</t>
        </is>
      </c>
      <c r="B732" s="1" t="n">
        <v>45946.34642361111</v>
      </c>
      <c r="C732" s="1" t="n">
        <v>46049</v>
      </c>
      <c r="D732" t="inlineStr">
        <is>
          <t>JÄMTLANDS LÄN</t>
        </is>
      </c>
      <c r="E732" t="inlineStr">
        <is>
          <t>RAGUNDA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30459-2021</t>
        </is>
      </c>
      <c r="B733" s="1" t="n">
        <v>44362</v>
      </c>
      <c r="C733" s="1" t="n">
        <v>46049</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50711-2025</t>
        </is>
      </c>
      <c r="B734" s="1" t="n">
        <v>45946.34431712963</v>
      </c>
      <c r="C734" s="1" t="n">
        <v>46049</v>
      </c>
      <c r="D734" t="inlineStr">
        <is>
          <t>JÄMTLANDS LÄN</t>
        </is>
      </c>
      <c r="E734" t="inlineStr">
        <is>
          <t>RAGUNDA</t>
        </is>
      </c>
      <c r="F734" t="inlineStr">
        <is>
          <t>SCA</t>
        </is>
      </c>
      <c r="G734" t="n">
        <v>8</v>
      </c>
      <c r="H734" t="n">
        <v>0</v>
      </c>
      <c r="I734" t="n">
        <v>0</v>
      </c>
      <c r="J734" t="n">
        <v>0</v>
      </c>
      <c r="K734" t="n">
        <v>0</v>
      </c>
      <c r="L734" t="n">
        <v>0</v>
      </c>
      <c r="M734" t="n">
        <v>0</v>
      </c>
      <c r="N734" t="n">
        <v>0</v>
      </c>
      <c r="O734" t="n">
        <v>0</v>
      </c>
      <c r="P734" t="n">
        <v>0</v>
      </c>
      <c r="Q734" t="n">
        <v>0</v>
      </c>
      <c r="R734" s="2" t="inlineStr"/>
    </row>
    <row r="735" ht="15" customHeight="1">
      <c r="A735" t="inlineStr">
        <is>
          <t>A 29263-2024</t>
        </is>
      </c>
      <c r="B735" s="1" t="n">
        <v>45482.94891203703</v>
      </c>
      <c r="C735" s="1" t="n">
        <v>46049</v>
      </c>
      <c r="D735" t="inlineStr">
        <is>
          <t>JÄMTLANDS LÄN</t>
        </is>
      </c>
      <c r="E735" t="inlineStr">
        <is>
          <t>RAGUNDA</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29265-2024</t>
        </is>
      </c>
      <c r="B736" s="1" t="n">
        <v>45482.9491087963</v>
      </c>
      <c r="C736" s="1" t="n">
        <v>46049</v>
      </c>
      <c r="D736" t="inlineStr">
        <is>
          <t>JÄMTLANDS LÄN</t>
        </is>
      </c>
      <c r="E736" t="inlineStr">
        <is>
          <t>RAGUNDA</t>
        </is>
      </c>
      <c r="F736" t="inlineStr">
        <is>
          <t>SCA</t>
        </is>
      </c>
      <c r="G736" t="n">
        <v>11.6</v>
      </c>
      <c r="H736" t="n">
        <v>0</v>
      </c>
      <c r="I736" t="n">
        <v>0</v>
      </c>
      <c r="J736" t="n">
        <v>0</v>
      </c>
      <c r="K736" t="n">
        <v>0</v>
      </c>
      <c r="L736" t="n">
        <v>0</v>
      </c>
      <c r="M736" t="n">
        <v>0</v>
      </c>
      <c r="N736" t="n">
        <v>0</v>
      </c>
      <c r="O736" t="n">
        <v>0</v>
      </c>
      <c r="P736" t="n">
        <v>0</v>
      </c>
      <c r="Q736" t="n">
        <v>0</v>
      </c>
      <c r="R736" s="2" t="inlineStr"/>
    </row>
    <row r="737" ht="15" customHeight="1">
      <c r="A737" t="inlineStr">
        <is>
          <t>A 50716-2025</t>
        </is>
      </c>
      <c r="B737" s="1" t="n">
        <v>45946.34572916666</v>
      </c>
      <c r="C737" s="1" t="n">
        <v>46049</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51395-2025</t>
        </is>
      </c>
      <c r="B738" s="1" t="n">
        <v>45950.46989583333</v>
      </c>
      <c r="C738" s="1" t="n">
        <v>46049</v>
      </c>
      <c r="D738" t="inlineStr">
        <is>
          <t>JÄMTLANDS LÄN</t>
        </is>
      </c>
      <c r="E738" t="inlineStr">
        <is>
          <t>RAGUNDA</t>
        </is>
      </c>
      <c r="F738" t="inlineStr">
        <is>
          <t>SCA</t>
        </is>
      </c>
      <c r="G738" t="n">
        <v>30.7</v>
      </c>
      <c r="H738" t="n">
        <v>0</v>
      </c>
      <c r="I738" t="n">
        <v>0</v>
      </c>
      <c r="J738" t="n">
        <v>0</v>
      </c>
      <c r="K738" t="n">
        <v>0</v>
      </c>
      <c r="L738" t="n">
        <v>0</v>
      </c>
      <c r="M738" t="n">
        <v>0</v>
      </c>
      <c r="N738" t="n">
        <v>0</v>
      </c>
      <c r="O738" t="n">
        <v>0</v>
      </c>
      <c r="P738" t="n">
        <v>0</v>
      </c>
      <c r="Q738" t="n">
        <v>0</v>
      </c>
      <c r="R738" s="2" t="inlineStr"/>
    </row>
    <row r="739" ht="15" customHeight="1">
      <c r="A739" t="inlineStr">
        <is>
          <t>A 50985-2025</t>
        </is>
      </c>
      <c r="B739" s="1" t="n">
        <v>45947.34506944445</v>
      </c>
      <c r="C739" s="1" t="n">
        <v>46049</v>
      </c>
      <c r="D739" t="inlineStr">
        <is>
          <t>JÄMTLANDS LÄN</t>
        </is>
      </c>
      <c r="E739" t="inlineStr">
        <is>
          <t>RAGUNDA</t>
        </is>
      </c>
      <c r="F739" t="inlineStr">
        <is>
          <t>SCA</t>
        </is>
      </c>
      <c r="G739" t="n">
        <v>8</v>
      </c>
      <c r="H739" t="n">
        <v>0</v>
      </c>
      <c r="I739" t="n">
        <v>0</v>
      </c>
      <c r="J739" t="n">
        <v>0</v>
      </c>
      <c r="K739" t="n">
        <v>0</v>
      </c>
      <c r="L739" t="n">
        <v>0</v>
      </c>
      <c r="M739" t="n">
        <v>0</v>
      </c>
      <c r="N739" t="n">
        <v>0</v>
      </c>
      <c r="O739" t="n">
        <v>0</v>
      </c>
      <c r="P739" t="n">
        <v>0</v>
      </c>
      <c r="Q739" t="n">
        <v>0</v>
      </c>
      <c r="R739" s="2" t="inlineStr"/>
    </row>
    <row r="740" ht="15" customHeight="1">
      <c r="A740" t="inlineStr">
        <is>
          <t>A 13898-2023</t>
        </is>
      </c>
      <c r="B740" s="1" t="n">
        <v>45008.01408564814</v>
      </c>
      <c r="C740" s="1" t="n">
        <v>46049</v>
      </c>
      <c r="D740" t="inlineStr">
        <is>
          <t>JÄMTLANDS LÄN</t>
        </is>
      </c>
      <c r="E740" t="inlineStr">
        <is>
          <t>RAGUNDA</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41693-2023</t>
        </is>
      </c>
      <c r="B741" s="1" t="n">
        <v>45176</v>
      </c>
      <c r="C741" s="1" t="n">
        <v>46049</v>
      </c>
      <c r="D741" t="inlineStr">
        <is>
          <t>JÄMTLANDS LÄN</t>
        </is>
      </c>
      <c r="E741" t="inlineStr">
        <is>
          <t>RAGUNDA</t>
        </is>
      </c>
      <c r="G741" t="n">
        <v>5.5</v>
      </c>
      <c r="H741" t="n">
        <v>0</v>
      </c>
      <c r="I741" t="n">
        <v>0</v>
      </c>
      <c r="J741" t="n">
        <v>0</v>
      </c>
      <c r="K741" t="n">
        <v>0</v>
      </c>
      <c r="L741" t="n">
        <v>0</v>
      </c>
      <c r="M741" t="n">
        <v>0</v>
      </c>
      <c r="N741" t="n">
        <v>0</v>
      </c>
      <c r="O741" t="n">
        <v>0</v>
      </c>
      <c r="P741" t="n">
        <v>0</v>
      </c>
      <c r="Q741" t="n">
        <v>0</v>
      </c>
      <c r="R741" s="2" t="inlineStr"/>
    </row>
    <row r="742" ht="15" customHeight="1">
      <c r="A742" t="inlineStr">
        <is>
          <t>A 51034-2025</t>
        </is>
      </c>
      <c r="B742" s="1" t="n">
        <v>45947.40670138889</v>
      </c>
      <c r="C742" s="1" t="n">
        <v>46049</v>
      </c>
      <c r="D742" t="inlineStr">
        <is>
          <t>JÄMTLANDS LÄN</t>
        </is>
      </c>
      <c r="E742" t="inlineStr">
        <is>
          <t>RAGUNDA</t>
        </is>
      </c>
      <c r="F742" t="inlineStr">
        <is>
          <t>SCA</t>
        </is>
      </c>
      <c r="G742" t="n">
        <v>44.1</v>
      </c>
      <c r="H742" t="n">
        <v>0</v>
      </c>
      <c r="I742" t="n">
        <v>0</v>
      </c>
      <c r="J742" t="n">
        <v>0</v>
      </c>
      <c r="K742" t="n">
        <v>0</v>
      </c>
      <c r="L742" t="n">
        <v>0</v>
      </c>
      <c r="M742" t="n">
        <v>0</v>
      </c>
      <c r="N742" t="n">
        <v>0</v>
      </c>
      <c r="O742" t="n">
        <v>0</v>
      </c>
      <c r="P742" t="n">
        <v>0</v>
      </c>
      <c r="Q742" t="n">
        <v>0</v>
      </c>
      <c r="R742" s="2" t="inlineStr"/>
    </row>
    <row r="743" ht="15" customHeight="1">
      <c r="A743" t="inlineStr">
        <is>
          <t>A 51019-2025</t>
        </is>
      </c>
      <c r="B743" s="1" t="n">
        <v>45947.38623842593</v>
      </c>
      <c r="C743" s="1" t="n">
        <v>46049</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51394-2025</t>
        </is>
      </c>
      <c r="B744" s="1" t="n">
        <v>45950.46972222222</v>
      </c>
      <c r="C744" s="1" t="n">
        <v>46049</v>
      </c>
      <c r="D744" t="inlineStr">
        <is>
          <t>JÄMTLANDS LÄN</t>
        </is>
      </c>
      <c r="E744" t="inlineStr">
        <is>
          <t>RAGUNDA</t>
        </is>
      </c>
      <c r="F744" t="inlineStr">
        <is>
          <t>SCA</t>
        </is>
      </c>
      <c r="G744" t="n">
        <v>36.5</v>
      </c>
      <c r="H744" t="n">
        <v>0</v>
      </c>
      <c r="I744" t="n">
        <v>0</v>
      </c>
      <c r="J744" t="n">
        <v>0</v>
      </c>
      <c r="K744" t="n">
        <v>0</v>
      </c>
      <c r="L744" t="n">
        <v>0</v>
      </c>
      <c r="M744" t="n">
        <v>0</v>
      </c>
      <c r="N744" t="n">
        <v>0</v>
      </c>
      <c r="O744" t="n">
        <v>0</v>
      </c>
      <c r="P744" t="n">
        <v>0</v>
      </c>
      <c r="Q744" t="n">
        <v>0</v>
      </c>
      <c r="R744" s="2" t="inlineStr"/>
    </row>
    <row r="745" ht="15" customHeight="1">
      <c r="A745" t="inlineStr">
        <is>
          <t>A 3770-2025</t>
        </is>
      </c>
      <c r="B745" s="1" t="n">
        <v>45681.6050925926</v>
      </c>
      <c r="C745" s="1" t="n">
        <v>46049</v>
      </c>
      <c r="D745" t="inlineStr">
        <is>
          <t>JÄMTLANDS LÄN</t>
        </is>
      </c>
      <c r="E745" t="inlineStr">
        <is>
          <t>RAGUNDA</t>
        </is>
      </c>
      <c r="G745" t="n">
        <v>2.7</v>
      </c>
      <c r="H745" t="n">
        <v>0</v>
      </c>
      <c r="I745" t="n">
        <v>0</v>
      </c>
      <c r="J745" t="n">
        <v>0</v>
      </c>
      <c r="K745" t="n">
        <v>0</v>
      </c>
      <c r="L745" t="n">
        <v>0</v>
      </c>
      <c r="M745" t="n">
        <v>0</v>
      </c>
      <c r="N745" t="n">
        <v>0</v>
      </c>
      <c r="O745" t="n">
        <v>0</v>
      </c>
      <c r="P745" t="n">
        <v>0</v>
      </c>
      <c r="Q745" t="n">
        <v>0</v>
      </c>
      <c r="R745" s="2" t="inlineStr"/>
    </row>
    <row r="746" ht="15" customHeight="1">
      <c r="A746" t="inlineStr">
        <is>
          <t>A 51484-2025</t>
        </is>
      </c>
      <c r="B746" s="1" t="n">
        <v>45950.62196759259</v>
      </c>
      <c r="C746" s="1" t="n">
        <v>46049</v>
      </c>
      <c r="D746" t="inlineStr">
        <is>
          <t>JÄMTLANDS LÄN</t>
        </is>
      </c>
      <c r="E746" t="inlineStr">
        <is>
          <t>RAGUNDA</t>
        </is>
      </c>
      <c r="F746" t="inlineStr">
        <is>
          <t>SCA</t>
        </is>
      </c>
      <c r="G746" t="n">
        <v>23.1</v>
      </c>
      <c r="H746" t="n">
        <v>0</v>
      </c>
      <c r="I746" t="n">
        <v>0</v>
      </c>
      <c r="J746" t="n">
        <v>0</v>
      </c>
      <c r="K746" t="n">
        <v>0</v>
      </c>
      <c r="L746" t="n">
        <v>0</v>
      </c>
      <c r="M746" t="n">
        <v>0</v>
      </c>
      <c r="N746" t="n">
        <v>0</v>
      </c>
      <c r="O746" t="n">
        <v>0</v>
      </c>
      <c r="P746" t="n">
        <v>0</v>
      </c>
      <c r="Q746" t="n">
        <v>0</v>
      </c>
      <c r="R746" s="2" t="inlineStr"/>
    </row>
    <row r="747" ht="15" customHeight="1">
      <c r="A747" t="inlineStr">
        <is>
          <t>A 51491-2025</t>
        </is>
      </c>
      <c r="B747" s="1" t="n">
        <v>45950.63362268519</v>
      </c>
      <c r="C747" s="1" t="n">
        <v>46049</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11252-2025</t>
        </is>
      </c>
      <c r="B748" s="1" t="n">
        <v>45726.38615740741</v>
      </c>
      <c r="C748" s="1" t="n">
        <v>46049</v>
      </c>
      <c r="D748" t="inlineStr">
        <is>
          <t>JÄMTLANDS LÄN</t>
        </is>
      </c>
      <c r="E748" t="inlineStr">
        <is>
          <t>RAGUNDA</t>
        </is>
      </c>
      <c r="G748" t="n">
        <v>1.9</v>
      </c>
      <c r="H748" t="n">
        <v>0</v>
      </c>
      <c r="I748" t="n">
        <v>0</v>
      </c>
      <c r="J748" t="n">
        <v>0</v>
      </c>
      <c r="K748" t="n">
        <v>0</v>
      </c>
      <c r="L748" t="n">
        <v>0</v>
      </c>
      <c r="M748" t="n">
        <v>0</v>
      </c>
      <c r="N748" t="n">
        <v>0</v>
      </c>
      <c r="O748" t="n">
        <v>0</v>
      </c>
      <c r="P748" t="n">
        <v>0</v>
      </c>
      <c r="Q748" t="n">
        <v>0</v>
      </c>
      <c r="R748" s="2" t="inlineStr"/>
    </row>
    <row r="749" ht="15" customHeight="1">
      <c r="A749" t="inlineStr">
        <is>
          <t>A 7668-2025</t>
        </is>
      </c>
      <c r="B749" s="1" t="n">
        <v>45706.34450231482</v>
      </c>
      <c r="C749" s="1" t="n">
        <v>46049</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9548-2025</t>
        </is>
      </c>
      <c r="B750" s="1" t="n">
        <v>45715.59405092592</v>
      </c>
      <c r="C750" s="1" t="n">
        <v>46049</v>
      </c>
      <c r="D750" t="inlineStr">
        <is>
          <t>JÄMTLANDS LÄN</t>
        </is>
      </c>
      <c r="E750" t="inlineStr">
        <is>
          <t>RAGUNDA</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51702-2025</t>
        </is>
      </c>
      <c r="B751" s="1" t="n">
        <v>45951.55305555555</v>
      </c>
      <c r="C751" s="1" t="n">
        <v>46049</v>
      </c>
      <c r="D751" t="inlineStr">
        <is>
          <t>JÄMTLANDS LÄN</t>
        </is>
      </c>
      <c r="E751" t="inlineStr">
        <is>
          <t>RAGUNDA</t>
        </is>
      </c>
      <c r="G751" t="n">
        <v>11.4</v>
      </c>
      <c r="H751" t="n">
        <v>0</v>
      </c>
      <c r="I751" t="n">
        <v>0</v>
      </c>
      <c r="J751" t="n">
        <v>0</v>
      </c>
      <c r="K751" t="n">
        <v>0</v>
      </c>
      <c r="L751" t="n">
        <v>0</v>
      </c>
      <c r="M751" t="n">
        <v>0</v>
      </c>
      <c r="N751" t="n">
        <v>0</v>
      </c>
      <c r="O751" t="n">
        <v>0</v>
      </c>
      <c r="P751" t="n">
        <v>0</v>
      </c>
      <c r="Q751" t="n">
        <v>0</v>
      </c>
      <c r="R751" s="2" t="inlineStr"/>
    </row>
    <row r="752" ht="15" customHeight="1">
      <c r="A752" t="inlineStr">
        <is>
          <t>A 51678-2025</t>
        </is>
      </c>
      <c r="B752" s="1" t="n">
        <v>45951.51106481482</v>
      </c>
      <c r="C752" s="1" t="n">
        <v>46049</v>
      </c>
      <c r="D752" t="inlineStr">
        <is>
          <t>JÄMTLANDS LÄN</t>
        </is>
      </c>
      <c r="E752" t="inlineStr">
        <is>
          <t>RAGUNDA</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51906-2025</t>
        </is>
      </c>
      <c r="B753" s="1" t="n">
        <v>45952.4615162037</v>
      </c>
      <c r="C753" s="1" t="n">
        <v>46049</v>
      </c>
      <c r="D753" t="inlineStr">
        <is>
          <t>JÄMTLANDS LÄN</t>
        </is>
      </c>
      <c r="E753" t="inlineStr">
        <is>
          <t>RAGUNDA</t>
        </is>
      </c>
      <c r="G753" t="n">
        <v>4.5</v>
      </c>
      <c r="H753" t="n">
        <v>0</v>
      </c>
      <c r="I753" t="n">
        <v>0</v>
      </c>
      <c r="J753" t="n">
        <v>0</v>
      </c>
      <c r="K753" t="n">
        <v>0</v>
      </c>
      <c r="L753" t="n">
        <v>0</v>
      </c>
      <c r="M753" t="n">
        <v>0</v>
      </c>
      <c r="N753" t="n">
        <v>0</v>
      </c>
      <c r="O753" t="n">
        <v>0</v>
      </c>
      <c r="P753" t="n">
        <v>0</v>
      </c>
      <c r="Q753" t="n">
        <v>0</v>
      </c>
      <c r="R753" s="2" t="inlineStr"/>
    </row>
    <row r="754" ht="15" customHeight="1">
      <c r="A754" t="inlineStr">
        <is>
          <t>A 51791-2025</t>
        </is>
      </c>
      <c r="B754" s="1" t="n">
        <v>45951.69833333333</v>
      </c>
      <c r="C754" s="1" t="n">
        <v>46049</v>
      </c>
      <c r="D754" t="inlineStr">
        <is>
          <t>JÄMTLANDS LÄN</t>
        </is>
      </c>
      <c r="E754" t="inlineStr">
        <is>
          <t>RAGUNDA</t>
        </is>
      </c>
      <c r="F754" t="inlineStr">
        <is>
          <t>SCA</t>
        </is>
      </c>
      <c r="G754" t="n">
        <v>43.3</v>
      </c>
      <c r="H754" t="n">
        <v>0</v>
      </c>
      <c r="I754" t="n">
        <v>0</v>
      </c>
      <c r="J754" t="n">
        <v>0</v>
      </c>
      <c r="K754" t="n">
        <v>0</v>
      </c>
      <c r="L754" t="n">
        <v>0</v>
      </c>
      <c r="M754" t="n">
        <v>0</v>
      </c>
      <c r="N754" t="n">
        <v>0</v>
      </c>
      <c r="O754" t="n">
        <v>0</v>
      </c>
      <c r="P754" t="n">
        <v>0</v>
      </c>
      <c r="Q754" t="n">
        <v>0</v>
      </c>
      <c r="R754" s="2" t="inlineStr"/>
    </row>
    <row r="755" ht="15" customHeight="1">
      <c r="A755" t="inlineStr">
        <is>
          <t>A 51592-2025</t>
        </is>
      </c>
      <c r="B755" s="1" t="n">
        <v>45951.36541666667</v>
      </c>
      <c r="C755" s="1" t="n">
        <v>46049</v>
      </c>
      <c r="D755" t="inlineStr">
        <is>
          <t>JÄMTLANDS LÄN</t>
        </is>
      </c>
      <c r="E755" t="inlineStr">
        <is>
          <t>RAGUNDA</t>
        </is>
      </c>
      <c r="G755" t="n">
        <v>1.3</v>
      </c>
      <c r="H755" t="n">
        <v>0</v>
      </c>
      <c r="I755" t="n">
        <v>0</v>
      </c>
      <c r="J755" t="n">
        <v>0</v>
      </c>
      <c r="K755" t="n">
        <v>0</v>
      </c>
      <c r="L755" t="n">
        <v>0</v>
      </c>
      <c r="M755" t="n">
        <v>0</v>
      </c>
      <c r="N755" t="n">
        <v>0</v>
      </c>
      <c r="O755" t="n">
        <v>0</v>
      </c>
      <c r="P755" t="n">
        <v>0</v>
      </c>
      <c r="Q755" t="n">
        <v>0</v>
      </c>
      <c r="R755" s="2" t="inlineStr"/>
    </row>
    <row r="756" ht="15" customHeight="1">
      <c r="A756" t="inlineStr">
        <is>
          <t>A 51593-2025</t>
        </is>
      </c>
      <c r="B756" s="1" t="n">
        <v>45951.36548611111</v>
      </c>
      <c r="C756" s="1" t="n">
        <v>46049</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52093-2025</t>
        </is>
      </c>
      <c r="B757" s="1" t="n">
        <v>45952.67865740741</v>
      </c>
      <c r="C757" s="1" t="n">
        <v>46049</v>
      </c>
      <c r="D757" t="inlineStr">
        <is>
          <t>JÄMTLANDS LÄN</t>
        </is>
      </c>
      <c r="E757" t="inlineStr">
        <is>
          <t>RAGUNDA</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57237-2022</t>
        </is>
      </c>
      <c r="B758" s="1" t="n">
        <v>44889</v>
      </c>
      <c r="C758" s="1" t="n">
        <v>46049</v>
      </c>
      <c r="D758" t="inlineStr">
        <is>
          <t>JÄMTLANDS LÄN</t>
        </is>
      </c>
      <c r="E758" t="inlineStr">
        <is>
          <t>RAGUNDA</t>
        </is>
      </c>
      <c r="G758" t="n">
        <v>2.2</v>
      </c>
      <c r="H758" t="n">
        <v>0</v>
      </c>
      <c r="I758" t="n">
        <v>0</v>
      </c>
      <c r="J758" t="n">
        <v>0</v>
      </c>
      <c r="K758" t="n">
        <v>0</v>
      </c>
      <c r="L758" t="n">
        <v>0</v>
      </c>
      <c r="M758" t="n">
        <v>0</v>
      </c>
      <c r="N758" t="n">
        <v>0</v>
      </c>
      <c r="O758" t="n">
        <v>0</v>
      </c>
      <c r="P758" t="n">
        <v>0</v>
      </c>
      <c r="Q758" t="n">
        <v>0</v>
      </c>
      <c r="R758" s="2" t="inlineStr"/>
    </row>
    <row r="759" ht="15" customHeight="1">
      <c r="A759" t="inlineStr">
        <is>
          <t>A 52122-2025</t>
        </is>
      </c>
      <c r="B759" s="1" t="n">
        <v>45952.71946759259</v>
      </c>
      <c r="C759" s="1" t="n">
        <v>46049</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51882-2025</t>
        </is>
      </c>
      <c r="B760" s="1" t="n">
        <v>45952.40685185185</v>
      </c>
      <c r="C760" s="1" t="n">
        <v>46049</v>
      </c>
      <c r="D760" t="inlineStr">
        <is>
          <t>JÄMTLANDS LÄN</t>
        </is>
      </c>
      <c r="E760" t="inlineStr">
        <is>
          <t>RAGUNDA</t>
        </is>
      </c>
      <c r="F760" t="inlineStr">
        <is>
          <t>SCA</t>
        </is>
      </c>
      <c r="G760" t="n">
        <v>11.9</v>
      </c>
      <c r="H760" t="n">
        <v>0</v>
      </c>
      <c r="I760" t="n">
        <v>0</v>
      </c>
      <c r="J760" t="n">
        <v>0</v>
      </c>
      <c r="K760" t="n">
        <v>0</v>
      </c>
      <c r="L760" t="n">
        <v>0</v>
      </c>
      <c r="M760" t="n">
        <v>0</v>
      </c>
      <c r="N760" t="n">
        <v>0</v>
      </c>
      <c r="O760" t="n">
        <v>0</v>
      </c>
      <c r="P760" t="n">
        <v>0</v>
      </c>
      <c r="Q760" t="n">
        <v>0</v>
      </c>
      <c r="R760" s="2" t="inlineStr"/>
    </row>
    <row r="761" ht="15" customHeight="1">
      <c r="A761" t="inlineStr">
        <is>
          <t>A 51903-2025</t>
        </is>
      </c>
      <c r="B761" s="1" t="n">
        <v>45952.44857638889</v>
      </c>
      <c r="C761" s="1" t="n">
        <v>46049</v>
      </c>
      <c r="D761" t="inlineStr">
        <is>
          <t>JÄMTLANDS LÄN</t>
        </is>
      </c>
      <c r="E761" t="inlineStr">
        <is>
          <t>RAGUNDA</t>
        </is>
      </c>
      <c r="F761" t="inlineStr">
        <is>
          <t>SCA</t>
        </is>
      </c>
      <c r="G761" t="n">
        <v>20.8</v>
      </c>
      <c r="H761" t="n">
        <v>0</v>
      </c>
      <c r="I761" t="n">
        <v>0</v>
      </c>
      <c r="J761" t="n">
        <v>0</v>
      </c>
      <c r="K761" t="n">
        <v>0</v>
      </c>
      <c r="L761" t="n">
        <v>0</v>
      </c>
      <c r="M761" t="n">
        <v>0</v>
      </c>
      <c r="N761" t="n">
        <v>0</v>
      </c>
      <c r="O761" t="n">
        <v>0</v>
      </c>
      <c r="P761" t="n">
        <v>0</v>
      </c>
      <c r="Q761" t="n">
        <v>0</v>
      </c>
      <c r="R761" s="2" t="inlineStr"/>
    </row>
    <row r="762" ht="15" customHeight="1">
      <c r="A762" t="inlineStr">
        <is>
          <t>A 51932-2025</t>
        </is>
      </c>
      <c r="B762" s="1" t="n">
        <v>45952.51094907407</v>
      </c>
      <c r="C762" s="1" t="n">
        <v>46049</v>
      </c>
      <c r="D762" t="inlineStr">
        <is>
          <t>JÄMTLANDS LÄN</t>
        </is>
      </c>
      <c r="E762" t="inlineStr">
        <is>
          <t>RAGUNDA</t>
        </is>
      </c>
      <c r="F762" t="inlineStr">
        <is>
          <t>SCA</t>
        </is>
      </c>
      <c r="G762" t="n">
        <v>39.2</v>
      </c>
      <c r="H762" t="n">
        <v>0</v>
      </c>
      <c r="I762" t="n">
        <v>0</v>
      </c>
      <c r="J762" t="n">
        <v>0</v>
      </c>
      <c r="K762" t="n">
        <v>0</v>
      </c>
      <c r="L762" t="n">
        <v>0</v>
      </c>
      <c r="M762" t="n">
        <v>0</v>
      </c>
      <c r="N762" t="n">
        <v>0</v>
      </c>
      <c r="O762" t="n">
        <v>0</v>
      </c>
      <c r="P762" t="n">
        <v>0</v>
      </c>
      <c r="Q762" t="n">
        <v>0</v>
      </c>
      <c r="R762" s="2" t="inlineStr"/>
    </row>
    <row r="763" ht="15" customHeight="1">
      <c r="A763" t="inlineStr">
        <is>
          <t>A 13263-2025</t>
        </is>
      </c>
      <c r="B763" s="1" t="n">
        <v>45735.53177083333</v>
      </c>
      <c r="C763" s="1" t="n">
        <v>46049</v>
      </c>
      <c r="D763" t="inlineStr">
        <is>
          <t>JÄMTLANDS LÄN</t>
        </is>
      </c>
      <c r="E763" t="inlineStr">
        <is>
          <t>RAGUNDA</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13276-2025</t>
        </is>
      </c>
      <c r="B764" s="1" t="n">
        <v>45735.5517824074</v>
      </c>
      <c r="C764" s="1" t="n">
        <v>46049</v>
      </c>
      <c r="D764" t="inlineStr">
        <is>
          <t>JÄMTLANDS LÄN</t>
        </is>
      </c>
      <c r="E764" t="inlineStr">
        <is>
          <t>RAGUNDA</t>
        </is>
      </c>
      <c r="G764" t="n">
        <v>16.6</v>
      </c>
      <c r="H764" t="n">
        <v>0</v>
      </c>
      <c r="I764" t="n">
        <v>0</v>
      </c>
      <c r="J764" t="n">
        <v>0</v>
      </c>
      <c r="K764" t="n">
        <v>0</v>
      </c>
      <c r="L764" t="n">
        <v>0</v>
      </c>
      <c r="M764" t="n">
        <v>0</v>
      </c>
      <c r="N764" t="n">
        <v>0</v>
      </c>
      <c r="O764" t="n">
        <v>0</v>
      </c>
      <c r="P764" t="n">
        <v>0</v>
      </c>
      <c r="Q764" t="n">
        <v>0</v>
      </c>
      <c r="R764" s="2" t="inlineStr"/>
    </row>
    <row r="765" ht="15" customHeight="1">
      <c r="A765" t="inlineStr">
        <is>
          <t>A 12405-2025</t>
        </is>
      </c>
      <c r="B765" s="1" t="n">
        <v>45730.42738425926</v>
      </c>
      <c r="C765" s="1" t="n">
        <v>46049</v>
      </c>
      <c r="D765" t="inlineStr">
        <is>
          <t>JÄMTLANDS LÄN</t>
        </is>
      </c>
      <c r="E765" t="inlineStr">
        <is>
          <t>RAGUNDA</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12808-2025</t>
        </is>
      </c>
      <c r="B766" s="1" t="n">
        <v>45733.61554398148</v>
      </c>
      <c r="C766" s="1" t="n">
        <v>46049</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46546-2023</t>
        </is>
      </c>
      <c r="B767" s="1" t="n">
        <v>45197.94152777778</v>
      </c>
      <c r="C767" s="1" t="n">
        <v>46049</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6716-2025</t>
        </is>
      </c>
      <c r="B768" s="1" t="n">
        <v>45700.57324074074</v>
      </c>
      <c r="C768" s="1" t="n">
        <v>46049</v>
      </c>
      <c r="D768" t="inlineStr">
        <is>
          <t>JÄMTLANDS LÄN</t>
        </is>
      </c>
      <c r="E768" t="inlineStr">
        <is>
          <t>RAGUNDA</t>
        </is>
      </c>
      <c r="F768" t="inlineStr">
        <is>
          <t>SCA</t>
        </is>
      </c>
      <c r="G768" t="n">
        <v>5.1</v>
      </c>
      <c r="H768" t="n">
        <v>0</v>
      </c>
      <c r="I768" t="n">
        <v>0</v>
      </c>
      <c r="J768" t="n">
        <v>0</v>
      </c>
      <c r="K768" t="n">
        <v>0</v>
      </c>
      <c r="L768" t="n">
        <v>0</v>
      </c>
      <c r="M768" t="n">
        <v>0</v>
      </c>
      <c r="N768" t="n">
        <v>0</v>
      </c>
      <c r="O768" t="n">
        <v>0</v>
      </c>
      <c r="P768" t="n">
        <v>0</v>
      </c>
      <c r="Q768" t="n">
        <v>0</v>
      </c>
      <c r="R768" s="2" t="inlineStr"/>
    </row>
    <row r="769" ht="15" customHeight="1">
      <c r="A769" t="inlineStr">
        <is>
          <t>A 52317-2025</t>
        </is>
      </c>
      <c r="B769" s="1" t="n">
        <v>45953.65675925926</v>
      </c>
      <c r="C769" s="1" t="n">
        <v>46049</v>
      </c>
      <c r="D769" t="inlineStr">
        <is>
          <t>JÄMTLANDS LÄN</t>
        </is>
      </c>
      <c r="E769" t="inlineStr">
        <is>
          <t>RAGUNDA</t>
        </is>
      </c>
      <c r="F769" t="inlineStr">
        <is>
          <t>SCA</t>
        </is>
      </c>
      <c r="G769" t="n">
        <v>27.2</v>
      </c>
      <c r="H769" t="n">
        <v>0</v>
      </c>
      <c r="I769" t="n">
        <v>0</v>
      </c>
      <c r="J769" t="n">
        <v>0</v>
      </c>
      <c r="K769" t="n">
        <v>0</v>
      </c>
      <c r="L769" t="n">
        <v>0</v>
      </c>
      <c r="M769" t="n">
        <v>0</v>
      </c>
      <c r="N769" t="n">
        <v>0</v>
      </c>
      <c r="O769" t="n">
        <v>0</v>
      </c>
      <c r="P769" t="n">
        <v>0</v>
      </c>
      <c r="Q769" t="n">
        <v>0</v>
      </c>
      <c r="R769" s="2" t="inlineStr"/>
    </row>
    <row r="770" ht="15" customHeight="1">
      <c r="A770" t="inlineStr">
        <is>
          <t>A 52330-2025</t>
        </is>
      </c>
      <c r="B770" s="1" t="n">
        <v>45953.67752314815</v>
      </c>
      <c r="C770" s="1" t="n">
        <v>46049</v>
      </c>
      <c r="D770" t="inlineStr">
        <is>
          <t>JÄMTLANDS LÄN</t>
        </is>
      </c>
      <c r="E770" t="inlineStr">
        <is>
          <t>RAGUNDA</t>
        </is>
      </c>
      <c r="F770" t="inlineStr">
        <is>
          <t>SCA</t>
        </is>
      </c>
      <c r="G770" t="n">
        <v>10.1</v>
      </c>
      <c r="H770" t="n">
        <v>0</v>
      </c>
      <c r="I770" t="n">
        <v>0</v>
      </c>
      <c r="J770" t="n">
        <v>0</v>
      </c>
      <c r="K770" t="n">
        <v>0</v>
      </c>
      <c r="L770" t="n">
        <v>0</v>
      </c>
      <c r="M770" t="n">
        <v>0</v>
      </c>
      <c r="N770" t="n">
        <v>0</v>
      </c>
      <c r="O770" t="n">
        <v>0</v>
      </c>
      <c r="P770" t="n">
        <v>0</v>
      </c>
      <c r="Q770" t="n">
        <v>0</v>
      </c>
      <c r="R770" s="2" t="inlineStr"/>
    </row>
    <row r="771" ht="15" customHeight="1">
      <c r="A771" t="inlineStr">
        <is>
          <t>A 30823-2023</t>
        </is>
      </c>
      <c r="B771" s="1" t="n">
        <v>45112</v>
      </c>
      <c r="C771" s="1" t="n">
        <v>46049</v>
      </c>
      <c r="D771" t="inlineStr">
        <is>
          <t>JÄMTLANDS LÄN</t>
        </is>
      </c>
      <c r="E771" t="inlineStr">
        <is>
          <t>RAGUNDA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52395-2025</t>
        </is>
      </c>
      <c r="B772" s="1" t="n">
        <v>45954.34487268519</v>
      </c>
      <c r="C772" s="1" t="n">
        <v>46049</v>
      </c>
      <c r="D772" t="inlineStr">
        <is>
          <t>JÄMTLANDS LÄN</t>
        </is>
      </c>
      <c r="E772" t="inlineStr">
        <is>
          <t>RAGUNDA</t>
        </is>
      </c>
      <c r="F772" t="inlineStr">
        <is>
          <t>SCA</t>
        </is>
      </c>
      <c r="G772" t="n">
        <v>14.2</v>
      </c>
      <c r="H772" t="n">
        <v>0</v>
      </c>
      <c r="I772" t="n">
        <v>0</v>
      </c>
      <c r="J772" t="n">
        <v>0</v>
      </c>
      <c r="K772" t="n">
        <v>0</v>
      </c>
      <c r="L772" t="n">
        <v>0</v>
      </c>
      <c r="M772" t="n">
        <v>0</v>
      </c>
      <c r="N772" t="n">
        <v>0</v>
      </c>
      <c r="O772" t="n">
        <v>0</v>
      </c>
      <c r="P772" t="n">
        <v>0</v>
      </c>
      <c r="Q772" t="n">
        <v>0</v>
      </c>
      <c r="R772" s="2" t="inlineStr"/>
    </row>
    <row r="773" ht="15" customHeight="1">
      <c r="A773" t="inlineStr">
        <is>
          <t>A 30484-2024</t>
        </is>
      </c>
      <c r="B773" s="1" t="n">
        <v>45491</v>
      </c>
      <c r="C773" s="1" t="n">
        <v>46049</v>
      </c>
      <c r="D773" t="inlineStr">
        <is>
          <t>JÄMTLANDS LÄN</t>
        </is>
      </c>
      <c r="E773" t="inlineStr">
        <is>
          <t>RAGUNDA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53032-2025</t>
        </is>
      </c>
      <c r="B774" s="1" t="n">
        <v>45958.34462962963</v>
      </c>
      <c r="C774" s="1" t="n">
        <v>46049</v>
      </c>
      <c r="D774" t="inlineStr">
        <is>
          <t>JÄMTLANDS LÄN</t>
        </is>
      </c>
      <c r="E774" t="inlineStr">
        <is>
          <t>RAGUNDA</t>
        </is>
      </c>
      <c r="G774" t="n">
        <v>2.6</v>
      </c>
      <c r="H774" t="n">
        <v>0</v>
      </c>
      <c r="I774" t="n">
        <v>0</v>
      </c>
      <c r="J774" t="n">
        <v>0</v>
      </c>
      <c r="K774" t="n">
        <v>0</v>
      </c>
      <c r="L774" t="n">
        <v>0</v>
      </c>
      <c r="M774" t="n">
        <v>0</v>
      </c>
      <c r="N774" t="n">
        <v>0</v>
      </c>
      <c r="O774" t="n">
        <v>0</v>
      </c>
      <c r="P774" t="n">
        <v>0</v>
      </c>
      <c r="Q774" t="n">
        <v>0</v>
      </c>
      <c r="R774" s="2" t="inlineStr"/>
    </row>
    <row r="775" ht="15" customHeight="1">
      <c r="A775" t="inlineStr">
        <is>
          <t>A 53076-2025</t>
        </is>
      </c>
      <c r="B775" s="1" t="n">
        <v>45958.38604166666</v>
      </c>
      <c r="C775" s="1" t="n">
        <v>46049</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11288-2022</t>
        </is>
      </c>
      <c r="B776" s="1" t="n">
        <v>44629</v>
      </c>
      <c r="C776" s="1" t="n">
        <v>46049</v>
      </c>
      <c r="D776" t="inlineStr">
        <is>
          <t>JÄMTLANDS LÄN</t>
        </is>
      </c>
      <c r="E776" t="inlineStr">
        <is>
          <t>RAGUNDA</t>
        </is>
      </c>
      <c r="G776" t="n">
        <v>4.9</v>
      </c>
      <c r="H776" t="n">
        <v>0</v>
      </c>
      <c r="I776" t="n">
        <v>0</v>
      </c>
      <c r="J776" t="n">
        <v>0</v>
      </c>
      <c r="K776" t="n">
        <v>0</v>
      </c>
      <c r="L776" t="n">
        <v>0</v>
      </c>
      <c r="M776" t="n">
        <v>0</v>
      </c>
      <c r="N776" t="n">
        <v>0</v>
      </c>
      <c r="O776" t="n">
        <v>0</v>
      </c>
      <c r="P776" t="n">
        <v>0</v>
      </c>
      <c r="Q776" t="n">
        <v>0</v>
      </c>
      <c r="R776" s="2" t="inlineStr"/>
    </row>
    <row r="777" ht="15" customHeight="1">
      <c r="A777" t="inlineStr">
        <is>
          <t>A 19865-2023</t>
        </is>
      </c>
      <c r="B777" s="1" t="n">
        <v>45053.94305555556</v>
      </c>
      <c r="C777" s="1" t="n">
        <v>46049</v>
      </c>
      <c r="D777" t="inlineStr">
        <is>
          <t>JÄMTLANDS LÄN</t>
        </is>
      </c>
      <c r="E777" t="inlineStr">
        <is>
          <t>RAGUNDA</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52394-2025</t>
        </is>
      </c>
      <c r="B778" s="1" t="n">
        <v>45954.34466435185</v>
      </c>
      <c r="C778" s="1" t="n">
        <v>46049</v>
      </c>
      <c r="D778" t="inlineStr">
        <is>
          <t>JÄMTLANDS LÄN</t>
        </is>
      </c>
      <c r="E778" t="inlineStr">
        <is>
          <t>RAGUNDA</t>
        </is>
      </c>
      <c r="F778" t="inlineStr">
        <is>
          <t>SCA</t>
        </is>
      </c>
      <c r="G778" t="n">
        <v>53.8</v>
      </c>
      <c r="H778" t="n">
        <v>0</v>
      </c>
      <c r="I778" t="n">
        <v>0</v>
      </c>
      <c r="J778" t="n">
        <v>0</v>
      </c>
      <c r="K778" t="n">
        <v>0</v>
      </c>
      <c r="L778" t="n">
        <v>0</v>
      </c>
      <c r="M778" t="n">
        <v>0</v>
      </c>
      <c r="N778" t="n">
        <v>0</v>
      </c>
      <c r="O778" t="n">
        <v>0</v>
      </c>
      <c r="P778" t="n">
        <v>0</v>
      </c>
      <c r="Q778" t="n">
        <v>0</v>
      </c>
      <c r="R778" s="2" t="inlineStr"/>
    </row>
    <row r="779" ht="15" customHeight="1">
      <c r="A779" t="inlineStr">
        <is>
          <t>A 1554-2024</t>
        </is>
      </c>
      <c r="B779" s="1" t="n">
        <v>45306</v>
      </c>
      <c r="C779" s="1" t="n">
        <v>46049</v>
      </c>
      <c r="D779" t="inlineStr">
        <is>
          <t>JÄMTLANDS LÄN</t>
        </is>
      </c>
      <c r="E779" t="inlineStr">
        <is>
          <t>RAGUNDA</t>
        </is>
      </c>
      <c r="G779" t="n">
        <v>4.3</v>
      </c>
      <c r="H779" t="n">
        <v>0</v>
      </c>
      <c r="I779" t="n">
        <v>0</v>
      </c>
      <c r="J779" t="n">
        <v>0</v>
      </c>
      <c r="K779" t="n">
        <v>0</v>
      </c>
      <c r="L779" t="n">
        <v>0</v>
      </c>
      <c r="M779" t="n">
        <v>0</v>
      </c>
      <c r="N779" t="n">
        <v>0</v>
      </c>
      <c r="O779" t="n">
        <v>0</v>
      </c>
      <c r="P779" t="n">
        <v>0</v>
      </c>
      <c r="Q779" t="n">
        <v>0</v>
      </c>
      <c r="R779" s="2" t="inlineStr"/>
    </row>
    <row r="780" ht="15" customHeight="1">
      <c r="A780" t="inlineStr">
        <is>
          <t>A 22011-2023</t>
        </is>
      </c>
      <c r="B780" s="1" t="n">
        <v>45068</v>
      </c>
      <c r="C780" s="1" t="n">
        <v>46049</v>
      </c>
      <c r="D780" t="inlineStr">
        <is>
          <t>JÄMTLANDS LÄN</t>
        </is>
      </c>
      <c r="E780" t="inlineStr">
        <is>
          <t>RAGUNDA</t>
        </is>
      </c>
      <c r="F780" t="inlineStr">
        <is>
          <t>SCA</t>
        </is>
      </c>
      <c r="G780" t="n">
        <v>12.2</v>
      </c>
      <c r="H780" t="n">
        <v>0</v>
      </c>
      <c r="I780" t="n">
        <v>0</v>
      </c>
      <c r="J780" t="n">
        <v>0</v>
      </c>
      <c r="K780" t="n">
        <v>0</v>
      </c>
      <c r="L780" t="n">
        <v>0</v>
      </c>
      <c r="M780" t="n">
        <v>0</v>
      </c>
      <c r="N780" t="n">
        <v>0</v>
      </c>
      <c r="O780" t="n">
        <v>0</v>
      </c>
      <c r="P780" t="n">
        <v>0</v>
      </c>
      <c r="Q780" t="n">
        <v>0</v>
      </c>
      <c r="R780" s="2" t="inlineStr"/>
    </row>
    <row r="781" ht="15" customHeight="1">
      <c r="A781" t="inlineStr">
        <is>
          <t>A 52430-2025</t>
        </is>
      </c>
      <c r="B781" s="1" t="n">
        <v>45954.38592592593</v>
      </c>
      <c r="C781" s="1" t="n">
        <v>46049</v>
      </c>
      <c r="D781" t="inlineStr">
        <is>
          <t>JÄMTLANDS LÄN</t>
        </is>
      </c>
      <c r="E781" t="inlineStr">
        <is>
          <t>RAGUNDA</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13389-2025</t>
        </is>
      </c>
      <c r="B782" s="1" t="n">
        <v>45735.69842592593</v>
      </c>
      <c r="C782" s="1" t="n">
        <v>46049</v>
      </c>
      <c r="D782" t="inlineStr">
        <is>
          <t>JÄMTLANDS LÄN</t>
        </is>
      </c>
      <c r="E782" t="inlineStr">
        <is>
          <t>RAGUNDA</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2831-2024</t>
        </is>
      </c>
      <c r="B783" s="1" t="n">
        <v>45314.92758101852</v>
      </c>
      <c r="C783" s="1" t="n">
        <v>46049</v>
      </c>
      <c r="D783" t="inlineStr">
        <is>
          <t>JÄMTLANDS LÄN</t>
        </is>
      </c>
      <c r="E783" t="inlineStr">
        <is>
          <t>RAGUNDA</t>
        </is>
      </c>
      <c r="G783" t="n">
        <v>0.6</v>
      </c>
      <c r="H783" t="n">
        <v>0</v>
      </c>
      <c r="I783" t="n">
        <v>0</v>
      </c>
      <c r="J783" t="n">
        <v>0</v>
      </c>
      <c r="K783" t="n">
        <v>0</v>
      </c>
      <c r="L783" t="n">
        <v>0</v>
      </c>
      <c r="M783" t="n">
        <v>0</v>
      </c>
      <c r="N783" t="n">
        <v>0</v>
      </c>
      <c r="O783" t="n">
        <v>0</v>
      </c>
      <c r="P783" t="n">
        <v>0</v>
      </c>
      <c r="Q783" t="n">
        <v>0</v>
      </c>
      <c r="R783" s="2" t="inlineStr"/>
    </row>
    <row r="784" ht="15" customHeight="1">
      <c r="A784" t="inlineStr">
        <is>
          <t>A 52875-2025</t>
        </is>
      </c>
      <c r="B784" s="1" t="n">
        <v>45957.53211805555</v>
      </c>
      <c r="C784" s="1" t="n">
        <v>46049</v>
      </c>
      <c r="D784" t="inlineStr">
        <is>
          <t>JÄMTLANDS LÄN</t>
        </is>
      </c>
      <c r="E784" t="inlineStr">
        <is>
          <t>RAGUNDA</t>
        </is>
      </c>
      <c r="F784" t="inlineStr">
        <is>
          <t>SCA</t>
        </is>
      </c>
      <c r="G784" t="n">
        <v>34.3</v>
      </c>
      <c r="H784" t="n">
        <v>0</v>
      </c>
      <c r="I784" t="n">
        <v>0</v>
      </c>
      <c r="J784" t="n">
        <v>0</v>
      </c>
      <c r="K784" t="n">
        <v>0</v>
      </c>
      <c r="L784" t="n">
        <v>0</v>
      </c>
      <c r="M784" t="n">
        <v>0</v>
      </c>
      <c r="N784" t="n">
        <v>0</v>
      </c>
      <c r="O784" t="n">
        <v>0</v>
      </c>
      <c r="P784" t="n">
        <v>0</v>
      </c>
      <c r="Q784" t="n">
        <v>0</v>
      </c>
      <c r="R784" s="2" t="inlineStr"/>
    </row>
    <row r="785" ht="15" customHeight="1">
      <c r="A785" t="inlineStr">
        <is>
          <t>A 53211-2025</t>
        </is>
      </c>
      <c r="B785" s="1" t="n">
        <v>45958.59490740741</v>
      </c>
      <c r="C785" s="1" t="n">
        <v>46049</v>
      </c>
      <c r="D785" t="inlineStr">
        <is>
          <t>JÄMTLANDS LÄN</t>
        </is>
      </c>
      <c r="E785" t="inlineStr">
        <is>
          <t>RAGUNDA</t>
        </is>
      </c>
      <c r="F785" t="inlineStr">
        <is>
          <t>SCA</t>
        </is>
      </c>
      <c r="G785" t="n">
        <v>7.4</v>
      </c>
      <c r="H785" t="n">
        <v>0</v>
      </c>
      <c r="I785" t="n">
        <v>0</v>
      </c>
      <c r="J785" t="n">
        <v>0</v>
      </c>
      <c r="K785" t="n">
        <v>0</v>
      </c>
      <c r="L785" t="n">
        <v>0</v>
      </c>
      <c r="M785" t="n">
        <v>0</v>
      </c>
      <c r="N785" t="n">
        <v>0</v>
      </c>
      <c r="O785" t="n">
        <v>0</v>
      </c>
      <c r="P785" t="n">
        <v>0</v>
      </c>
      <c r="Q785" t="n">
        <v>0</v>
      </c>
      <c r="R785" s="2" t="inlineStr"/>
    </row>
    <row r="786" ht="15" customHeight="1">
      <c r="A786" t="inlineStr">
        <is>
          <t>A 52972-2025</t>
        </is>
      </c>
      <c r="B786" s="1" t="n">
        <v>45957.67783564814</v>
      </c>
      <c r="C786" s="1" t="n">
        <v>46049</v>
      </c>
      <c r="D786" t="inlineStr">
        <is>
          <t>JÄMTLANDS LÄN</t>
        </is>
      </c>
      <c r="E786" t="inlineStr">
        <is>
          <t>RAGUNDA</t>
        </is>
      </c>
      <c r="F786" t="inlineStr">
        <is>
          <t>SCA</t>
        </is>
      </c>
      <c r="G786" t="n">
        <v>53.4</v>
      </c>
      <c r="H786" t="n">
        <v>0</v>
      </c>
      <c r="I786" t="n">
        <v>0</v>
      </c>
      <c r="J786" t="n">
        <v>0</v>
      </c>
      <c r="K786" t="n">
        <v>0</v>
      </c>
      <c r="L786" t="n">
        <v>0</v>
      </c>
      <c r="M786" t="n">
        <v>0</v>
      </c>
      <c r="N786" t="n">
        <v>0</v>
      </c>
      <c r="O786" t="n">
        <v>0</v>
      </c>
      <c r="P786" t="n">
        <v>0</v>
      </c>
      <c r="Q786" t="n">
        <v>0</v>
      </c>
      <c r="R786" s="2" t="inlineStr"/>
    </row>
    <row r="787" ht="15" customHeight="1">
      <c r="A787" t="inlineStr">
        <is>
          <t>A 53075-2025</t>
        </is>
      </c>
      <c r="B787" s="1" t="n">
        <v>45958.38584490741</v>
      </c>
      <c r="C787" s="1" t="n">
        <v>46049</v>
      </c>
      <c r="D787" t="inlineStr">
        <is>
          <t>JÄMTLANDS LÄN</t>
        </is>
      </c>
      <c r="E787" t="inlineStr">
        <is>
          <t>RAGUNDA</t>
        </is>
      </c>
      <c r="F787" t="inlineStr">
        <is>
          <t>SCA</t>
        </is>
      </c>
      <c r="G787" t="n">
        <v>28.9</v>
      </c>
      <c r="H787" t="n">
        <v>0</v>
      </c>
      <c r="I787" t="n">
        <v>0</v>
      </c>
      <c r="J787" t="n">
        <v>0</v>
      </c>
      <c r="K787" t="n">
        <v>0</v>
      </c>
      <c r="L787" t="n">
        <v>0</v>
      </c>
      <c r="M787" t="n">
        <v>0</v>
      </c>
      <c r="N787" t="n">
        <v>0</v>
      </c>
      <c r="O787" t="n">
        <v>0</v>
      </c>
      <c r="P787" t="n">
        <v>0</v>
      </c>
      <c r="Q787" t="n">
        <v>0</v>
      </c>
      <c r="R787" s="2" t="inlineStr"/>
    </row>
    <row r="788" ht="15" customHeight="1">
      <c r="A788" t="inlineStr">
        <is>
          <t>A 53726-2025</t>
        </is>
      </c>
      <c r="B788" s="1" t="n">
        <v>45960.63597222222</v>
      </c>
      <c r="C788" s="1" t="n">
        <v>46049</v>
      </c>
      <c r="D788" t="inlineStr">
        <is>
          <t>JÄMTLANDS LÄN</t>
        </is>
      </c>
      <c r="E788" t="inlineStr">
        <is>
          <t>RAGUNDA</t>
        </is>
      </c>
      <c r="F788" t="inlineStr">
        <is>
          <t>SCA</t>
        </is>
      </c>
      <c r="G788" t="n">
        <v>10.9</v>
      </c>
      <c r="H788" t="n">
        <v>0</v>
      </c>
      <c r="I788" t="n">
        <v>0</v>
      </c>
      <c r="J788" t="n">
        <v>0</v>
      </c>
      <c r="K788" t="n">
        <v>0</v>
      </c>
      <c r="L788" t="n">
        <v>0</v>
      </c>
      <c r="M788" t="n">
        <v>0</v>
      </c>
      <c r="N788" t="n">
        <v>0</v>
      </c>
      <c r="O788" t="n">
        <v>0</v>
      </c>
      <c r="P788" t="n">
        <v>0</v>
      </c>
      <c r="Q788" t="n">
        <v>0</v>
      </c>
      <c r="R788" s="2" t="inlineStr"/>
    </row>
    <row r="789" ht="15" customHeight="1">
      <c r="A789" t="inlineStr">
        <is>
          <t>A 13264-2025</t>
        </is>
      </c>
      <c r="B789" s="1" t="n">
        <v>45735</v>
      </c>
      <c r="C789" s="1" t="n">
        <v>46049</v>
      </c>
      <c r="D789" t="inlineStr">
        <is>
          <t>JÄMTLANDS LÄN</t>
        </is>
      </c>
      <c r="E789" t="inlineStr">
        <is>
          <t>RAGUNDA</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25304-2023</t>
        </is>
      </c>
      <c r="B790" s="1" t="n">
        <v>45086</v>
      </c>
      <c r="C790" s="1" t="n">
        <v>46049</v>
      </c>
      <c r="D790" t="inlineStr">
        <is>
          <t>JÄMTLANDS LÄN</t>
        </is>
      </c>
      <c r="E790" t="inlineStr">
        <is>
          <t>RAGUNDA</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37268-2024</t>
        </is>
      </c>
      <c r="B791" s="1" t="n">
        <v>45540.38586805556</v>
      </c>
      <c r="C791" s="1" t="n">
        <v>46049</v>
      </c>
      <c r="D791" t="inlineStr">
        <is>
          <t>JÄMTLANDS LÄN</t>
        </is>
      </c>
      <c r="E791" t="inlineStr">
        <is>
          <t>RAGUNDA</t>
        </is>
      </c>
      <c r="F791" t="inlineStr">
        <is>
          <t>SCA</t>
        </is>
      </c>
      <c r="G791" t="n">
        <v>6.3</v>
      </c>
      <c r="H791" t="n">
        <v>0</v>
      </c>
      <c r="I791" t="n">
        <v>0</v>
      </c>
      <c r="J791" t="n">
        <v>0</v>
      </c>
      <c r="K791" t="n">
        <v>0</v>
      </c>
      <c r="L791" t="n">
        <v>0</v>
      </c>
      <c r="M791" t="n">
        <v>0</v>
      </c>
      <c r="N791" t="n">
        <v>0</v>
      </c>
      <c r="O791" t="n">
        <v>0</v>
      </c>
      <c r="P791" t="n">
        <v>0</v>
      </c>
      <c r="Q791" t="n">
        <v>0</v>
      </c>
      <c r="R791" s="2" t="inlineStr"/>
    </row>
    <row r="792" ht="15" customHeight="1">
      <c r="A792" t="inlineStr">
        <is>
          <t>A 52578-2025</t>
        </is>
      </c>
      <c r="B792" s="1" t="n">
        <v>45954.61508101852</v>
      </c>
      <c r="C792" s="1" t="n">
        <v>46049</v>
      </c>
      <c r="D792" t="inlineStr">
        <is>
          <t>JÄMTLANDS LÄN</t>
        </is>
      </c>
      <c r="E792" t="inlineStr">
        <is>
          <t>RAGUNDA</t>
        </is>
      </c>
      <c r="F792" t="inlineStr">
        <is>
          <t>SCA</t>
        </is>
      </c>
      <c r="G792" t="n">
        <v>25.2</v>
      </c>
      <c r="H792" t="n">
        <v>0</v>
      </c>
      <c r="I792" t="n">
        <v>0</v>
      </c>
      <c r="J792" t="n">
        <v>0</v>
      </c>
      <c r="K792" t="n">
        <v>0</v>
      </c>
      <c r="L792" t="n">
        <v>0</v>
      </c>
      <c r="M792" t="n">
        <v>0</v>
      </c>
      <c r="N792" t="n">
        <v>0</v>
      </c>
      <c r="O792" t="n">
        <v>0</v>
      </c>
      <c r="P792" t="n">
        <v>0</v>
      </c>
      <c r="Q792" t="n">
        <v>0</v>
      </c>
      <c r="R792" s="2" t="inlineStr"/>
    </row>
    <row r="793" ht="15" customHeight="1">
      <c r="A793" t="inlineStr">
        <is>
          <t>A 53727-2025</t>
        </is>
      </c>
      <c r="B793" s="1" t="n">
        <v>45960.63630787037</v>
      </c>
      <c r="C793" s="1" t="n">
        <v>46049</v>
      </c>
      <c r="D793" t="inlineStr">
        <is>
          <t>JÄMTLANDS LÄN</t>
        </is>
      </c>
      <c r="E793" t="inlineStr">
        <is>
          <t>RAGUNDA</t>
        </is>
      </c>
      <c r="F793" t="inlineStr">
        <is>
          <t>SCA</t>
        </is>
      </c>
      <c r="G793" t="n">
        <v>6.4</v>
      </c>
      <c r="H793" t="n">
        <v>0</v>
      </c>
      <c r="I793" t="n">
        <v>0</v>
      </c>
      <c r="J793" t="n">
        <v>0</v>
      </c>
      <c r="K793" t="n">
        <v>0</v>
      </c>
      <c r="L793" t="n">
        <v>0</v>
      </c>
      <c r="M793" t="n">
        <v>0</v>
      </c>
      <c r="N793" t="n">
        <v>0</v>
      </c>
      <c r="O793" t="n">
        <v>0</v>
      </c>
      <c r="P793" t="n">
        <v>0</v>
      </c>
      <c r="Q793" t="n">
        <v>0</v>
      </c>
      <c r="R793" s="2" t="inlineStr"/>
    </row>
    <row r="794" ht="15" customHeight="1">
      <c r="A794" t="inlineStr">
        <is>
          <t>A 53748-2025</t>
        </is>
      </c>
      <c r="B794" s="1" t="n">
        <v>45960.65673611111</v>
      </c>
      <c r="C794" s="1" t="n">
        <v>46049</v>
      </c>
      <c r="D794" t="inlineStr">
        <is>
          <t>JÄMTLANDS LÄN</t>
        </is>
      </c>
      <c r="E794" t="inlineStr">
        <is>
          <t>RAGUNDA</t>
        </is>
      </c>
      <c r="F794" t="inlineStr">
        <is>
          <t>SCA</t>
        </is>
      </c>
      <c r="G794" t="n">
        <v>14.9</v>
      </c>
      <c r="H794" t="n">
        <v>0</v>
      </c>
      <c r="I794" t="n">
        <v>0</v>
      </c>
      <c r="J794" t="n">
        <v>0</v>
      </c>
      <c r="K794" t="n">
        <v>0</v>
      </c>
      <c r="L794" t="n">
        <v>0</v>
      </c>
      <c r="M794" t="n">
        <v>0</v>
      </c>
      <c r="N794" t="n">
        <v>0</v>
      </c>
      <c r="O794" t="n">
        <v>0</v>
      </c>
      <c r="P794" t="n">
        <v>0</v>
      </c>
      <c r="Q794" t="n">
        <v>0</v>
      </c>
      <c r="R794" s="2" t="inlineStr"/>
    </row>
    <row r="795" ht="15" customHeight="1">
      <c r="A795" t="inlineStr">
        <is>
          <t>A 41179-2022</t>
        </is>
      </c>
      <c r="B795" s="1" t="n">
        <v>44825</v>
      </c>
      <c r="C795" s="1" t="n">
        <v>46049</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17598-2021</t>
        </is>
      </c>
      <c r="B796" s="1" t="n">
        <v>44299</v>
      </c>
      <c r="C796" s="1" t="n">
        <v>46049</v>
      </c>
      <c r="D796" t="inlineStr">
        <is>
          <t>JÄMTLANDS LÄN</t>
        </is>
      </c>
      <c r="E796" t="inlineStr">
        <is>
          <t>RAGUNDA</t>
        </is>
      </c>
      <c r="G796" t="n">
        <v>4.6</v>
      </c>
      <c r="H796" t="n">
        <v>0</v>
      </c>
      <c r="I796" t="n">
        <v>0</v>
      </c>
      <c r="J796" t="n">
        <v>0</v>
      </c>
      <c r="K796" t="n">
        <v>0</v>
      </c>
      <c r="L796" t="n">
        <v>0</v>
      </c>
      <c r="M796" t="n">
        <v>0</v>
      </c>
      <c r="N796" t="n">
        <v>0</v>
      </c>
      <c r="O796" t="n">
        <v>0</v>
      </c>
      <c r="P796" t="n">
        <v>0</v>
      </c>
      <c r="Q796" t="n">
        <v>0</v>
      </c>
      <c r="R796" s="2" t="inlineStr"/>
    </row>
    <row r="797" ht="15" customHeight="1">
      <c r="A797" t="inlineStr">
        <is>
          <t>A 53549-2025</t>
        </is>
      </c>
      <c r="B797" s="1" t="n">
        <v>45960.38576388889</v>
      </c>
      <c r="C797" s="1" t="n">
        <v>46049</v>
      </c>
      <c r="D797" t="inlineStr">
        <is>
          <t>JÄMTLANDS LÄN</t>
        </is>
      </c>
      <c r="E797" t="inlineStr">
        <is>
          <t>RAGUNDA</t>
        </is>
      </c>
      <c r="G797" t="n">
        <v>5.4</v>
      </c>
      <c r="H797" t="n">
        <v>0</v>
      </c>
      <c r="I797" t="n">
        <v>0</v>
      </c>
      <c r="J797" t="n">
        <v>0</v>
      </c>
      <c r="K797" t="n">
        <v>0</v>
      </c>
      <c r="L797" t="n">
        <v>0</v>
      </c>
      <c r="M797" t="n">
        <v>0</v>
      </c>
      <c r="N797" t="n">
        <v>0</v>
      </c>
      <c r="O797" t="n">
        <v>0</v>
      </c>
      <c r="P797" t="n">
        <v>0</v>
      </c>
      <c r="Q797" t="n">
        <v>0</v>
      </c>
      <c r="R797" s="2" t="inlineStr"/>
    </row>
    <row r="798" ht="15" customHeight="1">
      <c r="A798" t="inlineStr">
        <is>
          <t>A 53765-2025</t>
        </is>
      </c>
      <c r="B798" s="1" t="n">
        <v>45960.67753472222</v>
      </c>
      <c r="C798" s="1" t="n">
        <v>46049</v>
      </c>
      <c r="D798" t="inlineStr">
        <is>
          <t>JÄMTLANDS LÄN</t>
        </is>
      </c>
      <c r="E798" t="inlineStr">
        <is>
          <t>RAGUNDA</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62541-2022</t>
        </is>
      </c>
      <c r="B799" s="1" t="n">
        <v>44917</v>
      </c>
      <c r="C799" s="1" t="n">
        <v>46049</v>
      </c>
      <c r="D799" t="inlineStr">
        <is>
          <t>JÄMTLANDS LÄN</t>
        </is>
      </c>
      <c r="E799" t="inlineStr">
        <is>
          <t>RAGUNDA</t>
        </is>
      </c>
      <c r="G799" t="n">
        <v>2.6</v>
      </c>
      <c r="H799" t="n">
        <v>0</v>
      </c>
      <c r="I799" t="n">
        <v>0</v>
      </c>
      <c r="J799" t="n">
        <v>0</v>
      </c>
      <c r="K799" t="n">
        <v>0</v>
      </c>
      <c r="L799" t="n">
        <v>0</v>
      </c>
      <c r="M799" t="n">
        <v>0</v>
      </c>
      <c r="N799" t="n">
        <v>0</v>
      </c>
      <c r="O799" t="n">
        <v>0</v>
      </c>
      <c r="P799" t="n">
        <v>0</v>
      </c>
      <c r="Q799" t="n">
        <v>0</v>
      </c>
      <c r="R799" s="2" t="inlineStr"/>
    </row>
    <row r="800" ht="15" customHeight="1">
      <c r="A800" t="inlineStr">
        <is>
          <t>A 53986-2025</t>
        </is>
      </c>
      <c r="B800" s="1" t="n">
        <v>45961.57381944444</v>
      </c>
      <c r="C800" s="1" t="n">
        <v>46049</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53951-2025</t>
        </is>
      </c>
      <c r="B801" s="1" t="n">
        <v>45961.50200231482</v>
      </c>
      <c r="C801" s="1" t="n">
        <v>46049</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53975-2025</t>
        </is>
      </c>
      <c r="B802" s="1" t="n">
        <v>45961.55277777778</v>
      </c>
      <c r="C802" s="1" t="n">
        <v>46049</v>
      </c>
      <c r="D802" t="inlineStr">
        <is>
          <t>JÄMTLANDS LÄN</t>
        </is>
      </c>
      <c r="E802" t="inlineStr">
        <is>
          <t>RAGUNDA</t>
        </is>
      </c>
      <c r="F802" t="inlineStr">
        <is>
          <t>SCA</t>
        </is>
      </c>
      <c r="G802" t="n">
        <v>21.9</v>
      </c>
      <c r="H802" t="n">
        <v>0</v>
      </c>
      <c r="I802" t="n">
        <v>0</v>
      </c>
      <c r="J802" t="n">
        <v>0</v>
      </c>
      <c r="K802" t="n">
        <v>0</v>
      </c>
      <c r="L802" t="n">
        <v>0</v>
      </c>
      <c r="M802" t="n">
        <v>0</v>
      </c>
      <c r="N802" t="n">
        <v>0</v>
      </c>
      <c r="O802" t="n">
        <v>0</v>
      </c>
      <c r="P802" t="n">
        <v>0</v>
      </c>
      <c r="Q802" t="n">
        <v>0</v>
      </c>
      <c r="R802" s="2" t="inlineStr"/>
    </row>
    <row r="803" ht="15" customHeight="1">
      <c r="A803" t="inlineStr">
        <is>
          <t>A 54195-2025</t>
        </is>
      </c>
      <c r="B803" s="1" t="n">
        <v>45964.57413194444</v>
      </c>
      <c r="C803" s="1" t="n">
        <v>46049</v>
      </c>
      <c r="D803" t="inlineStr">
        <is>
          <t>JÄMTLANDS LÄN</t>
        </is>
      </c>
      <c r="E803" t="inlineStr">
        <is>
          <t>RAGUNDA</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53948-2025</t>
        </is>
      </c>
      <c r="B804" s="1" t="n">
        <v>45961.50033564815</v>
      </c>
      <c r="C804" s="1" t="n">
        <v>46049</v>
      </c>
      <c r="D804" t="inlineStr">
        <is>
          <t>JÄMTLANDS LÄN</t>
        </is>
      </c>
      <c r="E804" t="inlineStr">
        <is>
          <t>RAGUNDA</t>
        </is>
      </c>
      <c r="G804" t="n">
        <v>7.9</v>
      </c>
      <c r="H804" t="n">
        <v>0</v>
      </c>
      <c r="I804" t="n">
        <v>0</v>
      </c>
      <c r="J804" t="n">
        <v>0</v>
      </c>
      <c r="K804" t="n">
        <v>0</v>
      </c>
      <c r="L804" t="n">
        <v>0</v>
      </c>
      <c r="M804" t="n">
        <v>0</v>
      </c>
      <c r="N804" t="n">
        <v>0</v>
      </c>
      <c r="O804" t="n">
        <v>0</v>
      </c>
      <c r="P804" t="n">
        <v>0</v>
      </c>
      <c r="Q804" t="n">
        <v>0</v>
      </c>
      <c r="R804" s="2" t="inlineStr"/>
    </row>
    <row r="805" ht="15" customHeight="1">
      <c r="A805" t="inlineStr">
        <is>
          <t>A 53973-2025</t>
        </is>
      </c>
      <c r="B805" s="1" t="n">
        <v>45961.55246527777</v>
      </c>
      <c r="C805" s="1" t="n">
        <v>46049</v>
      </c>
      <c r="D805" t="inlineStr">
        <is>
          <t>JÄMTLANDS LÄN</t>
        </is>
      </c>
      <c r="E805" t="inlineStr">
        <is>
          <t>RAGUNDA</t>
        </is>
      </c>
      <c r="G805" t="n">
        <v>2.4</v>
      </c>
      <c r="H805" t="n">
        <v>0</v>
      </c>
      <c r="I805" t="n">
        <v>0</v>
      </c>
      <c r="J805" t="n">
        <v>0</v>
      </c>
      <c r="K805" t="n">
        <v>0</v>
      </c>
      <c r="L805" t="n">
        <v>0</v>
      </c>
      <c r="M805" t="n">
        <v>0</v>
      </c>
      <c r="N805" t="n">
        <v>0</v>
      </c>
      <c r="O805" t="n">
        <v>0</v>
      </c>
      <c r="P805" t="n">
        <v>0</v>
      </c>
      <c r="Q805" t="n">
        <v>0</v>
      </c>
      <c r="R805" s="2" t="inlineStr"/>
    </row>
    <row r="806" ht="15" customHeight="1">
      <c r="A806" t="inlineStr">
        <is>
          <t>A 62819-2025</t>
        </is>
      </c>
      <c r="B806" s="1" t="n">
        <v>46008</v>
      </c>
      <c r="C806" s="1" t="n">
        <v>46049</v>
      </c>
      <c r="D806" t="inlineStr">
        <is>
          <t>JÄMTLANDS LÄN</t>
        </is>
      </c>
      <c r="E806" t="inlineStr">
        <is>
          <t>RAGUNDA</t>
        </is>
      </c>
      <c r="G806" t="n">
        <v>3.5</v>
      </c>
      <c r="H806" t="n">
        <v>0</v>
      </c>
      <c r="I806" t="n">
        <v>0</v>
      </c>
      <c r="J806" t="n">
        <v>0</v>
      </c>
      <c r="K806" t="n">
        <v>0</v>
      </c>
      <c r="L806" t="n">
        <v>0</v>
      </c>
      <c r="M806" t="n">
        <v>0</v>
      </c>
      <c r="N806" t="n">
        <v>0</v>
      </c>
      <c r="O806" t="n">
        <v>0</v>
      </c>
      <c r="P806" t="n">
        <v>0</v>
      </c>
      <c r="Q806" t="n">
        <v>0</v>
      </c>
      <c r="R806" s="2" t="inlineStr"/>
    </row>
    <row r="807" ht="15" customHeight="1">
      <c r="A807" t="inlineStr">
        <is>
          <t>A 62432-2025</t>
        </is>
      </c>
      <c r="B807" s="1" t="n">
        <v>46007</v>
      </c>
      <c r="C807" s="1" t="n">
        <v>46049</v>
      </c>
      <c r="D807" t="inlineStr">
        <is>
          <t>JÄMTLANDS LÄN</t>
        </is>
      </c>
      <c r="E807" t="inlineStr">
        <is>
          <t>RAGUNDA</t>
        </is>
      </c>
      <c r="G807" t="n">
        <v>4.7</v>
      </c>
      <c r="H807" t="n">
        <v>0</v>
      </c>
      <c r="I807" t="n">
        <v>0</v>
      </c>
      <c r="J807" t="n">
        <v>0</v>
      </c>
      <c r="K807" t="n">
        <v>0</v>
      </c>
      <c r="L807" t="n">
        <v>0</v>
      </c>
      <c r="M807" t="n">
        <v>0</v>
      </c>
      <c r="N807" t="n">
        <v>0</v>
      </c>
      <c r="O807" t="n">
        <v>0</v>
      </c>
      <c r="P807" t="n">
        <v>0</v>
      </c>
      <c r="Q807" t="n">
        <v>0</v>
      </c>
      <c r="R807" s="2" t="inlineStr"/>
    </row>
    <row r="808" ht="15" customHeight="1">
      <c r="A808" t="inlineStr">
        <is>
          <t>A 62436-2025</t>
        </is>
      </c>
      <c r="B808" s="1" t="n">
        <v>46007</v>
      </c>
      <c r="C808" s="1" t="n">
        <v>46049</v>
      </c>
      <c r="D808" t="inlineStr">
        <is>
          <t>JÄMTLANDS LÄN</t>
        </is>
      </c>
      <c r="E808" t="inlineStr">
        <is>
          <t>RAGUNDA</t>
        </is>
      </c>
      <c r="G808" t="n">
        <v>0.7</v>
      </c>
      <c r="H808" t="n">
        <v>0</v>
      </c>
      <c r="I808" t="n">
        <v>0</v>
      </c>
      <c r="J808" t="n">
        <v>0</v>
      </c>
      <c r="K808" t="n">
        <v>0</v>
      </c>
      <c r="L808" t="n">
        <v>0</v>
      </c>
      <c r="M808" t="n">
        <v>0</v>
      </c>
      <c r="N808" t="n">
        <v>0</v>
      </c>
      <c r="O808" t="n">
        <v>0</v>
      </c>
      <c r="P808" t="n">
        <v>0</v>
      </c>
      <c r="Q808" t="n">
        <v>0</v>
      </c>
      <c r="R808" s="2" t="inlineStr"/>
    </row>
    <row r="809" ht="15" customHeight="1">
      <c r="A809" t="inlineStr">
        <is>
          <t>A 54396-2025</t>
        </is>
      </c>
      <c r="B809" s="1" t="n">
        <v>45965.44849537037</v>
      </c>
      <c r="C809" s="1" t="n">
        <v>46049</v>
      </c>
      <c r="D809" t="inlineStr">
        <is>
          <t>JÄMTLANDS LÄN</t>
        </is>
      </c>
      <c r="E809" t="inlineStr">
        <is>
          <t>RAGUNDA</t>
        </is>
      </c>
      <c r="F809" t="inlineStr">
        <is>
          <t>SCA</t>
        </is>
      </c>
      <c r="G809" t="n">
        <v>35.2</v>
      </c>
      <c r="H809" t="n">
        <v>0</v>
      </c>
      <c r="I809" t="n">
        <v>0</v>
      </c>
      <c r="J809" t="n">
        <v>0</v>
      </c>
      <c r="K809" t="n">
        <v>0</v>
      </c>
      <c r="L809" t="n">
        <v>0</v>
      </c>
      <c r="M809" t="n">
        <v>0</v>
      </c>
      <c r="N809" t="n">
        <v>0</v>
      </c>
      <c r="O809" t="n">
        <v>0</v>
      </c>
      <c r="P809" t="n">
        <v>0</v>
      </c>
      <c r="Q809" t="n">
        <v>0</v>
      </c>
      <c r="R809" s="2" t="inlineStr"/>
    </row>
    <row r="810" ht="15" customHeight="1">
      <c r="A810" t="inlineStr">
        <is>
          <t>A 50157-2023</t>
        </is>
      </c>
      <c r="B810" s="1" t="n">
        <v>45208</v>
      </c>
      <c r="C810" s="1" t="n">
        <v>46049</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61400-2022</t>
        </is>
      </c>
      <c r="B811" s="1" t="n">
        <v>44915</v>
      </c>
      <c r="C811" s="1" t="n">
        <v>46049</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24861-2023</t>
        </is>
      </c>
      <c r="B812" s="1" t="n">
        <v>45078</v>
      </c>
      <c r="C812" s="1" t="n">
        <v>46049</v>
      </c>
      <c r="D812" t="inlineStr">
        <is>
          <t>JÄMTLANDS LÄN</t>
        </is>
      </c>
      <c r="E812" t="inlineStr">
        <is>
          <t>RAGUNDA</t>
        </is>
      </c>
      <c r="G812" t="n">
        <v>1.3</v>
      </c>
      <c r="H812" t="n">
        <v>0</v>
      </c>
      <c r="I812" t="n">
        <v>0</v>
      </c>
      <c r="J812" t="n">
        <v>0</v>
      </c>
      <c r="K812" t="n">
        <v>0</v>
      </c>
      <c r="L812" t="n">
        <v>0</v>
      </c>
      <c r="M812" t="n">
        <v>0</v>
      </c>
      <c r="N812" t="n">
        <v>0</v>
      </c>
      <c r="O812" t="n">
        <v>0</v>
      </c>
      <c r="P812" t="n">
        <v>0</v>
      </c>
      <c r="Q812" t="n">
        <v>0</v>
      </c>
      <c r="R812" s="2" t="inlineStr"/>
    </row>
    <row r="813" ht="15" customHeight="1">
      <c r="A813" t="inlineStr">
        <is>
          <t>A 58909-2025</t>
        </is>
      </c>
      <c r="B813" s="1" t="n">
        <v>45987</v>
      </c>
      <c r="C813" s="1" t="n">
        <v>46049</v>
      </c>
      <c r="D813" t="inlineStr">
        <is>
          <t>JÄMTLANDS LÄN</t>
        </is>
      </c>
      <c r="E813" t="inlineStr">
        <is>
          <t>RAGUNDA</t>
        </is>
      </c>
      <c r="G813" t="n">
        <v>9.5</v>
      </c>
      <c r="H813" t="n">
        <v>0</v>
      </c>
      <c r="I813" t="n">
        <v>0</v>
      </c>
      <c r="J813" t="n">
        <v>0</v>
      </c>
      <c r="K813" t="n">
        <v>0</v>
      </c>
      <c r="L813" t="n">
        <v>0</v>
      </c>
      <c r="M813" t="n">
        <v>0</v>
      </c>
      <c r="N813" t="n">
        <v>0</v>
      </c>
      <c r="O813" t="n">
        <v>0</v>
      </c>
      <c r="P813" t="n">
        <v>0</v>
      </c>
      <c r="Q813" t="n">
        <v>0</v>
      </c>
      <c r="R813" s="2" t="inlineStr"/>
    </row>
    <row r="814" ht="15" customHeight="1">
      <c r="A814" t="inlineStr">
        <is>
          <t>A 62638-2025</t>
        </is>
      </c>
      <c r="B814" s="1" t="n">
        <v>46008.36564814814</v>
      </c>
      <c r="C814" s="1" t="n">
        <v>46049</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62467-2025</t>
        </is>
      </c>
      <c r="B815" s="1" t="n">
        <v>46007.5108912037</v>
      </c>
      <c r="C815" s="1" t="n">
        <v>46049</v>
      </c>
      <c r="D815" t="inlineStr">
        <is>
          <t>JÄMTLANDS LÄN</t>
        </is>
      </c>
      <c r="E815" t="inlineStr">
        <is>
          <t>RAGUNDA</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38270-2021</t>
        </is>
      </c>
      <c r="B816" s="1" t="n">
        <v>44405.92065972222</v>
      </c>
      <c r="C816" s="1" t="n">
        <v>46049</v>
      </c>
      <c r="D816" t="inlineStr">
        <is>
          <t>JÄMTLANDS LÄN</t>
        </is>
      </c>
      <c r="E816" t="inlineStr">
        <is>
          <t>RAGUNDA</t>
        </is>
      </c>
      <c r="G816" t="n">
        <v>1.3</v>
      </c>
      <c r="H816" t="n">
        <v>0</v>
      </c>
      <c r="I816" t="n">
        <v>0</v>
      </c>
      <c r="J816" t="n">
        <v>0</v>
      </c>
      <c r="K816" t="n">
        <v>0</v>
      </c>
      <c r="L816" t="n">
        <v>0</v>
      </c>
      <c r="M816" t="n">
        <v>0</v>
      </c>
      <c r="N816" t="n">
        <v>0</v>
      </c>
      <c r="O816" t="n">
        <v>0</v>
      </c>
      <c r="P816" t="n">
        <v>0</v>
      </c>
      <c r="Q816" t="n">
        <v>0</v>
      </c>
      <c r="R816" s="2" t="inlineStr"/>
    </row>
    <row r="817" ht="15" customHeight="1">
      <c r="A817" t="inlineStr">
        <is>
          <t>A 4866-2025</t>
        </is>
      </c>
      <c r="B817" s="1" t="n">
        <v>45688.67542824074</v>
      </c>
      <c r="C817" s="1" t="n">
        <v>46049</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54820-2025</t>
        </is>
      </c>
      <c r="B818" s="1" t="n">
        <v>45966.65728009259</v>
      </c>
      <c r="C818" s="1" t="n">
        <v>46049</v>
      </c>
      <c r="D818" t="inlineStr">
        <is>
          <t>JÄMTLANDS LÄN</t>
        </is>
      </c>
      <c r="E818" t="inlineStr">
        <is>
          <t>RAGUNDA</t>
        </is>
      </c>
      <c r="G818" t="n">
        <v>15.3</v>
      </c>
      <c r="H818" t="n">
        <v>0</v>
      </c>
      <c r="I818" t="n">
        <v>0</v>
      </c>
      <c r="J818" t="n">
        <v>0</v>
      </c>
      <c r="K818" t="n">
        <v>0</v>
      </c>
      <c r="L818" t="n">
        <v>0</v>
      </c>
      <c r="M818" t="n">
        <v>0</v>
      </c>
      <c r="N818" t="n">
        <v>0</v>
      </c>
      <c r="O818" t="n">
        <v>0</v>
      </c>
      <c r="P818" t="n">
        <v>0</v>
      </c>
      <c r="Q818" t="n">
        <v>0</v>
      </c>
      <c r="R818" s="2" t="inlineStr"/>
    </row>
    <row r="819" ht="15" customHeight="1">
      <c r="A819" t="inlineStr">
        <is>
          <t>A 50160-2023</t>
        </is>
      </c>
      <c r="B819" s="1" t="n">
        <v>45208</v>
      </c>
      <c r="C819" s="1" t="n">
        <v>46049</v>
      </c>
      <c r="D819" t="inlineStr">
        <is>
          <t>JÄMTLANDS LÄN</t>
        </is>
      </c>
      <c r="E819" t="inlineStr">
        <is>
          <t>RAGUNDA</t>
        </is>
      </c>
      <c r="G819" t="n">
        <v>4.6</v>
      </c>
      <c r="H819" t="n">
        <v>0</v>
      </c>
      <c r="I819" t="n">
        <v>0</v>
      </c>
      <c r="J819" t="n">
        <v>0</v>
      </c>
      <c r="K819" t="n">
        <v>0</v>
      </c>
      <c r="L819" t="n">
        <v>0</v>
      </c>
      <c r="M819" t="n">
        <v>0</v>
      </c>
      <c r="N819" t="n">
        <v>0</v>
      </c>
      <c r="O819" t="n">
        <v>0</v>
      </c>
      <c r="P819" t="n">
        <v>0</v>
      </c>
      <c r="Q819" t="n">
        <v>0</v>
      </c>
      <c r="R819" s="2" t="inlineStr"/>
    </row>
    <row r="820" ht="15" customHeight="1">
      <c r="A820" t="inlineStr">
        <is>
          <t>A 62691-2025</t>
        </is>
      </c>
      <c r="B820" s="1" t="n">
        <v>46008.4759837963</v>
      </c>
      <c r="C820" s="1" t="n">
        <v>46049</v>
      </c>
      <c r="D820" t="inlineStr">
        <is>
          <t>JÄMTLANDS LÄN</t>
        </is>
      </c>
      <c r="E820" t="inlineStr">
        <is>
          <t>RAGUNDA</t>
        </is>
      </c>
      <c r="G820" t="n">
        <v>2.6</v>
      </c>
      <c r="H820" t="n">
        <v>0</v>
      </c>
      <c r="I820" t="n">
        <v>0</v>
      </c>
      <c r="J820" t="n">
        <v>0</v>
      </c>
      <c r="K820" t="n">
        <v>0</v>
      </c>
      <c r="L820" t="n">
        <v>0</v>
      </c>
      <c r="M820" t="n">
        <v>0</v>
      </c>
      <c r="N820" t="n">
        <v>0</v>
      </c>
      <c r="O820" t="n">
        <v>0</v>
      </c>
      <c r="P820" t="n">
        <v>0</v>
      </c>
      <c r="Q820" t="n">
        <v>0</v>
      </c>
      <c r="R820" s="2" t="inlineStr"/>
    </row>
    <row r="821" ht="15" customHeight="1">
      <c r="A821" t="inlineStr">
        <is>
          <t>A 179-2025</t>
        </is>
      </c>
      <c r="B821" s="1" t="n">
        <v>45659.69822916666</v>
      </c>
      <c r="C821" s="1" t="n">
        <v>46049</v>
      </c>
      <c r="D821" t="inlineStr">
        <is>
          <t>JÄMTLANDS LÄN</t>
        </is>
      </c>
      <c r="E821" t="inlineStr">
        <is>
          <t>RAGUNDA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20088-2023</t>
        </is>
      </c>
      <c r="B822" s="1" t="n">
        <v>45054</v>
      </c>
      <c r="C822" s="1" t="n">
        <v>46049</v>
      </c>
      <c r="D822" t="inlineStr">
        <is>
          <t>JÄMTLANDS LÄN</t>
        </is>
      </c>
      <c r="E822" t="inlineStr">
        <is>
          <t>RAGUNDA</t>
        </is>
      </c>
      <c r="F822" t="inlineStr">
        <is>
          <t>SCA</t>
        </is>
      </c>
      <c r="G822" t="n">
        <v>23.4</v>
      </c>
      <c r="H822" t="n">
        <v>0</v>
      </c>
      <c r="I822" t="n">
        <v>0</v>
      </c>
      <c r="J822" t="n">
        <v>0</v>
      </c>
      <c r="K822" t="n">
        <v>0</v>
      </c>
      <c r="L822" t="n">
        <v>0</v>
      </c>
      <c r="M822" t="n">
        <v>0</v>
      </c>
      <c r="N822" t="n">
        <v>0</v>
      </c>
      <c r="O822" t="n">
        <v>0</v>
      </c>
      <c r="P822" t="n">
        <v>0</v>
      </c>
      <c r="Q822" t="n">
        <v>0</v>
      </c>
      <c r="R822" s="2" t="inlineStr"/>
    </row>
    <row r="823" ht="15" customHeight="1">
      <c r="A823" t="inlineStr">
        <is>
          <t>A 54794-2025</t>
        </is>
      </c>
      <c r="B823" s="1" t="n">
        <v>45966.63592592593</v>
      </c>
      <c r="C823" s="1" t="n">
        <v>46049</v>
      </c>
      <c r="D823" t="inlineStr">
        <is>
          <t>JÄMTLANDS LÄN</t>
        </is>
      </c>
      <c r="E823" t="inlineStr">
        <is>
          <t>RAGUNDA</t>
        </is>
      </c>
      <c r="G823" t="n">
        <v>4</v>
      </c>
      <c r="H823" t="n">
        <v>0</v>
      </c>
      <c r="I823" t="n">
        <v>0</v>
      </c>
      <c r="J823" t="n">
        <v>0</v>
      </c>
      <c r="K823" t="n">
        <v>0</v>
      </c>
      <c r="L823" t="n">
        <v>0</v>
      </c>
      <c r="M823" t="n">
        <v>0</v>
      </c>
      <c r="N823" t="n">
        <v>0</v>
      </c>
      <c r="O823" t="n">
        <v>0</v>
      </c>
      <c r="P823" t="n">
        <v>0</v>
      </c>
      <c r="Q823" t="n">
        <v>0</v>
      </c>
      <c r="R823" s="2" t="inlineStr"/>
    </row>
    <row r="824" ht="15" customHeight="1">
      <c r="A824" t="inlineStr">
        <is>
          <t>A 59136-2023</t>
        </is>
      </c>
      <c r="B824" s="1" t="n">
        <v>45251</v>
      </c>
      <c r="C824" s="1" t="n">
        <v>46049</v>
      </c>
      <c r="D824" t="inlineStr">
        <is>
          <t>JÄMTLANDS LÄN</t>
        </is>
      </c>
      <c r="E824" t="inlineStr">
        <is>
          <t>RAGUNDA</t>
        </is>
      </c>
      <c r="G824" t="n">
        <v>1.7</v>
      </c>
      <c r="H824" t="n">
        <v>0</v>
      </c>
      <c r="I824" t="n">
        <v>0</v>
      </c>
      <c r="J824" t="n">
        <v>0</v>
      </c>
      <c r="K824" t="n">
        <v>0</v>
      </c>
      <c r="L824" t="n">
        <v>0</v>
      </c>
      <c r="M824" t="n">
        <v>0</v>
      </c>
      <c r="N824" t="n">
        <v>0</v>
      </c>
      <c r="O824" t="n">
        <v>0</v>
      </c>
      <c r="P824" t="n">
        <v>0</v>
      </c>
      <c r="Q824" t="n">
        <v>0</v>
      </c>
      <c r="R824" s="2" t="inlineStr"/>
    </row>
    <row r="825" ht="15" customHeight="1">
      <c r="A825" t="inlineStr">
        <is>
          <t>A 35274-2023</t>
        </is>
      </c>
      <c r="B825" s="1" t="n">
        <v>45145</v>
      </c>
      <c r="C825" s="1" t="n">
        <v>46049</v>
      </c>
      <c r="D825" t="inlineStr">
        <is>
          <t>JÄMTLANDS LÄN</t>
        </is>
      </c>
      <c r="E825" t="inlineStr">
        <is>
          <t>RAGUNDA</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64264-2023</t>
        </is>
      </c>
      <c r="B826" s="1" t="n">
        <v>45279.94564814815</v>
      </c>
      <c r="C826" s="1" t="n">
        <v>46049</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26347-2023</t>
        </is>
      </c>
      <c r="B827" s="1" t="n">
        <v>45091</v>
      </c>
      <c r="C827" s="1" t="n">
        <v>46049</v>
      </c>
      <c r="D827" t="inlineStr">
        <is>
          <t>JÄMTLANDS LÄN</t>
        </is>
      </c>
      <c r="E827" t="inlineStr">
        <is>
          <t>RAGUNDA</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51538-2022</t>
        </is>
      </c>
      <c r="B828" s="1" t="n">
        <v>44869</v>
      </c>
      <c r="C828" s="1" t="n">
        <v>46049</v>
      </c>
      <c r="D828" t="inlineStr">
        <is>
          <t>JÄMTLANDS LÄN</t>
        </is>
      </c>
      <c r="E828" t="inlineStr">
        <is>
          <t>RAGUNDA</t>
        </is>
      </c>
      <c r="G828" t="n">
        <v>6.8</v>
      </c>
      <c r="H828" t="n">
        <v>0</v>
      </c>
      <c r="I828" t="n">
        <v>0</v>
      </c>
      <c r="J828" t="n">
        <v>0</v>
      </c>
      <c r="K828" t="n">
        <v>0</v>
      </c>
      <c r="L828" t="n">
        <v>0</v>
      </c>
      <c r="M828" t="n">
        <v>0</v>
      </c>
      <c r="N828" t="n">
        <v>0</v>
      </c>
      <c r="O828" t="n">
        <v>0</v>
      </c>
      <c r="P828" t="n">
        <v>0</v>
      </c>
      <c r="Q828" t="n">
        <v>0</v>
      </c>
      <c r="R828" s="2" t="inlineStr"/>
    </row>
    <row r="829" ht="15" customHeight="1">
      <c r="A829" t="inlineStr">
        <is>
          <t>A 59492-2024</t>
        </is>
      </c>
      <c r="B829" s="1" t="n">
        <v>45638</v>
      </c>
      <c r="C829" s="1" t="n">
        <v>46049</v>
      </c>
      <c r="D829" t="inlineStr">
        <is>
          <t>JÄMTLANDS LÄN</t>
        </is>
      </c>
      <c r="E829" t="inlineStr">
        <is>
          <t>RAGUNDA</t>
        </is>
      </c>
      <c r="G829" t="n">
        <v>1.2</v>
      </c>
      <c r="H829" t="n">
        <v>0</v>
      </c>
      <c r="I829" t="n">
        <v>0</v>
      </c>
      <c r="J829" t="n">
        <v>0</v>
      </c>
      <c r="K829" t="n">
        <v>0</v>
      </c>
      <c r="L829" t="n">
        <v>0</v>
      </c>
      <c r="M829" t="n">
        <v>0</v>
      </c>
      <c r="N829" t="n">
        <v>0</v>
      </c>
      <c r="O829" t="n">
        <v>0</v>
      </c>
      <c r="P829" t="n">
        <v>0</v>
      </c>
      <c r="Q829" t="n">
        <v>0</v>
      </c>
      <c r="R829" s="2" t="inlineStr"/>
    </row>
    <row r="830" ht="15" customHeight="1">
      <c r="A830" t="inlineStr">
        <is>
          <t>A 61109-2024</t>
        </is>
      </c>
      <c r="B830" s="1" t="n">
        <v>45645.55672453704</v>
      </c>
      <c r="C830" s="1" t="n">
        <v>46049</v>
      </c>
      <c r="D830" t="inlineStr">
        <is>
          <t>JÄMTLANDS LÄN</t>
        </is>
      </c>
      <c r="E830" t="inlineStr">
        <is>
          <t>RAGUNDA</t>
        </is>
      </c>
      <c r="G830" t="n">
        <v>4</v>
      </c>
      <c r="H830" t="n">
        <v>0</v>
      </c>
      <c r="I830" t="n">
        <v>0</v>
      </c>
      <c r="J830" t="n">
        <v>0</v>
      </c>
      <c r="K830" t="n">
        <v>0</v>
      </c>
      <c r="L830" t="n">
        <v>0</v>
      </c>
      <c r="M830" t="n">
        <v>0</v>
      </c>
      <c r="N830" t="n">
        <v>0</v>
      </c>
      <c r="O830" t="n">
        <v>0</v>
      </c>
      <c r="P830" t="n">
        <v>0</v>
      </c>
      <c r="Q830" t="n">
        <v>0</v>
      </c>
      <c r="R830" s="2" t="inlineStr"/>
    </row>
    <row r="831" ht="15" customHeight="1">
      <c r="A831" t="inlineStr">
        <is>
          <t>A 63060-2025</t>
        </is>
      </c>
      <c r="B831" s="1" t="n">
        <v>46009.64414351852</v>
      </c>
      <c r="C831" s="1" t="n">
        <v>46049</v>
      </c>
      <c r="D831" t="inlineStr">
        <is>
          <t>JÄMTLANDS LÄN</t>
        </is>
      </c>
      <c r="E831" t="inlineStr">
        <is>
          <t>RAGUNDA</t>
        </is>
      </c>
      <c r="G831" t="n">
        <v>6.5</v>
      </c>
      <c r="H831" t="n">
        <v>0</v>
      </c>
      <c r="I831" t="n">
        <v>0</v>
      </c>
      <c r="J831" t="n">
        <v>0</v>
      </c>
      <c r="K831" t="n">
        <v>0</v>
      </c>
      <c r="L831" t="n">
        <v>0</v>
      </c>
      <c r="M831" t="n">
        <v>0</v>
      </c>
      <c r="N831" t="n">
        <v>0</v>
      </c>
      <c r="O831" t="n">
        <v>0</v>
      </c>
      <c r="P831" t="n">
        <v>0</v>
      </c>
      <c r="Q831" t="n">
        <v>0</v>
      </c>
      <c r="R831" s="2" t="inlineStr"/>
    </row>
    <row r="832" ht="15" customHeight="1">
      <c r="A832" t="inlineStr">
        <is>
          <t>A 63057-2025</t>
        </is>
      </c>
      <c r="B832" s="1" t="n">
        <v>46009.63837962963</v>
      </c>
      <c r="C832" s="1" t="n">
        <v>46049</v>
      </c>
      <c r="D832" t="inlineStr">
        <is>
          <t>JÄMTLANDS LÄN</t>
        </is>
      </c>
      <c r="E832" t="inlineStr">
        <is>
          <t>RAGUNDA</t>
        </is>
      </c>
      <c r="G832" t="n">
        <v>13.7</v>
      </c>
      <c r="H832" t="n">
        <v>0</v>
      </c>
      <c r="I832" t="n">
        <v>0</v>
      </c>
      <c r="J832" t="n">
        <v>0</v>
      </c>
      <c r="K832" t="n">
        <v>0</v>
      </c>
      <c r="L832" t="n">
        <v>0</v>
      </c>
      <c r="M832" t="n">
        <v>0</v>
      </c>
      <c r="N832" t="n">
        <v>0</v>
      </c>
      <c r="O832" t="n">
        <v>0</v>
      </c>
      <c r="P832" t="n">
        <v>0</v>
      </c>
      <c r="Q832" t="n">
        <v>0</v>
      </c>
      <c r="R832" s="2" t="inlineStr"/>
    </row>
    <row r="833" ht="15" customHeight="1">
      <c r="A833" t="inlineStr">
        <is>
          <t>A 62927-2025</t>
        </is>
      </c>
      <c r="B833" s="1" t="n">
        <v>46009.38609953703</v>
      </c>
      <c r="C833" s="1" t="n">
        <v>46049</v>
      </c>
      <c r="D833" t="inlineStr">
        <is>
          <t>JÄMTLANDS LÄN</t>
        </is>
      </c>
      <c r="E833" t="inlineStr">
        <is>
          <t>RAGUNDA</t>
        </is>
      </c>
      <c r="G833" t="n">
        <v>6.3</v>
      </c>
      <c r="H833" t="n">
        <v>0</v>
      </c>
      <c r="I833" t="n">
        <v>0</v>
      </c>
      <c r="J833" t="n">
        <v>0</v>
      </c>
      <c r="K833" t="n">
        <v>0</v>
      </c>
      <c r="L833" t="n">
        <v>0</v>
      </c>
      <c r="M833" t="n">
        <v>0</v>
      </c>
      <c r="N833" t="n">
        <v>0</v>
      </c>
      <c r="O833" t="n">
        <v>0</v>
      </c>
      <c r="P833" t="n">
        <v>0</v>
      </c>
      <c r="Q833" t="n">
        <v>0</v>
      </c>
      <c r="R833" s="2" t="inlineStr"/>
      <c r="U833">
        <f>HYPERLINK("https://klasma.github.io/Logging_2303/knärot/A 62927-2025 karta knärot.png", "A 62927-2025")</f>
        <v/>
      </c>
      <c r="V833">
        <f>HYPERLINK("https://klasma.github.io/Logging_2303/klagomål/A 62927-2025 FSC-klagomål.docx", "A 62927-2025")</f>
        <v/>
      </c>
      <c r="W833">
        <f>HYPERLINK("https://klasma.github.io/Logging_2303/klagomålsmail/A 62927-2025 FSC-klagomål mail.docx", "A 62927-2025")</f>
        <v/>
      </c>
      <c r="X833">
        <f>HYPERLINK("https://klasma.github.io/Logging_2303/tillsyn/A 62927-2025 tillsynsbegäran.docx", "A 62927-2025")</f>
        <v/>
      </c>
      <c r="Y833">
        <f>HYPERLINK("https://klasma.github.io/Logging_2303/tillsynsmail/A 62927-2025 tillsynsbegäran mail.docx", "A 62927-2025")</f>
        <v/>
      </c>
    </row>
    <row r="834" ht="15" customHeight="1">
      <c r="A834" t="inlineStr">
        <is>
          <t>A 63141-2025</t>
        </is>
      </c>
      <c r="B834" s="1" t="n">
        <v>46010.34440972222</v>
      </c>
      <c r="C834" s="1" t="n">
        <v>46049</v>
      </c>
      <c r="D834" t="inlineStr">
        <is>
          <t>JÄMTLANDS LÄN</t>
        </is>
      </c>
      <c r="E834" t="inlineStr">
        <is>
          <t>RAGUNDA</t>
        </is>
      </c>
      <c r="F834" t="inlineStr">
        <is>
          <t>SCA</t>
        </is>
      </c>
      <c r="G834" t="n">
        <v>24.4</v>
      </c>
      <c r="H834" t="n">
        <v>0</v>
      </c>
      <c r="I834" t="n">
        <v>0</v>
      </c>
      <c r="J834" t="n">
        <v>0</v>
      </c>
      <c r="K834" t="n">
        <v>0</v>
      </c>
      <c r="L834" t="n">
        <v>0</v>
      </c>
      <c r="M834" t="n">
        <v>0</v>
      </c>
      <c r="N834" t="n">
        <v>0</v>
      </c>
      <c r="O834" t="n">
        <v>0</v>
      </c>
      <c r="P834" t="n">
        <v>0</v>
      </c>
      <c r="Q834" t="n">
        <v>0</v>
      </c>
      <c r="R834" s="2" t="inlineStr"/>
    </row>
    <row r="835" ht="15" customHeight="1">
      <c r="A835" t="inlineStr">
        <is>
          <t>A 27373-2023</t>
        </is>
      </c>
      <c r="B835" s="1" t="n">
        <v>45096.93866898148</v>
      </c>
      <c r="C835" s="1" t="n">
        <v>46049</v>
      </c>
      <c r="D835" t="inlineStr">
        <is>
          <t>JÄMTLANDS LÄN</t>
        </is>
      </c>
      <c r="E835" t="inlineStr">
        <is>
          <t>RAGUNDA</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16321-2025</t>
        </is>
      </c>
      <c r="B836" s="1" t="n">
        <v>45751.34873842593</v>
      </c>
      <c r="C836" s="1" t="n">
        <v>46049</v>
      </c>
      <c r="D836" t="inlineStr">
        <is>
          <t>JÄMTLANDS LÄN</t>
        </is>
      </c>
      <c r="E836" t="inlineStr">
        <is>
          <t>RAGUNDA</t>
        </is>
      </c>
      <c r="F836" t="inlineStr">
        <is>
          <t>SCA</t>
        </is>
      </c>
      <c r="G836" t="n">
        <v>63.3</v>
      </c>
      <c r="H836" t="n">
        <v>0</v>
      </c>
      <c r="I836" t="n">
        <v>0</v>
      </c>
      <c r="J836" t="n">
        <v>0</v>
      </c>
      <c r="K836" t="n">
        <v>0</v>
      </c>
      <c r="L836" t="n">
        <v>0</v>
      </c>
      <c r="M836" t="n">
        <v>0</v>
      </c>
      <c r="N836" t="n">
        <v>0</v>
      </c>
      <c r="O836" t="n">
        <v>0</v>
      </c>
      <c r="P836" t="n">
        <v>0</v>
      </c>
      <c r="Q836" t="n">
        <v>0</v>
      </c>
      <c r="R836" s="2" t="inlineStr"/>
    </row>
    <row r="837" ht="15" customHeight="1">
      <c r="A837" t="inlineStr">
        <is>
          <t>A 55904-2022</t>
        </is>
      </c>
      <c r="B837" s="1" t="n">
        <v>44888</v>
      </c>
      <c r="C837" s="1" t="n">
        <v>46049</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55633-2025</t>
        </is>
      </c>
      <c r="B838" s="1" t="n">
        <v>45972</v>
      </c>
      <c r="C838" s="1" t="n">
        <v>46049</v>
      </c>
      <c r="D838" t="inlineStr">
        <is>
          <t>JÄMTLANDS LÄN</t>
        </is>
      </c>
      <c r="E838" t="inlineStr">
        <is>
          <t>RAGUNDA</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55547-2025</t>
        </is>
      </c>
      <c r="B839" s="1" t="n">
        <v>45971</v>
      </c>
      <c r="C839" s="1" t="n">
        <v>46049</v>
      </c>
      <c r="D839" t="inlineStr">
        <is>
          <t>JÄMTLANDS LÄN</t>
        </is>
      </c>
      <c r="E839" t="inlineStr">
        <is>
          <t>RAGUNDA</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19854-2025</t>
        </is>
      </c>
      <c r="B840" s="1" t="n">
        <v>45771.51074074074</v>
      </c>
      <c r="C840" s="1" t="n">
        <v>46049</v>
      </c>
      <c r="D840" t="inlineStr">
        <is>
          <t>JÄMTLANDS LÄN</t>
        </is>
      </c>
      <c r="E840" t="inlineStr">
        <is>
          <t>RAGUNDA</t>
        </is>
      </c>
      <c r="F840" t="inlineStr">
        <is>
          <t>SCA</t>
        </is>
      </c>
      <c r="G840" t="n">
        <v>8.4</v>
      </c>
      <c r="H840" t="n">
        <v>0</v>
      </c>
      <c r="I840" t="n">
        <v>0</v>
      </c>
      <c r="J840" t="n">
        <v>0</v>
      </c>
      <c r="K840" t="n">
        <v>0</v>
      </c>
      <c r="L840" t="n">
        <v>0</v>
      </c>
      <c r="M840" t="n">
        <v>0</v>
      </c>
      <c r="N840" t="n">
        <v>0</v>
      </c>
      <c r="O840" t="n">
        <v>0</v>
      </c>
      <c r="P840" t="n">
        <v>0</v>
      </c>
      <c r="Q840" t="n">
        <v>0</v>
      </c>
      <c r="R840" s="2" t="inlineStr"/>
    </row>
    <row r="841" ht="15" customHeight="1">
      <c r="A841" t="inlineStr">
        <is>
          <t>A 6688-2024</t>
        </is>
      </c>
      <c r="B841" s="1" t="n">
        <v>45341</v>
      </c>
      <c r="C841" s="1" t="n">
        <v>46049</v>
      </c>
      <c r="D841" t="inlineStr">
        <is>
          <t>JÄMTLANDS LÄN</t>
        </is>
      </c>
      <c r="E841" t="inlineStr">
        <is>
          <t>RAGUNDA</t>
        </is>
      </c>
      <c r="G841" t="n">
        <v>2</v>
      </c>
      <c r="H841" t="n">
        <v>0</v>
      </c>
      <c r="I841" t="n">
        <v>0</v>
      </c>
      <c r="J841" t="n">
        <v>0</v>
      </c>
      <c r="K841" t="n">
        <v>0</v>
      </c>
      <c r="L841" t="n">
        <v>0</v>
      </c>
      <c r="M841" t="n">
        <v>0</v>
      </c>
      <c r="N841" t="n">
        <v>0</v>
      </c>
      <c r="O841" t="n">
        <v>0</v>
      </c>
      <c r="P841" t="n">
        <v>0</v>
      </c>
      <c r="Q841" t="n">
        <v>0</v>
      </c>
      <c r="R841" s="2" t="inlineStr"/>
    </row>
    <row r="842" ht="15" customHeight="1">
      <c r="A842" t="inlineStr">
        <is>
          <t>A 30642-2024</t>
        </is>
      </c>
      <c r="B842" s="1" t="n">
        <v>45495.57677083334</v>
      </c>
      <c r="C842" s="1" t="n">
        <v>46049</v>
      </c>
      <c r="D842" t="inlineStr">
        <is>
          <t>JÄMTLANDS LÄN</t>
        </is>
      </c>
      <c r="E842" t="inlineStr">
        <is>
          <t>RAGUNDA</t>
        </is>
      </c>
      <c r="G842" t="n">
        <v>2.7</v>
      </c>
      <c r="H842" t="n">
        <v>0</v>
      </c>
      <c r="I842" t="n">
        <v>0</v>
      </c>
      <c r="J842" t="n">
        <v>0</v>
      </c>
      <c r="K842" t="n">
        <v>0</v>
      </c>
      <c r="L842" t="n">
        <v>0</v>
      </c>
      <c r="M842" t="n">
        <v>0</v>
      </c>
      <c r="N842" t="n">
        <v>0</v>
      </c>
      <c r="O842" t="n">
        <v>0</v>
      </c>
      <c r="P842" t="n">
        <v>0</v>
      </c>
      <c r="Q842" t="n">
        <v>0</v>
      </c>
      <c r="R842" s="2" t="inlineStr"/>
    </row>
    <row r="843" ht="15" customHeight="1">
      <c r="A843" t="inlineStr">
        <is>
          <t>A 63578-2025</t>
        </is>
      </c>
      <c r="B843" s="1" t="n">
        <v>46013.67690972222</v>
      </c>
      <c r="C843" s="1" t="n">
        <v>46049</v>
      </c>
      <c r="D843" t="inlineStr">
        <is>
          <t>JÄMTLANDS LÄN</t>
        </is>
      </c>
      <c r="E843" t="inlineStr">
        <is>
          <t>RAGUNDA</t>
        </is>
      </c>
      <c r="G843" t="n">
        <v>2.7</v>
      </c>
      <c r="H843" t="n">
        <v>0</v>
      </c>
      <c r="I843" t="n">
        <v>0</v>
      </c>
      <c r="J843" t="n">
        <v>0</v>
      </c>
      <c r="K843" t="n">
        <v>0</v>
      </c>
      <c r="L843" t="n">
        <v>0</v>
      </c>
      <c r="M843" t="n">
        <v>0</v>
      </c>
      <c r="N843" t="n">
        <v>0</v>
      </c>
      <c r="O843" t="n">
        <v>0</v>
      </c>
      <c r="P843" t="n">
        <v>0</v>
      </c>
      <c r="Q843" t="n">
        <v>0</v>
      </c>
      <c r="R843" s="2" t="inlineStr"/>
    </row>
    <row r="844" ht="15" customHeight="1">
      <c r="A844" t="inlineStr">
        <is>
          <t>A 63672-2025</t>
        </is>
      </c>
      <c r="B844" s="1" t="n">
        <v>46014.47575231481</v>
      </c>
      <c r="C844" s="1" t="n">
        <v>46049</v>
      </c>
      <c r="D844" t="inlineStr">
        <is>
          <t>JÄMTLANDS LÄN</t>
        </is>
      </c>
      <c r="E844" t="inlineStr">
        <is>
          <t>RAGUNDA</t>
        </is>
      </c>
      <c r="G844" t="n">
        <v>0.8</v>
      </c>
      <c r="H844" t="n">
        <v>0</v>
      </c>
      <c r="I844" t="n">
        <v>0</v>
      </c>
      <c r="J844" t="n">
        <v>0</v>
      </c>
      <c r="K844" t="n">
        <v>0</v>
      </c>
      <c r="L844" t="n">
        <v>0</v>
      </c>
      <c r="M844" t="n">
        <v>0</v>
      </c>
      <c r="N844" t="n">
        <v>0</v>
      </c>
      <c r="O844" t="n">
        <v>0</v>
      </c>
      <c r="P844" t="n">
        <v>0</v>
      </c>
      <c r="Q844" t="n">
        <v>0</v>
      </c>
      <c r="R844" s="2" t="inlineStr"/>
    </row>
    <row r="845" ht="15" customHeight="1">
      <c r="A845" t="inlineStr">
        <is>
          <t>A 16635-2025</t>
        </is>
      </c>
      <c r="B845" s="1" t="n">
        <v>45754</v>
      </c>
      <c r="C845" s="1" t="n">
        <v>46049</v>
      </c>
      <c r="D845" t="inlineStr">
        <is>
          <t>JÄMTLANDS LÄN</t>
        </is>
      </c>
      <c r="E845" t="inlineStr">
        <is>
          <t>RAGUNDA</t>
        </is>
      </c>
      <c r="F845" t="inlineStr">
        <is>
          <t>SCA</t>
        </is>
      </c>
      <c r="G845" t="n">
        <v>55.4</v>
      </c>
      <c r="H845" t="n">
        <v>0</v>
      </c>
      <c r="I845" t="n">
        <v>0</v>
      </c>
      <c r="J845" t="n">
        <v>0</v>
      </c>
      <c r="K845" t="n">
        <v>0</v>
      </c>
      <c r="L845" t="n">
        <v>0</v>
      </c>
      <c r="M845" t="n">
        <v>0</v>
      </c>
      <c r="N845" t="n">
        <v>0</v>
      </c>
      <c r="O845" t="n">
        <v>0</v>
      </c>
      <c r="P845" t="n">
        <v>0</v>
      </c>
      <c r="Q845" t="n">
        <v>0</v>
      </c>
      <c r="R845" s="2" t="inlineStr"/>
    </row>
    <row r="846" ht="15" customHeight="1">
      <c r="A846" t="inlineStr">
        <is>
          <t>A 37479-2023</t>
        </is>
      </c>
      <c r="B846" s="1" t="n">
        <v>45156</v>
      </c>
      <c r="C846" s="1" t="n">
        <v>46049</v>
      </c>
      <c r="D846" t="inlineStr">
        <is>
          <t>JÄMTLANDS LÄN</t>
        </is>
      </c>
      <c r="E846" t="inlineStr">
        <is>
          <t>RAGUNDA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55671-2025</t>
        </is>
      </c>
      <c r="B847" s="1" t="n">
        <v>45972</v>
      </c>
      <c r="C847" s="1" t="n">
        <v>46049</v>
      </c>
      <c r="D847" t="inlineStr">
        <is>
          <t>JÄMTLANDS LÄN</t>
        </is>
      </c>
      <c r="E847" t="inlineStr">
        <is>
          <t>RAGUNDA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63671-2025</t>
        </is>
      </c>
      <c r="B848" s="1" t="n">
        <v>46014.46555555556</v>
      </c>
      <c r="C848" s="1" t="n">
        <v>46049</v>
      </c>
      <c r="D848" t="inlineStr">
        <is>
          <t>JÄMTLANDS LÄN</t>
        </is>
      </c>
      <c r="E848" t="inlineStr">
        <is>
          <t>RAGUNDA</t>
        </is>
      </c>
      <c r="G848" t="n">
        <v>0.9</v>
      </c>
      <c r="H848" t="n">
        <v>0</v>
      </c>
      <c r="I848" t="n">
        <v>0</v>
      </c>
      <c r="J848" t="n">
        <v>0</v>
      </c>
      <c r="K848" t="n">
        <v>0</v>
      </c>
      <c r="L848" t="n">
        <v>0</v>
      </c>
      <c r="M848" t="n">
        <v>0</v>
      </c>
      <c r="N848" t="n">
        <v>0</v>
      </c>
      <c r="O848" t="n">
        <v>0</v>
      </c>
      <c r="P848" t="n">
        <v>0</v>
      </c>
      <c r="Q848" t="n">
        <v>0</v>
      </c>
      <c r="R848" s="2" t="inlineStr"/>
    </row>
    <row r="849" ht="15" customHeight="1">
      <c r="A849" t="inlineStr">
        <is>
          <t>A 56170-2025</t>
        </is>
      </c>
      <c r="B849" s="1" t="n">
        <v>45974.39398148148</v>
      </c>
      <c r="C849" s="1" t="n">
        <v>46049</v>
      </c>
      <c r="D849" t="inlineStr">
        <is>
          <t>JÄMTLANDS LÄN</t>
        </is>
      </c>
      <c r="E849" t="inlineStr">
        <is>
          <t>RAGUNDA</t>
        </is>
      </c>
      <c r="G849" t="n">
        <v>2</v>
      </c>
      <c r="H849" t="n">
        <v>0</v>
      </c>
      <c r="I849" t="n">
        <v>0</v>
      </c>
      <c r="J849" t="n">
        <v>0</v>
      </c>
      <c r="K849" t="n">
        <v>0</v>
      </c>
      <c r="L849" t="n">
        <v>0</v>
      </c>
      <c r="M849" t="n">
        <v>0</v>
      </c>
      <c r="N849" t="n">
        <v>0</v>
      </c>
      <c r="O849" t="n">
        <v>0</v>
      </c>
      <c r="P849" t="n">
        <v>0</v>
      </c>
      <c r="Q849" t="n">
        <v>0</v>
      </c>
      <c r="R849" s="2" t="inlineStr"/>
    </row>
    <row r="850" ht="15" customHeight="1">
      <c r="A850" t="inlineStr">
        <is>
          <t>A 41772-2024</t>
        </is>
      </c>
      <c r="B850" s="1" t="n">
        <v>45561.34663194444</v>
      </c>
      <c r="C850" s="1" t="n">
        <v>46049</v>
      </c>
      <c r="D850" t="inlineStr">
        <is>
          <t>JÄMTLANDS LÄN</t>
        </is>
      </c>
      <c r="E850" t="inlineStr">
        <is>
          <t>RAGUNDA</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12660-2024</t>
        </is>
      </c>
      <c r="B851" s="1" t="n">
        <v>45384</v>
      </c>
      <c r="C851" s="1" t="n">
        <v>46049</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55897-2025</t>
        </is>
      </c>
      <c r="B852" s="1" t="n">
        <v>45973.38600694444</v>
      </c>
      <c r="C852" s="1" t="n">
        <v>46049</v>
      </c>
      <c r="D852" t="inlineStr">
        <is>
          <t>JÄMTLANDS LÄN</t>
        </is>
      </c>
      <c r="E852" t="inlineStr">
        <is>
          <t>RAGUNDA</t>
        </is>
      </c>
      <c r="F852" t="inlineStr">
        <is>
          <t>SCA</t>
        </is>
      </c>
      <c r="G852" t="n">
        <v>14.1</v>
      </c>
      <c r="H852" t="n">
        <v>0</v>
      </c>
      <c r="I852" t="n">
        <v>0</v>
      </c>
      <c r="J852" t="n">
        <v>0</v>
      </c>
      <c r="K852" t="n">
        <v>0</v>
      </c>
      <c r="L852" t="n">
        <v>0</v>
      </c>
      <c r="M852" t="n">
        <v>0</v>
      </c>
      <c r="N852" t="n">
        <v>0</v>
      </c>
      <c r="O852" t="n">
        <v>0</v>
      </c>
      <c r="P852" t="n">
        <v>0</v>
      </c>
      <c r="Q852" t="n">
        <v>0</v>
      </c>
      <c r="R852" s="2" t="inlineStr"/>
    </row>
    <row r="853" ht="15" customHeight="1">
      <c r="A853" t="inlineStr">
        <is>
          <t>A 25332-2023</t>
        </is>
      </c>
      <c r="B853" s="1" t="n">
        <v>45086.94010416666</v>
      </c>
      <c r="C853" s="1" t="n">
        <v>46049</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55797-2025</t>
        </is>
      </c>
      <c r="B854" s="1" t="n">
        <v>45972.65693287037</v>
      </c>
      <c r="C854" s="1" t="n">
        <v>46049</v>
      </c>
      <c r="D854" t="inlineStr">
        <is>
          <t>JÄMTLANDS LÄN</t>
        </is>
      </c>
      <c r="E854" t="inlineStr">
        <is>
          <t>RAGUNDA</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33615-2023</t>
        </is>
      </c>
      <c r="B855" s="1" t="n">
        <v>45119</v>
      </c>
      <c r="C855" s="1" t="n">
        <v>46049</v>
      </c>
      <c r="D855" t="inlineStr">
        <is>
          <t>JÄMTLANDS LÄN</t>
        </is>
      </c>
      <c r="E855" t="inlineStr">
        <is>
          <t>RAGUNDA</t>
        </is>
      </c>
      <c r="G855" t="n">
        <v>0.9</v>
      </c>
      <c r="H855" t="n">
        <v>0</v>
      </c>
      <c r="I855" t="n">
        <v>0</v>
      </c>
      <c r="J855" t="n">
        <v>0</v>
      </c>
      <c r="K855" t="n">
        <v>0</v>
      </c>
      <c r="L855" t="n">
        <v>0</v>
      </c>
      <c r="M855" t="n">
        <v>0</v>
      </c>
      <c r="N855" t="n">
        <v>0</v>
      </c>
      <c r="O855" t="n">
        <v>0</v>
      </c>
      <c r="P855" t="n">
        <v>0</v>
      </c>
      <c r="Q855" t="n">
        <v>0</v>
      </c>
      <c r="R855" s="2" t="inlineStr"/>
    </row>
    <row r="856" ht="15" customHeight="1">
      <c r="A856" t="inlineStr">
        <is>
          <t>A 43132-2023</t>
        </is>
      </c>
      <c r="B856" s="1" t="n">
        <v>45182</v>
      </c>
      <c r="C856" s="1" t="n">
        <v>46049</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8654-2024</t>
        </is>
      </c>
      <c r="B857" s="1" t="n">
        <v>45356.03784722222</v>
      </c>
      <c r="C857" s="1" t="n">
        <v>46049</v>
      </c>
      <c r="D857" t="inlineStr">
        <is>
          <t>JÄMTLANDS LÄN</t>
        </is>
      </c>
      <c r="E857" t="inlineStr">
        <is>
          <t>RAGUNDA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9325-2024</t>
        </is>
      </c>
      <c r="B858" s="1" t="n">
        <v>45358.95813657407</v>
      </c>
      <c r="C858" s="1" t="n">
        <v>46049</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56806-2025</t>
        </is>
      </c>
      <c r="B859" s="1" t="n">
        <v>45978.44842592593</v>
      </c>
      <c r="C859" s="1" t="n">
        <v>46049</v>
      </c>
      <c r="D859" t="inlineStr">
        <is>
          <t>JÄMTLANDS LÄN</t>
        </is>
      </c>
      <c r="E859" t="inlineStr">
        <is>
          <t>RAGUNDA</t>
        </is>
      </c>
      <c r="F859" t="inlineStr">
        <is>
          <t>SCA</t>
        </is>
      </c>
      <c r="G859" t="n">
        <v>7.5</v>
      </c>
      <c r="H859" t="n">
        <v>0</v>
      </c>
      <c r="I859" t="n">
        <v>0</v>
      </c>
      <c r="J859" t="n">
        <v>0</v>
      </c>
      <c r="K859" t="n">
        <v>0</v>
      </c>
      <c r="L859" t="n">
        <v>0</v>
      </c>
      <c r="M859" t="n">
        <v>0</v>
      </c>
      <c r="N859" t="n">
        <v>0</v>
      </c>
      <c r="O859" t="n">
        <v>0</v>
      </c>
      <c r="P859" t="n">
        <v>0</v>
      </c>
      <c r="Q859" t="n">
        <v>0</v>
      </c>
      <c r="R859" s="2" t="inlineStr"/>
    </row>
    <row r="860" ht="15" customHeight="1">
      <c r="A860" t="inlineStr">
        <is>
          <t>A 4348-2023</t>
        </is>
      </c>
      <c r="B860" s="1" t="n">
        <v>44953</v>
      </c>
      <c r="C860" s="1" t="n">
        <v>46049</v>
      </c>
      <c r="D860" t="inlineStr">
        <is>
          <t>JÄMTLANDS LÄN</t>
        </is>
      </c>
      <c r="E860" t="inlineStr">
        <is>
          <t>RAGUNDA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8678-2023</t>
        </is>
      </c>
      <c r="B861" s="1" t="n">
        <v>44977.98660879629</v>
      </c>
      <c r="C861" s="1" t="n">
        <v>46049</v>
      </c>
      <c r="D861" t="inlineStr">
        <is>
          <t>JÄMTLANDS LÄN</t>
        </is>
      </c>
      <c r="E861" t="inlineStr">
        <is>
          <t>RAGUNDA</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29766-2023</t>
        </is>
      </c>
      <c r="B862" s="1" t="n">
        <v>45098</v>
      </c>
      <c r="C862" s="1" t="n">
        <v>46049</v>
      </c>
      <c r="D862" t="inlineStr">
        <is>
          <t>JÄMTLANDS LÄN</t>
        </is>
      </c>
      <c r="E862" t="inlineStr">
        <is>
          <t>RAGUNDA</t>
        </is>
      </c>
      <c r="G862" t="n">
        <v>2.7</v>
      </c>
      <c r="H862" t="n">
        <v>0</v>
      </c>
      <c r="I862" t="n">
        <v>0</v>
      </c>
      <c r="J862" t="n">
        <v>0</v>
      </c>
      <c r="K862" t="n">
        <v>0</v>
      </c>
      <c r="L862" t="n">
        <v>0</v>
      </c>
      <c r="M862" t="n">
        <v>0</v>
      </c>
      <c r="N862" t="n">
        <v>0</v>
      </c>
      <c r="O862" t="n">
        <v>0</v>
      </c>
      <c r="P862" t="n">
        <v>0</v>
      </c>
      <c r="Q862" t="n">
        <v>0</v>
      </c>
      <c r="R862" s="2" t="inlineStr"/>
    </row>
    <row r="863" ht="15" customHeight="1">
      <c r="A863" t="inlineStr">
        <is>
          <t>A 57111-2025</t>
        </is>
      </c>
      <c r="B863" s="1" t="n">
        <v>45978</v>
      </c>
      <c r="C863" s="1" t="n">
        <v>46049</v>
      </c>
      <c r="D863" t="inlineStr">
        <is>
          <t>JÄMTLANDS LÄN</t>
        </is>
      </c>
      <c r="E863" t="inlineStr">
        <is>
          <t>RAGUNDA</t>
        </is>
      </c>
      <c r="G863" t="n">
        <v>2.3</v>
      </c>
      <c r="H863" t="n">
        <v>0</v>
      </c>
      <c r="I863" t="n">
        <v>0</v>
      </c>
      <c r="J863" t="n">
        <v>0</v>
      </c>
      <c r="K863" t="n">
        <v>0</v>
      </c>
      <c r="L863" t="n">
        <v>0</v>
      </c>
      <c r="M863" t="n">
        <v>0</v>
      </c>
      <c r="N863" t="n">
        <v>0</v>
      </c>
      <c r="O863" t="n">
        <v>0</v>
      </c>
      <c r="P863" t="n">
        <v>0</v>
      </c>
      <c r="Q863" t="n">
        <v>0</v>
      </c>
      <c r="R863" s="2" t="inlineStr"/>
    </row>
    <row r="864" ht="15" customHeight="1">
      <c r="A864" t="inlineStr">
        <is>
          <t>A 57117-2025</t>
        </is>
      </c>
      <c r="B864" s="1" t="n">
        <v>45978</v>
      </c>
      <c r="C864" s="1" t="n">
        <v>46049</v>
      </c>
      <c r="D864" t="inlineStr">
        <is>
          <t>JÄMTLANDS LÄN</t>
        </is>
      </c>
      <c r="E864" t="inlineStr">
        <is>
          <t>RAGUNDA</t>
        </is>
      </c>
      <c r="G864" t="n">
        <v>4.2</v>
      </c>
      <c r="H864" t="n">
        <v>0</v>
      </c>
      <c r="I864" t="n">
        <v>0</v>
      </c>
      <c r="J864" t="n">
        <v>0</v>
      </c>
      <c r="K864" t="n">
        <v>0</v>
      </c>
      <c r="L864" t="n">
        <v>0</v>
      </c>
      <c r="M864" t="n">
        <v>0</v>
      </c>
      <c r="N864" t="n">
        <v>0</v>
      </c>
      <c r="O864" t="n">
        <v>0</v>
      </c>
      <c r="P864" t="n">
        <v>0</v>
      </c>
      <c r="Q864" t="n">
        <v>0</v>
      </c>
      <c r="R864" s="2" t="inlineStr"/>
    </row>
    <row r="865" ht="15" customHeight="1">
      <c r="A865" t="inlineStr">
        <is>
          <t>A 60935-2024</t>
        </is>
      </c>
      <c r="B865" s="1" t="n">
        <v>45645.36740740741</v>
      </c>
      <c r="C865" s="1" t="n">
        <v>46049</v>
      </c>
      <c r="D865" t="inlineStr">
        <is>
          <t>JÄMTLANDS LÄN</t>
        </is>
      </c>
      <c r="E865" t="inlineStr">
        <is>
          <t>RAGUNDA</t>
        </is>
      </c>
      <c r="G865" t="n">
        <v>2.6</v>
      </c>
      <c r="H865" t="n">
        <v>0</v>
      </c>
      <c r="I865" t="n">
        <v>0</v>
      </c>
      <c r="J865" t="n">
        <v>0</v>
      </c>
      <c r="K865" t="n">
        <v>0</v>
      </c>
      <c r="L865" t="n">
        <v>0</v>
      </c>
      <c r="M865" t="n">
        <v>0</v>
      </c>
      <c r="N865" t="n">
        <v>0</v>
      </c>
      <c r="O865" t="n">
        <v>0</v>
      </c>
      <c r="P865" t="n">
        <v>0</v>
      </c>
      <c r="Q865" t="n">
        <v>0</v>
      </c>
      <c r="R865" s="2" t="inlineStr"/>
    </row>
    <row r="866" ht="15" customHeight="1">
      <c r="A866" t="inlineStr">
        <is>
          <t>A 56751-2025</t>
        </is>
      </c>
      <c r="B866" s="1" t="n">
        <v>45978.36538194444</v>
      </c>
      <c r="C866" s="1" t="n">
        <v>46049</v>
      </c>
      <c r="D866" t="inlineStr">
        <is>
          <t>JÄMTLANDS LÄN</t>
        </is>
      </c>
      <c r="E866" t="inlineStr">
        <is>
          <t>RAGUNDA</t>
        </is>
      </c>
      <c r="F866" t="inlineStr">
        <is>
          <t>SCA</t>
        </is>
      </c>
      <c r="G866" t="n">
        <v>34.5</v>
      </c>
      <c r="H866" t="n">
        <v>0</v>
      </c>
      <c r="I866" t="n">
        <v>0</v>
      </c>
      <c r="J866" t="n">
        <v>0</v>
      </c>
      <c r="K866" t="n">
        <v>0</v>
      </c>
      <c r="L866" t="n">
        <v>0</v>
      </c>
      <c r="M866" t="n">
        <v>0</v>
      </c>
      <c r="N866" t="n">
        <v>0</v>
      </c>
      <c r="O866" t="n">
        <v>0</v>
      </c>
      <c r="P866" t="n">
        <v>0</v>
      </c>
      <c r="Q866" t="n">
        <v>0</v>
      </c>
      <c r="R866" s="2" t="inlineStr"/>
    </row>
    <row r="867" ht="15" customHeight="1">
      <c r="A867" t="inlineStr">
        <is>
          <t>A 63828-2025</t>
        </is>
      </c>
      <c r="B867" s="1" t="n">
        <v>46020.37814814815</v>
      </c>
      <c r="C867" s="1" t="n">
        <v>46049</v>
      </c>
      <c r="D867" t="inlineStr">
        <is>
          <t>JÄMTLANDS LÄN</t>
        </is>
      </c>
      <c r="E867" t="inlineStr">
        <is>
          <t>RAGUNDA</t>
        </is>
      </c>
      <c r="G867" t="n">
        <v>4.7</v>
      </c>
      <c r="H867" t="n">
        <v>0</v>
      </c>
      <c r="I867" t="n">
        <v>0</v>
      </c>
      <c r="J867" t="n">
        <v>0</v>
      </c>
      <c r="K867" t="n">
        <v>0</v>
      </c>
      <c r="L867" t="n">
        <v>0</v>
      </c>
      <c r="M867" t="n">
        <v>0</v>
      </c>
      <c r="N867" t="n">
        <v>0</v>
      </c>
      <c r="O867" t="n">
        <v>0</v>
      </c>
      <c r="P867" t="n">
        <v>0</v>
      </c>
      <c r="Q867" t="n">
        <v>0</v>
      </c>
      <c r="R867" s="2" t="inlineStr"/>
    </row>
    <row r="868" ht="15" customHeight="1">
      <c r="A868" t="inlineStr">
        <is>
          <t>A 14156-2024</t>
        </is>
      </c>
      <c r="B868" s="1" t="n">
        <v>45392</v>
      </c>
      <c r="C868" s="1" t="n">
        <v>46049</v>
      </c>
      <c r="D868" t="inlineStr">
        <is>
          <t>JÄMTLANDS LÄN</t>
        </is>
      </c>
      <c r="E868" t="inlineStr">
        <is>
          <t>RAGUNDA</t>
        </is>
      </c>
      <c r="G868" t="n">
        <v>0.6</v>
      </c>
      <c r="H868" t="n">
        <v>0</v>
      </c>
      <c r="I868" t="n">
        <v>0</v>
      </c>
      <c r="J868" t="n">
        <v>0</v>
      </c>
      <c r="K868" t="n">
        <v>0</v>
      </c>
      <c r="L868" t="n">
        <v>0</v>
      </c>
      <c r="M868" t="n">
        <v>0</v>
      </c>
      <c r="N868" t="n">
        <v>0</v>
      </c>
      <c r="O868" t="n">
        <v>0</v>
      </c>
      <c r="P868" t="n">
        <v>0</v>
      </c>
      <c r="Q868" t="n">
        <v>0</v>
      </c>
      <c r="R868" s="2" t="inlineStr"/>
    </row>
    <row r="869" ht="15" customHeight="1">
      <c r="A869" t="inlineStr">
        <is>
          <t>A 14157-2024</t>
        </is>
      </c>
      <c r="B869" s="1" t="n">
        <v>45392.92903935185</v>
      </c>
      <c r="C869" s="1" t="n">
        <v>46049</v>
      </c>
      <c r="D869" t="inlineStr">
        <is>
          <t>JÄMTLANDS LÄN</t>
        </is>
      </c>
      <c r="E869" t="inlineStr">
        <is>
          <t>RAGUNDA</t>
        </is>
      </c>
      <c r="G869" t="n">
        <v>1.7</v>
      </c>
      <c r="H869" t="n">
        <v>0</v>
      </c>
      <c r="I869" t="n">
        <v>0</v>
      </c>
      <c r="J869" t="n">
        <v>0</v>
      </c>
      <c r="K869" t="n">
        <v>0</v>
      </c>
      <c r="L869" t="n">
        <v>0</v>
      </c>
      <c r="M869" t="n">
        <v>0</v>
      </c>
      <c r="N869" t="n">
        <v>0</v>
      </c>
      <c r="O869" t="n">
        <v>0</v>
      </c>
      <c r="P869" t="n">
        <v>0</v>
      </c>
      <c r="Q869" t="n">
        <v>0</v>
      </c>
      <c r="R869" s="2" t="inlineStr"/>
    </row>
    <row r="870" ht="15" customHeight="1">
      <c r="A870" t="inlineStr">
        <is>
          <t>A 56435-2025</t>
        </is>
      </c>
      <c r="B870" s="1" t="n">
        <v>45975.34679398148</v>
      </c>
      <c r="C870" s="1" t="n">
        <v>46049</v>
      </c>
      <c r="D870" t="inlineStr">
        <is>
          <t>JÄMTLANDS LÄN</t>
        </is>
      </c>
      <c r="E870" t="inlineStr">
        <is>
          <t>RAGUNDA</t>
        </is>
      </c>
      <c r="F870" t="inlineStr">
        <is>
          <t>SCA</t>
        </is>
      </c>
      <c r="G870" t="n">
        <v>9.199999999999999</v>
      </c>
      <c r="H870" t="n">
        <v>0</v>
      </c>
      <c r="I870" t="n">
        <v>0</v>
      </c>
      <c r="J870" t="n">
        <v>0</v>
      </c>
      <c r="K870" t="n">
        <v>0</v>
      </c>
      <c r="L870" t="n">
        <v>0</v>
      </c>
      <c r="M870" t="n">
        <v>0</v>
      </c>
      <c r="N870" t="n">
        <v>0</v>
      </c>
      <c r="O870" t="n">
        <v>0</v>
      </c>
      <c r="P870" t="n">
        <v>0</v>
      </c>
      <c r="Q870" t="n">
        <v>0</v>
      </c>
      <c r="R870" s="2" t="inlineStr"/>
      <c r="U870">
        <f>HYPERLINK("https://klasma.github.io/Logging_2303/knärot/A 56435-2025 karta knärot.png", "A 56435-2025")</f>
        <v/>
      </c>
      <c r="V870">
        <f>HYPERLINK("https://klasma.github.io/Logging_2303/klagomål/A 56435-2025 FSC-klagomål.docx", "A 56435-2025")</f>
        <v/>
      </c>
      <c r="W870">
        <f>HYPERLINK("https://klasma.github.io/Logging_2303/klagomålsmail/A 56435-2025 FSC-klagomål mail.docx", "A 56435-2025")</f>
        <v/>
      </c>
      <c r="X870">
        <f>HYPERLINK("https://klasma.github.io/Logging_2303/tillsyn/A 56435-2025 tillsynsbegäran.docx", "A 56435-2025")</f>
        <v/>
      </c>
      <c r="Y870">
        <f>HYPERLINK("https://klasma.github.io/Logging_2303/tillsynsmail/A 56435-2025 tillsynsbegäran mail.docx", "A 56435-2025")</f>
        <v/>
      </c>
    </row>
    <row r="871" ht="15" customHeight="1">
      <c r="A871" t="inlineStr">
        <is>
          <t>A 63714-2025</t>
        </is>
      </c>
      <c r="B871" s="1" t="n">
        <v>46014</v>
      </c>
      <c r="C871" s="1" t="n">
        <v>46049</v>
      </c>
      <c r="D871" t="inlineStr">
        <is>
          <t>JÄMTLANDS LÄN</t>
        </is>
      </c>
      <c r="E871" t="inlineStr">
        <is>
          <t>RAGUNDA</t>
        </is>
      </c>
      <c r="F871" t="inlineStr">
        <is>
          <t>Sveaskog</t>
        </is>
      </c>
      <c r="G871" t="n">
        <v>8.5</v>
      </c>
      <c r="H871" t="n">
        <v>0</v>
      </c>
      <c r="I871" t="n">
        <v>0</v>
      </c>
      <c r="J871" t="n">
        <v>0</v>
      </c>
      <c r="K871" t="n">
        <v>0</v>
      </c>
      <c r="L871" t="n">
        <v>0</v>
      </c>
      <c r="M871" t="n">
        <v>0</v>
      </c>
      <c r="N871" t="n">
        <v>0</v>
      </c>
      <c r="O871" t="n">
        <v>0</v>
      </c>
      <c r="P871" t="n">
        <v>0</v>
      </c>
      <c r="Q871" t="n">
        <v>0</v>
      </c>
      <c r="R871" s="2" t="inlineStr"/>
    </row>
    <row r="872" ht="15" customHeight="1">
      <c r="A872" t="inlineStr">
        <is>
          <t>A 44727-2024</t>
        </is>
      </c>
      <c r="B872" s="1" t="n">
        <v>45574.57967592592</v>
      </c>
      <c r="C872" s="1" t="n">
        <v>46049</v>
      </c>
      <c r="D872" t="inlineStr">
        <is>
          <t>JÄMTLANDS LÄN</t>
        </is>
      </c>
      <c r="E872" t="inlineStr">
        <is>
          <t>RAGUNDA</t>
        </is>
      </c>
      <c r="G872" t="n">
        <v>4.7</v>
      </c>
      <c r="H872" t="n">
        <v>0</v>
      </c>
      <c r="I872" t="n">
        <v>0</v>
      </c>
      <c r="J872" t="n">
        <v>0</v>
      </c>
      <c r="K872" t="n">
        <v>0</v>
      </c>
      <c r="L872" t="n">
        <v>0</v>
      </c>
      <c r="M872" t="n">
        <v>0</v>
      </c>
      <c r="N872" t="n">
        <v>0</v>
      </c>
      <c r="O872" t="n">
        <v>0</v>
      </c>
      <c r="P872" t="n">
        <v>0</v>
      </c>
      <c r="Q872" t="n">
        <v>0</v>
      </c>
      <c r="R872" s="2" t="inlineStr"/>
    </row>
    <row r="873" ht="15" customHeight="1">
      <c r="A873" t="inlineStr">
        <is>
          <t>A 57332-2025</t>
        </is>
      </c>
      <c r="B873" s="1" t="n">
        <v>45980.34467592592</v>
      </c>
      <c r="C873" s="1" t="n">
        <v>46049</v>
      </c>
      <c r="D873" t="inlineStr">
        <is>
          <t>JÄMTLANDS LÄN</t>
        </is>
      </c>
      <c r="E873" t="inlineStr">
        <is>
          <t>RAGUNDA</t>
        </is>
      </c>
      <c r="F873" t="inlineStr">
        <is>
          <t>SCA</t>
        </is>
      </c>
      <c r="G873" t="n">
        <v>22.6</v>
      </c>
      <c r="H873" t="n">
        <v>0</v>
      </c>
      <c r="I873" t="n">
        <v>0</v>
      </c>
      <c r="J873" t="n">
        <v>0</v>
      </c>
      <c r="K873" t="n">
        <v>0</v>
      </c>
      <c r="L873" t="n">
        <v>0</v>
      </c>
      <c r="M873" t="n">
        <v>0</v>
      </c>
      <c r="N873" t="n">
        <v>0</v>
      </c>
      <c r="O873" t="n">
        <v>0</v>
      </c>
      <c r="P873" t="n">
        <v>0</v>
      </c>
      <c r="Q873" t="n">
        <v>0</v>
      </c>
      <c r="R873" s="2" t="inlineStr"/>
    </row>
    <row r="874" ht="15" customHeight="1">
      <c r="A874" t="inlineStr">
        <is>
          <t>A 21661-2023</t>
        </is>
      </c>
      <c r="B874" s="1" t="n">
        <v>45063</v>
      </c>
      <c r="C874" s="1" t="n">
        <v>46049</v>
      </c>
      <c r="D874" t="inlineStr">
        <is>
          <t>JÄMTLANDS LÄN</t>
        </is>
      </c>
      <c r="E874" t="inlineStr">
        <is>
          <t>RAGUNDA</t>
        </is>
      </c>
      <c r="G874" t="n">
        <v>1.5</v>
      </c>
      <c r="H874" t="n">
        <v>0</v>
      </c>
      <c r="I874" t="n">
        <v>0</v>
      </c>
      <c r="J874" t="n">
        <v>0</v>
      </c>
      <c r="K874" t="n">
        <v>0</v>
      </c>
      <c r="L874" t="n">
        <v>0</v>
      </c>
      <c r="M874" t="n">
        <v>0</v>
      </c>
      <c r="N874" t="n">
        <v>0</v>
      </c>
      <c r="O874" t="n">
        <v>0</v>
      </c>
      <c r="P874" t="n">
        <v>0</v>
      </c>
      <c r="Q874" t="n">
        <v>0</v>
      </c>
      <c r="R874" s="2" t="inlineStr"/>
    </row>
    <row r="875" ht="15" customHeight="1">
      <c r="A875" t="inlineStr">
        <is>
          <t>A 57561-2025</t>
        </is>
      </c>
      <c r="B875" s="1" t="n">
        <v>45980.69885416667</v>
      </c>
      <c r="C875" s="1" t="n">
        <v>46049</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57560-2025</t>
        </is>
      </c>
      <c r="B876" s="1" t="n">
        <v>45980.6987962963</v>
      </c>
      <c r="C876" s="1" t="n">
        <v>46049</v>
      </c>
      <c r="D876" t="inlineStr">
        <is>
          <t>JÄMTLANDS LÄN</t>
        </is>
      </c>
      <c r="E876" t="inlineStr">
        <is>
          <t>RAGUNDA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7281-2024</t>
        </is>
      </c>
      <c r="B877" s="1" t="n">
        <v>45344</v>
      </c>
      <c r="C877" s="1" t="n">
        <v>46049</v>
      </c>
      <c r="D877" t="inlineStr">
        <is>
          <t>JÄMTLANDS LÄN</t>
        </is>
      </c>
      <c r="E877" t="inlineStr">
        <is>
          <t>RAGUNDA</t>
        </is>
      </c>
      <c r="G877" t="n">
        <v>1.2</v>
      </c>
      <c r="H877" t="n">
        <v>0</v>
      </c>
      <c r="I877" t="n">
        <v>0</v>
      </c>
      <c r="J877" t="n">
        <v>0</v>
      </c>
      <c r="K877" t="n">
        <v>0</v>
      </c>
      <c r="L877" t="n">
        <v>0</v>
      </c>
      <c r="M877" t="n">
        <v>0</v>
      </c>
      <c r="N877" t="n">
        <v>0</v>
      </c>
      <c r="O877" t="n">
        <v>0</v>
      </c>
      <c r="P877" t="n">
        <v>0</v>
      </c>
      <c r="Q877" t="n">
        <v>0</v>
      </c>
      <c r="R877" s="2" t="inlineStr"/>
    </row>
    <row r="878" ht="15" customHeight="1">
      <c r="A878" t="inlineStr">
        <is>
          <t>A 64108-2025</t>
        </is>
      </c>
      <c r="B878" s="1" t="n">
        <v>46013</v>
      </c>
      <c r="C878" s="1" t="n">
        <v>46049</v>
      </c>
      <c r="D878" t="inlineStr">
        <is>
          <t>JÄMTLANDS LÄN</t>
        </is>
      </c>
      <c r="E878" t="inlineStr">
        <is>
          <t>RAGUNDA</t>
        </is>
      </c>
      <c r="F878" t="inlineStr">
        <is>
          <t>Kyrkan</t>
        </is>
      </c>
      <c r="G878" t="n">
        <v>1.6</v>
      </c>
      <c r="H878" t="n">
        <v>0</v>
      </c>
      <c r="I878" t="n">
        <v>0</v>
      </c>
      <c r="J878" t="n">
        <v>0</v>
      </c>
      <c r="K878" t="n">
        <v>0</v>
      </c>
      <c r="L878" t="n">
        <v>0</v>
      </c>
      <c r="M878" t="n">
        <v>0</v>
      </c>
      <c r="N878" t="n">
        <v>0</v>
      </c>
      <c r="O878" t="n">
        <v>0</v>
      </c>
      <c r="P878" t="n">
        <v>0</v>
      </c>
      <c r="Q878" t="n">
        <v>0</v>
      </c>
      <c r="R878" s="2" t="inlineStr"/>
    </row>
    <row r="879" ht="15" customHeight="1">
      <c r="A879" t="inlineStr">
        <is>
          <t>A 19382-2025</t>
        </is>
      </c>
      <c r="B879" s="1" t="n">
        <v>45769.65659722222</v>
      </c>
      <c r="C879" s="1" t="n">
        <v>46049</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19403-2025</t>
        </is>
      </c>
      <c r="B880" s="1" t="n">
        <v>45769.67790509259</v>
      </c>
      <c r="C880" s="1" t="n">
        <v>46049</v>
      </c>
      <c r="D880" t="inlineStr">
        <is>
          <t>JÄMTLANDS LÄN</t>
        </is>
      </c>
      <c r="E880" t="inlineStr">
        <is>
          <t>RAGUNDA</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57184-2025</t>
        </is>
      </c>
      <c r="B881" s="1" t="n">
        <v>45979.57361111111</v>
      </c>
      <c r="C881" s="1" t="n">
        <v>46049</v>
      </c>
      <c r="D881" t="inlineStr">
        <is>
          <t>JÄMTLANDS LÄN</t>
        </is>
      </c>
      <c r="E881" t="inlineStr">
        <is>
          <t>RAGUNDA</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60225-2022</t>
        </is>
      </c>
      <c r="B882" s="1" t="n">
        <v>44903</v>
      </c>
      <c r="C882" s="1" t="n">
        <v>46049</v>
      </c>
      <c r="D882" t="inlineStr">
        <is>
          <t>JÄMTLANDS LÄN</t>
        </is>
      </c>
      <c r="E882" t="inlineStr">
        <is>
          <t>RAGUNDA</t>
        </is>
      </c>
      <c r="G882" t="n">
        <v>1</v>
      </c>
      <c r="H882" t="n">
        <v>0</v>
      </c>
      <c r="I882" t="n">
        <v>0</v>
      </c>
      <c r="J882" t="n">
        <v>0</v>
      </c>
      <c r="K882" t="n">
        <v>0</v>
      </c>
      <c r="L882" t="n">
        <v>0</v>
      </c>
      <c r="M882" t="n">
        <v>0</v>
      </c>
      <c r="N882" t="n">
        <v>0</v>
      </c>
      <c r="O882" t="n">
        <v>0</v>
      </c>
      <c r="P882" t="n">
        <v>0</v>
      </c>
      <c r="Q882" t="n">
        <v>0</v>
      </c>
      <c r="R882" s="2" t="inlineStr"/>
    </row>
    <row r="883" ht="15" customHeight="1">
      <c r="A883" t="inlineStr">
        <is>
          <t>A 122-2026</t>
        </is>
      </c>
      <c r="B883" s="1" t="n">
        <v>46024.57335648148</v>
      </c>
      <c r="C883" s="1" t="n">
        <v>46049</v>
      </c>
      <c r="D883" t="inlineStr">
        <is>
          <t>JÄMTLANDS LÄN</t>
        </is>
      </c>
      <c r="E883" t="inlineStr">
        <is>
          <t>RAGUNDA</t>
        </is>
      </c>
      <c r="F883" t="inlineStr">
        <is>
          <t>SCA</t>
        </is>
      </c>
      <c r="G883" t="n">
        <v>15.3</v>
      </c>
      <c r="H883" t="n">
        <v>0</v>
      </c>
      <c r="I883" t="n">
        <v>0</v>
      </c>
      <c r="J883" t="n">
        <v>0</v>
      </c>
      <c r="K883" t="n">
        <v>0</v>
      </c>
      <c r="L883" t="n">
        <v>0</v>
      </c>
      <c r="M883" t="n">
        <v>0</v>
      </c>
      <c r="N883" t="n">
        <v>0</v>
      </c>
      <c r="O883" t="n">
        <v>0</v>
      </c>
      <c r="P883" t="n">
        <v>0</v>
      </c>
      <c r="Q883" t="n">
        <v>0</v>
      </c>
      <c r="R883" s="2" t="inlineStr"/>
    </row>
    <row r="884" ht="15" customHeight="1">
      <c r="A884" t="inlineStr">
        <is>
          <t>A 61045-2022</t>
        </is>
      </c>
      <c r="B884" s="1" t="n">
        <v>44914</v>
      </c>
      <c r="C884" s="1" t="n">
        <v>46049</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57833-2025</t>
        </is>
      </c>
      <c r="B885" s="1" t="n">
        <v>45981.61541666667</v>
      </c>
      <c r="C885" s="1" t="n">
        <v>46049</v>
      </c>
      <c r="D885" t="inlineStr">
        <is>
          <t>JÄMTLANDS LÄN</t>
        </is>
      </c>
      <c r="E885" t="inlineStr">
        <is>
          <t>RAGUNDA</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16320-2025</t>
        </is>
      </c>
      <c r="B886" s="1" t="n">
        <v>45751.34859953704</v>
      </c>
      <c r="C886" s="1" t="n">
        <v>46049</v>
      </c>
      <c r="D886" t="inlineStr">
        <is>
          <t>JÄMTLANDS LÄN</t>
        </is>
      </c>
      <c r="E886" t="inlineStr">
        <is>
          <t>RAGUNDA</t>
        </is>
      </c>
      <c r="F886" t="inlineStr">
        <is>
          <t>SCA</t>
        </is>
      </c>
      <c r="G886" t="n">
        <v>16.2</v>
      </c>
      <c r="H886" t="n">
        <v>0</v>
      </c>
      <c r="I886" t="n">
        <v>0</v>
      </c>
      <c r="J886" t="n">
        <v>0</v>
      </c>
      <c r="K886" t="n">
        <v>0</v>
      </c>
      <c r="L886" t="n">
        <v>0</v>
      </c>
      <c r="M886" t="n">
        <v>0</v>
      </c>
      <c r="N886" t="n">
        <v>0</v>
      </c>
      <c r="O886" t="n">
        <v>0</v>
      </c>
      <c r="P886" t="n">
        <v>0</v>
      </c>
      <c r="Q886" t="n">
        <v>0</v>
      </c>
      <c r="R886" s="2" t="inlineStr"/>
    </row>
    <row r="887" ht="15" customHeight="1">
      <c r="A887" t="inlineStr">
        <is>
          <t>A 58076-2025</t>
        </is>
      </c>
      <c r="B887" s="1" t="n">
        <v>45982.55273148148</v>
      </c>
      <c r="C887" s="1" t="n">
        <v>46049</v>
      </c>
      <c r="D887" t="inlineStr">
        <is>
          <t>JÄMTLANDS LÄN</t>
        </is>
      </c>
      <c r="E887" t="inlineStr">
        <is>
          <t>RAGUNDA</t>
        </is>
      </c>
      <c r="G887" t="n">
        <v>0.1</v>
      </c>
      <c r="H887" t="n">
        <v>0</v>
      </c>
      <c r="I887" t="n">
        <v>0</v>
      </c>
      <c r="J887" t="n">
        <v>0</v>
      </c>
      <c r="K887" t="n">
        <v>0</v>
      </c>
      <c r="L887" t="n">
        <v>0</v>
      </c>
      <c r="M887" t="n">
        <v>0</v>
      </c>
      <c r="N887" t="n">
        <v>0</v>
      </c>
      <c r="O887" t="n">
        <v>0</v>
      </c>
      <c r="P887" t="n">
        <v>0</v>
      </c>
      <c r="Q887" t="n">
        <v>0</v>
      </c>
      <c r="R887" s="2" t="inlineStr"/>
    </row>
    <row r="888" ht="15" customHeight="1">
      <c r="A888" t="inlineStr">
        <is>
          <t>A 58093-2025</t>
        </is>
      </c>
      <c r="B888" s="1" t="n">
        <v>45982.5741087963</v>
      </c>
      <c r="C888" s="1" t="n">
        <v>46049</v>
      </c>
      <c r="D888" t="inlineStr">
        <is>
          <t>JÄMTLANDS LÄN</t>
        </is>
      </c>
      <c r="E888" t="inlineStr">
        <is>
          <t>RAGUNDA</t>
        </is>
      </c>
      <c r="G888" t="n">
        <v>22.2</v>
      </c>
      <c r="H888" t="n">
        <v>0</v>
      </c>
      <c r="I888" t="n">
        <v>0</v>
      </c>
      <c r="J888" t="n">
        <v>0</v>
      </c>
      <c r="K888" t="n">
        <v>0</v>
      </c>
      <c r="L888" t="n">
        <v>0</v>
      </c>
      <c r="M888" t="n">
        <v>0</v>
      </c>
      <c r="N888" t="n">
        <v>0</v>
      </c>
      <c r="O888" t="n">
        <v>0</v>
      </c>
      <c r="P888" t="n">
        <v>0</v>
      </c>
      <c r="Q888" t="n">
        <v>0</v>
      </c>
      <c r="R888" s="2" t="inlineStr"/>
    </row>
    <row r="889" ht="15" customHeight="1">
      <c r="A889" t="inlineStr">
        <is>
          <t>A 57914-2025</t>
        </is>
      </c>
      <c r="B889" s="1" t="n">
        <v>45981</v>
      </c>
      <c r="C889" s="1" t="n">
        <v>46049</v>
      </c>
      <c r="D889" t="inlineStr">
        <is>
          <t>JÄMTLANDS LÄN</t>
        </is>
      </c>
      <c r="E889" t="inlineStr">
        <is>
          <t>RAGUNDA</t>
        </is>
      </c>
      <c r="G889" t="n">
        <v>3.2</v>
      </c>
      <c r="H889" t="n">
        <v>0</v>
      </c>
      <c r="I889" t="n">
        <v>0</v>
      </c>
      <c r="J889" t="n">
        <v>0</v>
      </c>
      <c r="K889" t="n">
        <v>0</v>
      </c>
      <c r="L889" t="n">
        <v>0</v>
      </c>
      <c r="M889" t="n">
        <v>0</v>
      </c>
      <c r="N889" t="n">
        <v>0</v>
      </c>
      <c r="O889" t="n">
        <v>0</v>
      </c>
      <c r="P889" t="n">
        <v>0</v>
      </c>
      <c r="Q889" t="n">
        <v>0</v>
      </c>
      <c r="R889" s="2" t="inlineStr"/>
    </row>
    <row r="890" ht="15" customHeight="1">
      <c r="A890" t="inlineStr">
        <is>
          <t>A 57915-2025</t>
        </is>
      </c>
      <c r="B890" s="1" t="n">
        <v>45981</v>
      </c>
      <c r="C890" s="1" t="n">
        <v>46049</v>
      </c>
      <c r="D890" t="inlineStr">
        <is>
          <t>JÄMTLANDS LÄN</t>
        </is>
      </c>
      <c r="E890" t="inlineStr">
        <is>
          <t>RAGUNDA</t>
        </is>
      </c>
      <c r="G890" t="n">
        <v>6.4</v>
      </c>
      <c r="H890" t="n">
        <v>0</v>
      </c>
      <c r="I890" t="n">
        <v>0</v>
      </c>
      <c r="J890" t="n">
        <v>0</v>
      </c>
      <c r="K890" t="n">
        <v>0</v>
      </c>
      <c r="L890" t="n">
        <v>0</v>
      </c>
      <c r="M890" t="n">
        <v>0</v>
      </c>
      <c r="N890" t="n">
        <v>0</v>
      </c>
      <c r="O890" t="n">
        <v>0</v>
      </c>
      <c r="P890" t="n">
        <v>0</v>
      </c>
      <c r="Q890" t="n">
        <v>0</v>
      </c>
      <c r="R890" s="2" t="inlineStr"/>
    </row>
    <row r="891" ht="15" customHeight="1">
      <c r="A891" t="inlineStr">
        <is>
          <t>A 57963-2025</t>
        </is>
      </c>
      <c r="B891" s="1" t="n">
        <v>45982.37800925926</v>
      </c>
      <c r="C891" s="1" t="n">
        <v>46049</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57916-2025</t>
        </is>
      </c>
      <c r="B892" s="1" t="n">
        <v>45981</v>
      </c>
      <c r="C892" s="1" t="n">
        <v>46049</v>
      </c>
      <c r="D892" t="inlineStr">
        <is>
          <t>JÄMTLANDS LÄN</t>
        </is>
      </c>
      <c r="E892" t="inlineStr">
        <is>
          <t>RAGUNDA</t>
        </is>
      </c>
      <c r="G892" t="n">
        <v>5.3</v>
      </c>
      <c r="H892" t="n">
        <v>0</v>
      </c>
      <c r="I892" t="n">
        <v>0</v>
      </c>
      <c r="J892" t="n">
        <v>0</v>
      </c>
      <c r="K892" t="n">
        <v>0</v>
      </c>
      <c r="L892" t="n">
        <v>0</v>
      </c>
      <c r="M892" t="n">
        <v>0</v>
      </c>
      <c r="N892" t="n">
        <v>0</v>
      </c>
      <c r="O892" t="n">
        <v>0</v>
      </c>
      <c r="P892" t="n">
        <v>0</v>
      </c>
      <c r="Q892" t="n">
        <v>0</v>
      </c>
      <c r="R892" s="2" t="inlineStr"/>
    </row>
    <row r="893" ht="15" customHeight="1">
      <c r="A893" t="inlineStr">
        <is>
          <t>A 57970-2025</t>
        </is>
      </c>
      <c r="B893" s="1" t="n">
        <v>45982.38582175926</v>
      </c>
      <c r="C893" s="1" t="n">
        <v>46049</v>
      </c>
      <c r="D893" t="inlineStr">
        <is>
          <t>JÄMTLANDS LÄN</t>
        </is>
      </c>
      <c r="E893" t="inlineStr">
        <is>
          <t>RAGUNDA</t>
        </is>
      </c>
      <c r="G893" t="n">
        <v>4.9</v>
      </c>
      <c r="H893" t="n">
        <v>0</v>
      </c>
      <c r="I893" t="n">
        <v>0</v>
      </c>
      <c r="J893" t="n">
        <v>0</v>
      </c>
      <c r="K893" t="n">
        <v>0</v>
      </c>
      <c r="L893" t="n">
        <v>0</v>
      </c>
      <c r="M893" t="n">
        <v>0</v>
      </c>
      <c r="N893" t="n">
        <v>0</v>
      </c>
      <c r="O893" t="n">
        <v>0</v>
      </c>
      <c r="P893" t="n">
        <v>0</v>
      </c>
      <c r="Q893" t="n">
        <v>0</v>
      </c>
      <c r="R893" s="2" t="inlineStr"/>
    </row>
    <row r="894" ht="15" customHeight="1">
      <c r="A894" t="inlineStr">
        <is>
          <t>A 57785-2025</t>
        </is>
      </c>
      <c r="B894" s="1" t="n">
        <v>45981.57393518519</v>
      </c>
      <c r="C894" s="1" t="n">
        <v>46049</v>
      </c>
      <c r="D894" t="inlineStr">
        <is>
          <t>JÄMTLANDS LÄN</t>
        </is>
      </c>
      <c r="E894" t="inlineStr">
        <is>
          <t>RAGUNDA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11557-2023</t>
        </is>
      </c>
      <c r="B895" s="1" t="n">
        <v>44993.94950231481</v>
      </c>
      <c r="C895" s="1" t="n">
        <v>46049</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11562-2023</t>
        </is>
      </c>
      <c r="B896" s="1" t="n">
        <v>44993</v>
      </c>
      <c r="C896" s="1" t="n">
        <v>46049</v>
      </c>
      <c r="D896" t="inlineStr">
        <is>
          <t>JÄMTLANDS LÄN</t>
        </is>
      </c>
      <c r="E896" t="inlineStr">
        <is>
          <t>RAGUNDA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265-2026</t>
        </is>
      </c>
      <c r="B897" s="1" t="n">
        <v>46027.44956018519</v>
      </c>
      <c r="C897" s="1" t="n">
        <v>46049</v>
      </c>
      <c r="D897" t="inlineStr">
        <is>
          <t>JÄMTLANDS LÄN</t>
        </is>
      </c>
      <c r="E897" t="inlineStr">
        <is>
          <t>RAGUNDA</t>
        </is>
      </c>
      <c r="G897" t="n">
        <v>3.8</v>
      </c>
      <c r="H897" t="n">
        <v>0</v>
      </c>
      <c r="I897" t="n">
        <v>0</v>
      </c>
      <c r="J897" t="n">
        <v>0</v>
      </c>
      <c r="K897" t="n">
        <v>0</v>
      </c>
      <c r="L897" t="n">
        <v>0</v>
      </c>
      <c r="M897" t="n">
        <v>0</v>
      </c>
      <c r="N897" t="n">
        <v>0</v>
      </c>
      <c r="O897" t="n">
        <v>0</v>
      </c>
      <c r="P897" t="n">
        <v>0</v>
      </c>
      <c r="Q897" t="n">
        <v>0</v>
      </c>
      <c r="R897" s="2" t="inlineStr"/>
    </row>
    <row r="898" ht="15" customHeight="1">
      <c r="A898" t="inlineStr">
        <is>
          <t>A 5175-2023</t>
        </is>
      </c>
      <c r="B898" s="1" t="n">
        <v>44958.94298611111</v>
      </c>
      <c r="C898" s="1" t="n">
        <v>46049</v>
      </c>
      <c r="D898" t="inlineStr">
        <is>
          <t>JÄMTLANDS LÄN</t>
        </is>
      </c>
      <c r="E898" t="inlineStr">
        <is>
          <t>RAGUNDA</t>
        </is>
      </c>
      <c r="F898" t="inlineStr">
        <is>
          <t>SCA</t>
        </is>
      </c>
      <c r="G898" t="n">
        <v>17.9</v>
      </c>
      <c r="H898" t="n">
        <v>0</v>
      </c>
      <c r="I898" t="n">
        <v>0</v>
      </c>
      <c r="J898" t="n">
        <v>0</v>
      </c>
      <c r="K898" t="n">
        <v>0</v>
      </c>
      <c r="L898" t="n">
        <v>0</v>
      </c>
      <c r="M898" t="n">
        <v>0</v>
      </c>
      <c r="N898" t="n">
        <v>0</v>
      </c>
      <c r="O898" t="n">
        <v>0</v>
      </c>
      <c r="P898" t="n">
        <v>0</v>
      </c>
      <c r="Q898" t="n">
        <v>0</v>
      </c>
      <c r="R898" s="2" t="inlineStr"/>
    </row>
    <row r="899" ht="15" customHeight="1">
      <c r="A899" t="inlineStr">
        <is>
          <t>A 41343-2024</t>
        </is>
      </c>
      <c r="B899" s="1" t="n">
        <v>45559.67745370371</v>
      </c>
      <c r="C899" s="1" t="n">
        <v>46049</v>
      </c>
      <c r="D899" t="inlineStr">
        <is>
          <t>JÄMTLANDS LÄN</t>
        </is>
      </c>
      <c r="E899" t="inlineStr">
        <is>
          <t>RAGUNDA</t>
        </is>
      </c>
      <c r="F899" t="inlineStr">
        <is>
          <t>SCA</t>
        </is>
      </c>
      <c r="G899" t="n">
        <v>25.1</v>
      </c>
      <c r="H899" t="n">
        <v>0</v>
      </c>
      <c r="I899" t="n">
        <v>0</v>
      </c>
      <c r="J899" t="n">
        <v>0</v>
      </c>
      <c r="K899" t="n">
        <v>0</v>
      </c>
      <c r="L899" t="n">
        <v>0</v>
      </c>
      <c r="M899" t="n">
        <v>0</v>
      </c>
      <c r="N899" t="n">
        <v>0</v>
      </c>
      <c r="O899" t="n">
        <v>0</v>
      </c>
      <c r="P899" t="n">
        <v>0</v>
      </c>
      <c r="Q899" t="n">
        <v>0</v>
      </c>
      <c r="R899" s="2" t="inlineStr"/>
    </row>
    <row r="900" ht="15" customHeight="1">
      <c r="A900" t="inlineStr">
        <is>
          <t>A 58638-2025</t>
        </is>
      </c>
      <c r="B900" s="1" t="n">
        <v>45986.49016203704</v>
      </c>
      <c r="C900" s="1" t="n">
        <v>46049</v>
      </c>
      <c r="D900" t="inlineStr">
        <is>
          <t>JÄMTLANDS LÄN</t>
        </is>
      </c>
      <c r="E900" t="inlineStr">
        <is>
          <t>RAGUNDA</t>
        </is>
      </c>
      <c r="G900" t="n">
        <v>1.3</v>
      </c>
      <c r="H900" t="n">
        <v>0</v>
      </c>
      <c r="I900" t="n">
        <v>0</v>
      </c>
      <c r="J900" t="n">
        <v>0</v>
      </c>
      <c r="K900" t="n">
        <v>0</v>
      </c>
      <c r="L900" t="n">
        <v>0</v>
      </c>
      <c r="M900" t="n">
        <v>0</v>
      </c>
      <c r="N900" t="n">
        <v>0</v>
      </c>
      <c r="O900" t="n">
        <v>0</v>
      </c>
      <c r="P900" t="n">
        <v>0</v>
      </c>
      <c r="Q900" t="n">
        <v>0</v>
      </c>
      <c r="R900" s="2" t="inlineStr"/>
    </row>
    <row r="901" ht="15" customHeight="1">
      <c r="A901" t="inlineStr">
        <is>
          <t>A 12039-2023</t>
        </is>
      </c>
      <c r="B901" s="1" t="n">
        <v>44995.98341435185</v>
      </c>
      <c r="C901" s="1" t="n">
        <v>46049</v>
      </c>
      <c r="D901" t="inlineStr">
        <is>
          <t>JÄMTLANDS LÄN</t>
        </is>
      </c>
      <c r="E901" t="inlineStr">
        <is>
          <t>RAGUNDA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12050-2023</t>
        </is>
      </c>
      <c r="B902" s="1" t="n">
        <v>44995.98644675926</v>
      </c>
      <c r="C902" s="1" t="n">
        <v>46049</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222-2026</t>
        </is>
      </c>
      <c r="B903" s="1" t="n">
        <v>46026.84054398148</v>
      </c>
      <c r="C903" s="1" t="n">
        <v>46049</v>
      </c>
      <c r="D903" t="inlineStr">
        <is>
          <t>JÄMTLANDS LÄN</t>
        </is>
      </c>
      <c r="E903" t="inlineStr">
        <is>
          <t>RAGUNDA</t>
        </is>
      </c>
      <c r="G903" t="n">
        <v>10.6</v>
      </c>
      <c r="H903" t="n">
        <v>0</v>
      </c>
      <c r="I903" t="n">
        <v>0</v>
      </c>
      <c r="J903" t="n">
        <v>0</v>
      </c>
      <c r="K903" t="n">
        <v>0</v>
      </c>
      <c r="L903" t="n">
        <v>0</v>
      </c>
      <c r="M903" t="n">
        <v>0</v>
      </c>
      <c r="N903" t="n">
        <v>0</v>
      </c>
      <c r="O903" t="n">
        <v>0</v>
      </c>
      <c r="P903" t="n">
        <v>0</v>
      </c>
      <c r="Q903" t="n">
        <v>0</v>
      </c>
      <c r="R903" s="2" t="inlineStr"/>
    </row>
    <row r="904" ht="15" customHeight="1">
      <c r="A904" t="inlineStr">
        <is>
          <t>A 58559-2025</t>
        </is>
      </c>
      <c r="B904" s="1" t="n">
        <v>45986.34475694445</v>
      </c>
      <c r="C904" s="1" t="n">
        <v>46049</v>
      </c>
      <c r="D904" t="inlineStr">
        <is>
          <t>JÄMTLANDS LÄN</t>
        </is>
      </c>
      <c r="E904" t="inlineStr">
        <is>
          <t>RAGUNDA</t>
        </is>
      </c>
      <c r="F904" t="inlineStr">
        <is>
          <t>SCA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2751-2024</t>
        </is>
      </c>
      <c r="B905" s="1" t="n">
        <v>45314</v>
      </c>
      <c r="C905" s="1" t="n">
        <v>46049</v>
      </c>
      <c r="D905" t="inlineStr">
        <is>
          <t>JÄMTLANDS LÄN</t>
        </is>
      </c>
      <c r="E905" t="inlineStr">
        <is>
          <t>RAGUNDA</t>
        </is>
      </c>
      <c r="G905" t="n">
        <v>1.8</v>
      </c>
      <c r="H905" t="n">
        <v>0</v>
      </c>
      <c r="I905" t="n">
        <v>0</v>
      </c>
      <c r="J905" t="n">
        <v>0</v>
      </c>
      <c r="K905" t="n">
        <v>0</v>
      </c>
      <c r="L905" t="n">
        <v>0</v>
      </c>
      <c r="M905" t="n">
        <v>0</v>
      </c>
      <c r="N905" t="n">
        <v>0</v>
      </c>
      <c r="O905" t="n">
        <v>0</v>
      </c>
      <c r="P905" t="n">
        <v>0</v>
      </c>
      <c r="Q905" t="n">
        <v>0</v>
      </c>
      <c r="R905" s="2" t="inlineStr"/>
    </row>
    <row r="906" ht="15" customHeight="1">
      <c r="A906" t="inlineStr">
        <is>
          <t>A 36986-2023</t>
        </is>
      </c>
      <c r="B906" s="1" t="n">
        <v>45154.95525462963</v>
      </c>
      <c r="C906" s="1" t="n">
        <v>46049</v>
      </c>
      <c r="D906" t="inlineStr">
        <is>
          <t>JÄMTLANDS LÄN</t>
        </is>
      </c>
      <c r="E906" t="inlineStr">
        <is>
          <t>RAGUNDA</t>
        </is>
      </c>
      <c r="F906" t="inlineStr">
        <is>
          <t>SCA</t>
        </is>
      </c>
      <c r="G906" t="n">
        <v>0.2</v>
      </c>
      <c r="H906" t="n">
        <v>0</v>
      </c>
      <c r="I906" t="n">
        <v>0</v>
      </c>
      <c r="J906" t="n">
        <v>0</v>
      </c>
      <c r="K906" t="n">
        <v>0</v>
      </c>
      <c r="L906" t="n">
        <v>0</v>
      </c>
      <c r="M906" t="n">
        <v>0</v>
      </c>
      <c r="N906" t="n">
        <v>0</v>
      </c>
      <c r="O906" t="n">
        <v>0</v>
      </c>
      <c r="P906" t="n">
        <v>0</v>
      </c>
      <c r="Q906" t="n">
        <v>0</v>
      </c>
      <c r="R906" s="2" t="inlineStr"/>
    </row>
    <row r="907" ht="15" customHeight="1">
      <c r="A907" t="inlineStr">
        <is>
          <t>A 14368-2024</t>
        </is>
      </c>
      <c r="B907" s="1" t="n">
        <v>45393.94431712963</v>
      </c>
      <c r="C907" s="1" t="n">
        <v>46049</v>
      </c>
      <c r="D907" t="inlineStr">
        <is>
          <t>JÄMTLANDS LÄN</t>
        </is>
      </c>
      <c r="E907" t="inlineStr">
        <is>
          <t>RAGUNDA</t>
        </is>
      </c>
      <c r="F907" t="inlineStr">
        <is>
          <t>Naturvårdsverket</t>
        </is>
      </c>
      <c r="G907" t="n">
        <v>1.6</v>
      </c>
      <c r="H907" t="n">
        <v>0</v>
      </c>
      <c r="I907" t="n">
        <v>0</v>
      </c>
      <c r="J907" t="n">
        <v>0</v>
      </c>
      <c r="K907" t="n">
        <v>0</v>
      </c>
      <c r="L907" t="n">
        <v>0</v>
      </c>
      <c r="M907" t="n">
        <v>0</v>
      </c>
      <c r="N907" t="n">
        <v>0</v>
      </c>
      <c r="O907" t="n">
        <v>0</v>
      </c>
      <c r="P907" t="n">
        <v>0</v>
      </c>
      <c r="Q907" t="n">
        <v>0</v>
      </c>
      <c r="R907" s="2" t="inlineStr"/>
    </row>
    <row r="908" ht="15" customHeight="1">
      <c r="A908" t="inlineStr">
        <is>
          <t>A 18159-2023</t>
        </is>
      </c>
      <c r="B908" s="1" t="n">
        <v>45040.94277777777</v>
      </c>
      <c r="C908" s="1" t="n">
        <v>46049</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13700-2023</t>
        </is>
      </c>
      <c r="B909" s="1" t="n">
        <v>45006</v>
      </c>
      <c r="C909" s="1" t="n">
        <v>46049</v>
      </c>
      <c r="D909" t="inlineStr">
        <is>
          <t>JÄMTLANDS LÄN</t>
        </is>
      </c>
      <c r="E909" t="inlineStr">
        <is>
          <t>RAGUNDA</t>
        </is>
      </c>
      <c r="F909" t="inlineStr">
        <is>
          <t>SCA</t>
        </is>
      </c>
      <c r="G909" t="n">
        <v>50.3</v>
      </c>
      <c r="H909" t="n">
        <v>0</v>
      </c>
      <c r="I909" t="n">
        <v>0</v>
      </c>
      <c r="J909" t="n">
        <v>0</v>
      </c>
      <c r="K909" t="n">
        <v>0</v>
      </c>
      <c r="L909" t="n">
        <v>0</v>
      </c>
      <c r="M909" t="n">
        <v>0</v>
      </c>
      <c r="N909" t="n">
        <v>0</v>
      </c>
      <c r="O909" t="n">
        <v>0</v>
      </c>
      <c r="P909" t="n">
        <v>0</v>
      </c>
      <c r="Q909" t="n">
        <v>0</v>
      </c>
      <c r="R909" s="2" t="inlineStr"/>
    </row>
    <row r="910" ht="15" customHeight="1">
      <c r="A910" t="inlineStr">
        <is>
          <t>A 53109-2025</t>
        </is>
      </c>
      <c r="B910" s="1" t="n">
        <v>45958</v>
      </c>
      <c r="C910" s="1" t="n">
        <v>46049</v>
      </c>
      <c r="D910" t="inlineStr">
        <is>
          <t>JÄMTLANDS LÄN</t>
        </is>
      </c>
      <c r="E910" t="inlineStr">
        <is>
          <t>RAGUNDA</t>
        </is>
      </c>
      <c r="G910" t="n">
        <v>2.1</v>
      </c>
      <c r="H910" t="n">
        <v>0</v>
      </c>
      <c r="I910" t="n">
        <v>0</v>
      </c>
      <c r="J910" t="n">
        <v>0</v>
      </c>
      <c r="K910" t="n">
        <v>0</v>
      </c>
      <c r="L910" t="n">
        <v>0</v>
      </c>
      <c r="M910" t="n">
        <v>0</v>
      </c>
      <c r="N910" t="n">
        <v>0</v>
      </c>
      <c r="O910" t="n">
        <v>0</v>
      </c>
      <c r="P910" t="n">
        <v>0</v>
      </c>
      <c r="Q910" t="n">
        <v>0</v>
      </c>
      <c r="R910" s="2" t="inlineStr"/>
    </row>
    <row r="911" ht="15" customHeight="1">
      <c r="A911" t="inlineStr">
        <is>
          <t>A 37543-2023</t>
        </is>
      </c>
      <c r="B911" s="1" t="n">
        <v>45158.94231481481</v>
      </c>
      <c r="C911" s="1" t="n">
        <v>46049</v>
      </c>
      <c r="D911" t="inlineStr">
        <is>
          <t>JÄMTLANDS LÄN</t>
        </is>
      </c>
      <c r="E911" t="inlineStr">
        <is>
          <t>RAGUNDA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59214-2025</t>
        </is>
      </c>
      <c r="B912" s="1" t="n">
        <v>45988.61623842592</v>
      </c>
      <c r="C912" s="1" t="n">
        <v>46049</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53171-2024</t>
        </is>
      </c>
      <c r="B913" s="1" t="n">
        <v>45611.65679398148</v>
      </c>
      <c r="C913" s="1" t="n">
        <v>46049</v>
      </c>
      <c r="D913" t="inlineStr">
        <is>
          <t>JÄMTLANDS LÄN</t>
        </is>
      </c>
      <c r="E913" t="inlineStr">
        <is>
          <t>RAGUNDA</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58918-2025</t>
        </is>
      </c>
      <c r="B914" s="1" t="n">
        <v>45987.52952546296</v>
      </c>
      <c r="C914" s="1" t="n">
        <v>46049</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1523-2024</t>
        </is>
      </c>
      <c r="B915" s="1" t="n">
        <v>45306</v>
      </c>
      <c r="C915" s="1" t="n">
        <v>46049</v>
      </c>
      <c r="D915" t="inlineStr">
        <is>
          <t>JÄMTLANDS LÄN</t>
        </is>
      </c>
      <c r="E915" t="inlineStr">
        <is>
          <t>RAGUNDA</t>
        </is>
      </c>
      <c r="G915" t="n">
        <v>4.1</v>
      </c>
      <c r="H915" t="n">
        <v>0</v>
      </c>
      <c r="I915" t="n">
        <v>0</v>
      </c>
      <c r="J915" t="n">
        <v>0</v>
      </c>
      <c r="K915" t="n">
        <v>0</v>
      </c>
      <c r="L915" t="n">
        <v>0</v>
      </c>
      <c r="M915" t="n">
        <v>0</v>
      </c>
      <c r="N915" t="n">
        <v>0</v>
      </c>
      <c r="O915" t="n">
        <v>0</v>
      </c>
      <c r="P915" t="n">
        <v>0</v>
      </c>
      <c r="Q915" t="n">
        <v>0</v>
      </c>
      <c r="R915" s="2" t="inlineStr"/>
    </row>
    <row r="916" ht="15" customHeight="1">
      <c r="A916" t="inlineStr">
        <is>
          <t>A 64265-2023</t>
        </is>
      </c>
      <c r="B916" s="1" t="n">
        <v>45279.94572916667</v>
      </c>
      <c r="C916" s="1" t="n">
        <v>46049</v>
      </c>
      <c r="D916" t="inlineStr">
        <is>
          <t>JÄMTLANDS LÄN</t>
        </is>
      </c>
      <c r="E916" t="inlineStr">
        <is>
          <t>RAGUNDA</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557-2026</t>
        </is>
      </c>
      <c r="B917" s="1" t="n">
        <v>46021</v>
      </c>
      <c r="C917" s="1" t="n">
        <v>46049</v>
      </c>
      <c r="D917" t="inlineStr">
        <is>
          <t>JÄMTLANDS LÄN</t>
        </is>
      </c>
      <c r="E917" t="inlineStr">
        <is>
          <t>RAGUNDA</t>
        </is>
      </c>
      <c r="G917" t="n">
        <v>1.5</v>
      </c>
      <c r="H917" t="n">
        <v>0</v>
      </c>
      <c r="I917" t="n">
        <v>0</v>
      </c>
      <c r="J917" t="n">
        <v>0</v>
      </c>
      <c r="K917" t="n">
        <v>0</v>
      </c>
      <c r="L917" t="n">
        <v>0</v>
      </c>
      <c r="M917" t="n">
        <v>0</v>
      </c>
      <c r="N917" t="n">
        <v>0</v>
      </c>
      <c r="O917" t="n">
        <v>0</v>
      </c>
      <c r="P917" t="n">
        <v>0</v>
      </c>
      <c r="Q917" t="n">
        <v>0</v>
      </c>
      <c r="R917" s="2" t="inlineStr"/>
    </row>
    <row r="918" ht="15" customHeight="1">
      <c r="A918" t="inlineStr">
        <is>
          <t>A 647-2026</t>
        </is>
      </c>
      <c r="B918" s="1" t="n">
        <v>46029.57357638889</v>
      </c>
      <c r="C918" s="1" t="n">
        <v>46049</v>
      </c>
      <c r="D918" t="inlineStr">
        <is>
          <t>JÄMTLANDS LÄN</t>
        </is>
      </c>
      <c r="E918" t="inlineStr">
        <is>
          <t>RAGUNDA</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44605-2024</t>
        </is>
      </c>
      <c r="B919" s="1" t="n">
        <v>45574.51185185185</v>
      </c>
      <c r="C919" s="1" t="n">
        <v>46049</v>
      </c>
      <c r="D919" t="inlineStr">
        <is>
          <t>JÄMTLANDS LÄN</t>
        </is>
      </c>
      <c r="E919" t="inlineStr">
        <is>
          <t>RAGUNDA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53136-2024</t>
        </is>
      </c>
      <c r="B920" s="1" t="n">
        <v>45611.5953125</v>
      </c>
      <c r="C920" s="1" t="n">
        <v>46049</v>
      </c>
      <c r="D920" t="inlineStr">
        <is>
          <t>JÄMTLANDS LÄN</t>
        </is>
      </c>
      <c r="E920" t="inlineStr">
        <is>
          <t>RAGUNDA</t>
        </is>
      </c>
      <c r="G920" t="n">
        <v>3.8</v>
      </c>
      <c r="H920" t="n">
        <v>0</v>
      </c>
      <c r="I920" t="n">
        <v>0</v>
      </c>
      <c r="J920" t="n">
        <v>0</v>
      </c>
      <c r="K920" t="n">
        <v>0</v>
      </c>
      <c r="L920" t="n">
        <v>0</v>
      </c>
      <c r="M920" t="n">
        <v>0</v>
      </c>
      <c r="N920" t="n">
        <v>0</v>
      </c>
      <c r="O920" t="n">
        <v>0</v>
      </c>
      <c r="P920" t="n">
        <v>0</v>
      </c>
      <c r="Q920" t="n">
        <v>0</v>
      </c>
      <c r="R920" s="2" t="inlineStr"/>
    </row>
    <row r="921" ht="15" customHeight="1">
      <c r="A921" t="inlineStr">
        <is>
          <t>A 52228-2024</t>
        </is>
      </c>
      <c r="B921" s="1" t="n">
        <v>45608.6078587963</v>
      </c>
      <c r="C921" s="1" t="n">
        <v>46049</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59692-2025</t>
        </is>
      </c>
      <c r="B922" s="1" t="n">
        <v>45992.49001157407</v>
      </c>
      <c r="C922" s="1" t="n">
        <v>46049</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59693-2025</t>
        </is>
      </c>
      <c r="B923" s="1" t="n">
        <v>45992.49009259259</v>
      </c>
      <c r="C923" s="1" t="n">
        <v>46049</v>
      </c>
      <c r="D923" t="inlineStr">
        <is>
          <t>JÄMTLANDS LÄN</t>
        </is>
      </c>
      <c r="E923" t="inlineStr">
        <is>
          <t>RAGUNDA</t>
        </is>
      </c>
      <c r="G923" t="n">
        <v>0.7</v>
      </c>
      <c r="H923" t="n">
        <v>0</v>
      </c>
      <c r="I923" t="n">
        <v>0</v>
      </c>
      <c r="J923" t="n">
        <v>0</v>
      </c>
      <c r="K923" t="n">
        <v>0</v>
      </c>
      <c r="L923" t="n">
        <v>0</v>
      </c>
      <c r="M923" t="n">
        <v>0</v>
      </c>
      <c r="N923" t="n">
        <v>0</v>
      </c>
      <c r="O923" t="n">
        <v>0</v>
      </c>
      <c r="P923" t="n">
        <v>0</v>
      </c>
      <c r="Q923" t="n">
        <v>0</v>
      </c>
      <c r="R923" s="2" t="inlineStr"/>
    </row>
    <row r="924" ht="15" customHeight="1">
      <c r="A924" t="inlineStr">
        <is>
          <t>A 59372-2024</t>
        </is>
      </c>
      <c r="B924" s="1" t="n">
        <v>45638.34431712963</v>
      </c>
      <c r="C924" s="1" t="n">
        <v>46049</v>
      </c>
      <c r="D924" t="inlineStr">
        <is>
          <t>JÄMTLANDS LÄN</t>
        </is>
      </c>
      <c r="E924" t="inlineStr">
        <is>
          <t>RAGUNDA</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62115-2024</t>
        </is>
      </c>
      <c r="B925" s="1" t="n">
        <v>45656</v>
      </c>
      <c r="C925" s="1" t="n">
        <v>46049</v>
      </c>
      <c r="D925" t="inlineStr">
        <is>
          <t>JÄMTLANDS LÄN</t>
        </is>
      </c>
      <c r="E925" t="inlineStr">
        <is>
          <t>RAGUNDA</t>
        </is>
      </c>
      <c r="G925" t="n">
        <v>3.3</v>
      </c>
      <c r="H925" t="n">
        <v>0</v>
      </c>
      <c r="I925" t="n">
        <v>0</v>
      </c>
      <c r="J925" t="n">
        <v>0</v>
      </c>
      <c r="K925" t="n">
        <v>0</v>
      </c>
      <c r="L925" t="n">
        <v>0</v>
      </c>
      <c r="M925" t="n">
        <v>0</v>
      </c>
      <c r="N925" t="n">
        <v>0</v>
      </c>
      <c r="O925" t="n">
        <v>0</v>
      </c>
      <c r="P925" t="n">
        <v>0</v>
      </c>
      <c r="Q925" t="n">
        <v>0</v>
      </c>
      <c r="R925" s="2" t="inlineStr"/>
    </row>
    <row r="926" ht="15" customHeight="1">
      <c r="A926" t="inlineStr">
        <is>
          <t>A 4594-2024</t>
        </is>
      </c>
      <c r="B926" s="1" t="n">
        <v>45327.94459490741</v>
      </c>
      <c r="C926" s="1" t="n">
        <v>46049</v>
      </c>
      <c r="D926" t="inlineStr">
        <is>
          <t>JÄMTLANDS LÄN</t>
        </is>
      </c>
      <c r="E926" t="inlineStr">
        <is>
          <t>RAGUNDA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59491-2025</t>
        </is>
      </c>
      <c r="B927" s="1" t="n">
        <v>45989.60376157407</v>
      </c>
      <c r="C927" s="1" t="n">
        <v>46049</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3018-2024</t>
        </is>
      </c>
      <c r="B928" s="1" t="n">
        <v>45315.9492824074</v>
      </c>
      <c r="C928" s="1" t="n">
        <v>46049</v>
      </c>
      <c r="D928" t="inlineStr">
        <is>
          <t>JÄMTLANDS LÄN</t>
        </is>
      </c>
      <c r="E928" t="inlineStr">
        <is>
          <t>RAGUNDA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59499-2025</t>
        </is>
      </c>
      <c r="B929" s="1" t="n">
        <v>45989.61846064815</v>
      </c>
      <c r="C929" s="1" t="n">
        <v>46049</v>
      </c>
      <c r="D929" t="inlineStr">
        <is>
          <t>JÄMTLANDS LÄN</t>
        </is>
      </c>
      <c r="E929" t="inlineStr">
        <is>
          <t>RAGUNDA</t>
        </is>
      </c>
      <c r="G929" t="n">
        <v>2</v>
      </c>
      <c r="H929" t="n">
        <v>0</v>
      </c>
      <c r="I929" t="n">
        <v>0</v>
      </c>
      <c r="J929" t="n">
        <v>0</v>
      </c>
      <c r="K929" t="n">
        <v>0</v>
      </c>
      <c r="L929" t="n">
        <v>0</v>
      </c>
      <c r="M929" t="n">
        <v>0</v>
      </c>
      <c r="N929" t="n">
        <v>0</v>
      </c>
      <c r="O929" t="n">
        <v>0</v>
      </c>
      <c r="P929" t="n">
        <v>0</v>
      </c>
      <c r="Q929" t="n">
        <v>0</v>
      </c>
      <c r="R929" s="2" t="inlineStr"/>
    </row>
    <row r="930" ht="15" customHeight="1">
      <c r="A930" t="inlineStr">
        <is>
          <t>A 59503-2025</t>
        </is>
      </c>
      <c r="B930" s="1" t="n">
        <v>45989.62703703704</v>
      </c>
      <c r="C930" s="1" t="n">
        <v>46049</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59740-2025</t>
        </is>
      </c>
      <c r="B931" s="1" t="n">
        <v>45992.5743287037</v>
      </c>
      <c r="C931" s="1" t="n">
        <v>46049</v>
      </c>
      <c r="D931" t="inlineStr">
        <is>
          <t>JÄMTLANDS LÄN</t>
        </is>
      </c>
      <c r="E931" t="inlineStr">
        <is>
          <t>RAGUNDA</t>
        </is>
      </c>
      <c r="F931" t="inlineStr">
        <is>
          <t>SCA</t>
        </is>
      </c>
      <c r="G931" t="n">
        <v>14.1</v>
      </c>
      <c r="H931" t="n">
        <v>0</v>
      </c>
      <c r="I931" t="n">
        <v>0</v>
      </c>
      <c r="J931" t="n">
        <v>0</v>
      </c>
      <c r="K931" t="n">
        <v>0</v>
      </c>
      <c r="L931" t="n">
        <v>0</v>
      </c>
      <c r="M931" t="n">
        <v>0</v>
      </c>
      <c r="N931" t="n">
        <v>0</v>
      </c>
      <c r="O931" t="n">
        <v>0</v>
      </c>
      <c r="P931" t="n">
        <v>0</v>
      </c>
      <c r="Q931" t="n">
        <v>0</v>
      </c>
      <c r="R931" s="2" t="inlineStr"/>
    </row>
    <row r="932" ht="15" customHeight="1">
      <c r="A932" t="inlineStr">
        <is>
          <t>A 48065-2023</t>
        </is>
      </c>
      <c r="B932" s="1" t="n">
        <v>45204.94399305555</v>
      </c>
      <c r="C932" s="1" t="n">
        <v>46049</v>
      </c>
      <c r="D932" t="inlineStr">
        <is>
          <t>JÄMTLANDS LÄN</t>
        </is>
      </c>
      <c r="E932" t="inlineStr">
        <is>
          <t>RAGUNDA</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44597-2024</t>
        </is>
      </c>
      <c r="B933" s="1" t="n">
        <v>45574.51087962963</v>
      </c>
      <c r="C933" s="1" t="n">
        <v>46049</v>
      </c>
      <c r="D933" t="inlineStr">
        <is>
          <t>JÄMTLANDS LÄN</t>
        </is>
      </c>
      <c r="E933" t="inlineStr">
        <is>
          <t>RAGUNDA</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44598-2024</t>
        </is>
      </c>
      <c r="B934" s="1" t="n">
        <v>45574.51090277778</v>
      </c>
      <c r="C934" s="1" t="n">
        <v>46049</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49659-2023</t>
        </is>
      </c>
      <c r="B935" s="1" t="n">
        <v>45211.95134259259</v>
      </c>
      <c r="C935" s="1" t="n">
        <v>46049</v>
      </c>
      <c r="D935" t="inlineStr">
        <is>
          <t>JÄMTLANDS LÄN</t>
        </is>
      </c>
      <c r="E935" t="inlineStr">
        <is>
          <t>RAGUNDA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23734-2024</t>
        </is>
      </c>
      <c r="B936" s="1" t="n">
        <v>45454.95960648148</v>
      </c>
      <c r="C936" s="1" t="n">
        <v>46049</v>
      </c>
      <c r="D936" t="inlineStr">
        <is>
          <t>JÄMTLANDS LÄN</t>
        </is>
      </c>
      <c r="E936" t="inlineStr">
        <is>
          <t>RAGUNDA</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59738-2025</t>
        </is>
      </c>
      <c r="B937" s="1" t="n">
        <v>45992.57408564815</v>
      </c>
      <c r="C937" s="1" t="n">
        <v>46049</v>
      </c>
      <c r="D937" t="inlineStr">
        <is>
          <t>JÄMTLANDS LÄN</t>
        </is>
      </c>
      <c r="E937" t="inlineStr">
        <is>
          <t>RAGUNDA</t>
        </is>
      </c>
      <c r="F937" t="inlineStr">
        <is>
          <t>SCA</t>
        </is>
      </c>
      <c r="G937" t="n">
        <v>12.5</v>
      </c>
      <c r="H937" t="n">
        <v>0</v>
      </c>
      <c r="I937" t="n">
        <v>0</v>
      </c>
      <c r="J937" t="n">
        <v>0</v>
      </c>
      <c r="K937" t="n">
        <v>0</v>
      </c>
      <c r="L937" t="n">
        <v>0</v>
      </c>
      <c r="M937" t="n">
        <v>0</v>
      </c>
      <c r="N937" t="n">
        <v>0</v>
      </c>
      <c r="O937" t="n">
        <v>0</v>
      </c>
      <c r="P937" t="n">
        <v>0</v>
      </c>
      <c r="Q937" t="n">
        <v>0</v>
      </c>
      <c r="R937" s="2" t="inlineStr"/>
    </row>
    <row r="938" ht="15" customHeight="1">
      <c r="A938" t="inlineStr">
        <is>
          <t>A 59739-2025</t>
        </is>
      </c>
      <c r="B938" s="1" t="n">
        <v>45992.57417824074</v>
      </c>
      <c r="C938" s="1" t="n">
        <v>46049</v>
      </c>
      <c r="D938" t="inlineStr">
        <is>
          <t>JÄMTLANDS LÄN</t>
        </is>
      </c>
      <c r="E938" t="inlineStr">
        <is>
          <t>RAGUNDA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12653-2024</t>
        </is>
      </c>
      <c r="B939" s="1" t="n">
        <v>45384</v>
      </c>
      <c r="C939" s="1" t="n">
        <v>46049</v>
      </c>
      <c r="D939" t="inlineStr">
        <is>
          <t>JÄMTLANDS LÄN</t>
        </is>
      </c>
      <c r="E939" t="inlineStr">
        <is>
          <t>RAGUNDA</t>
        </is>
      </c>
      <c r="G939" t="n">
        <v>1.1</v>
      </c>
      <c r="H939" t="n">
        <v>0</v>
      </c>
      <c r="I939" t="n">
        <v>0</v>
      </c>
      <c r="J939" t="n">
        <v>0</v>
      </c>
      <c r="K939" t="n">
        <v>0</v>
      </c>
      <c r="L939" t="n">
        <v>0</v>
      </c>
      <c r="M939" t="n">
        <v>0</v>
      </c>
      <c r="N939" t="n">
        <v>0</v>
      </c>
      <c r="O939" t="n">
        <v>0</v>
      </c>
      <c r="P939" t="n">
        <v>0</v>
      </c>
      <c r="Q939" t="n">
        <v>0</v>
      </c>
      <c r="R939" s="2" t="inlineStr"/>
    </row>
    <row r="940" ht="15" customHeight="1">
      <c r="A940" t="inlineStr">
        <is>
          <t>A 34483-2023</t>
        </is>
      </c>
      <c r="B940" s="1" t="n">
        <v>45139.94681712963</v>
      </c>
      <c r="C940" s="1" t="n">
        <v>46049</v>
      </c>
      <c r="D940" t="inlineStr">
        <is>
          <t>JÄMTLANDS LÄN</t>
        </is>
      </c>
      <c r="E940" t="inlineStr">
        <is>
          <t>RAGUNDA</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23567-2024</t>
        </is>
      </c>
      <c r="B941" s="1" t="n">
        <v>45453.95538194444</v>
      </c>
      <c r="C941" s="1" t="n">
        <v>46049</v>
      </c>
      <c r="D941" t="inlineStr">
        <is>
          <t>JÄMTLANDS LÄN</t>
        </is>
      </c>
      <c r="E941" t="inlineStr">
        <is>
          <t>RAGUNDA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57116-2024</t>
        </is>
      </c>
      <c r="B942" s="1" t="n">
        <v>45629.36513888889</v>
      </c>
      <c r="C942" s="1" t="n">
        <v>46049</v>
      </c>
      <c r="D942" t="inlineStr">
        <is>
          <t>JÄMTLANDS LÄN</t>
        </is>
      </c>
      <c r="E942" t="inlineStr">
        <is>
          <t>RAGUNDA</t>
        </is>
      </c>
      <c r="G942" t="n">
        <v>0.6</v>
      </c>
      <c r="H942" t="n">
        <v>0</v>
      </c>
      <c r="I942" t="n">
        <v>0</v>
      </c>
      <c r="J942" t="n">
        <v>0</v>
      </c>
      <c r="K942" t="n">
        <v>0</v>
      </c>
      <c r="L942" t="n">
        <v>0</v>
      </c>
      <c r="M942" t="n">
        <v>0</v>
      </c>
      <c r="N942" t="n">
        <v>0</v>
      </c>
      <c r="O942" t="n">
        <v>0</v>
      </c>
      <c r="P942" t="n">
        <v>0</v>
      </c>
      <c r="Q942" t="n">
        <v>0</v>
      </c>
      <c r="R942" s="2" t="inlineStr"/>
    </row>
    <row r="943" ht="15" customHeight="1">
      <c r="A943" t="inlineStr">
        <is>
          <t>A 1333-2026</t>
        </is>
      </c>
      <c r="B943" s="1" t="n">
        <v>46031.57340277778</v>
      </c>
      <c r="C943" s="1" t="n">
        <v>46049</v>
      </c>
      <c r="D943" t="inlineStr">
        <is>
          <t>JÄMTLANDS LÄN</t>
        </is>
      </c>
      <c r="E943" t="inlineStr">
        <is>
          <t>RAGUNDA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38312-2024</t>
        </is>
      </c>
      <c r="B944" s="1" t="n">
        <v>45545.64957175926</v>
      </c>
      <c r="C944" s="1" t="n">
        <v>46049</v>
      </c>
      <c r="D944" t="inlineStr">
        <is>
          <t>JÄMTLANDS LÄN</t>
        </is>
      </c>
      <c r="E944" t="inlineStr">
        <is>
          <t>RAGUNDA</t>
        </is>
      </c>
      <c r="G944" t="n">
        <v>1.2</v>
      </c>
      <c r="H944" t="n">
        <v>0</v>
      </c>
      <c r="I944" t="n">
        <v>0</v>
      </c>
      <c r="J944" t="n">
        <v>0</v>
      </c>
      <c r="K944" t="n">
        <v>0</v>
      </c>
      <c r="L944" t="n">
        <v>0</v>
      </c>
      <c r="M944" t="n">
        <v>0</v>
      </c>
      <c r="N944" t="n">
        <v>0</v>
      </c>
      <c r="O944" t="n">
        <v>0</v>
      </c>
      <c r="P944" t="n">
        <v>0</v>
      </c>
      <c r="Q944" t="n">
        <v>0</v>
      </c>
      <c r="R944" s="2" t="inlineStr"/>
    </row>
    <row r="945" ht="15" customHeight="1">
      <c r="A945" t="inlineStr">
        <is>
          <t>A 9262-2025</t>
        </is>
      </c>
      <c r="B945" s="1" t="n">
        <v>45714.60649305556</v>
      </c>
      <c r="C945" s="1" t="n">
        <v>46049</v>
      </c>
      <c r="D945" t="inlineStr">
        <is>
          <t>JÄMTLANDS LÄN</t>
        </is>
      </c>
      <c r="E945" t="inlineStr">
        <is>
          <t>RAGUNDA</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16982-2024</t>
        </is>
      </c>
      <c r="B946" s="1" t="n">
        <v>45412.02506944445</v>
      </c>
      <c r="C946" s="1" t="n">
        <v>46049</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2316-2026</t>
        </is>
      </c>
      <c r="B947" s="1" t="n">
        <v>46036.59826388889</v>
      </c>
      <c r="C947" s="1" t="n">
        <v>46049</v>
      </c>
      <c r="D947" t="inlineStr">
        <is>
          <t>JÄMTLANDS LÄN</t>
        </is>
      </c>
      <c r="E947" t="inlineStr">
        <is>
          <t>RAGUNDA</t>
        </is>
      </c>
      <c r="G947" t="n">
        <v>5.1</v>
      </c>
      <c r="H947" t="n">
        <v>0</v>
      </c>
      <c r="I947" t="n">
        <v>0</v>
      </c>
      <c r="J947" t="n">
        <v>0</v>
      </c>
      <c r="K947" t="n">
        <v>0</v>
      </c>
      <c r="L947" t="n">
        <v>0</v>
      </c>
      <c r="M947" t="n">
        <v>0</v>
      </c>
      <c r="N947" t="n">
        <v>0</v>
      </c>
      <c r="O947" t="n">
        <v>0</v>
      </c>
      <c r="P947" t="n">
        <v>0</v>
      </c>
      <c r="Q947" t="n">
        <v>0</v>
      </c>
      <c r="R947" s="2" t="inlineStr"/>
    </row>
    <row r="948" ht="15" customHeight="1">
      <c r="A948" t="inlineStr">
        <is>
          <t>A 60130-2025</t>
        </is>
      </c>
      <c r="B948" s="1" t="n">
        <v>45994.34467592592</v>
      </c>
      <c r="C948" s="1" t="n">
        <v>46049</v>
      </c>
      <c r="D948" t="inlineStr">
        <is>
          <t>JÄMTLANDS LÄN</t>
        </is>
      </c>
      <c r="E948" t="inlineStr">
        <is>
          <t>RAGUNDA</t>
        </is>
      </c>
      <c r="G948" t="n">
        <v>4.9</v>
      </c>
      <c r="H948" t="n">
        <v>0</v>
      </c>
      <c r="I948" t="n">
        <v>0</v>
      </c>
      <c r="J948" t="n">
        <v>0</v>
      </c>
      <c r="K948" t="n">
        <v>0</v>
      </c>
      <c r="L948" t="n">
        <v>0</v>
      </c>
      <c r="M948" t="n">
        <v>0</v>
      </c>
      <c r="N948" t="n">
        <v>0</v>
      </c>
      <c r="O948" t="n">
        <v>0</v>
      </c>
      <c r="P948" t="n">
        <v>0</v>
      </c>
      <c r="Q948" t="n">
        <v>0</v>
      </c>
      <c r="R948" s="2" t="inlineStr"/>
    </row>
    <row r="949" ht="15" customHeight="1">
      <c r="A949" t="inlineStr">
        <is>
          <t>A 2123-2026</t>
        </is>
      </c>
      <c r="B949" s="1" t="n">
        <v>46036.38618055556</v>
      </c>
      <c r="C949" s="1" t="n">
        <v>46049</v>
      </c>
      <c r="D949" t="inlineStr">
        <is>
          <t>JÄMTLANDS LÄN</t>
        </is>
      </c>
      <c r="E949" t="inlineStr">
        <is>
          <t>RAGUNDA</t>
        </is>
      </c>
      <c r="F949" t="inlineStr">
        <is>
          <t>SCA</t>
        </is>
      </c>
      <c r="G949" t="n">
        <v>5.1</v>
      </c>
      <c r="H949" t="n">
        <v>0</v>
      </c>
      <c r="I949" t="n">
        <v>0</v>
      </c>
      <c r="J949" t="n">
        <v>0</v>
      </c>
      <c r="K949" t="n">
        <v>0</v>
      </c>
      <c r="L949" t="n">
        <v>0</v>
      </c>
      <c r="M949" t="n">
        <v>0</v>
      </c>
      <c r="N949" t="n">
        <v>0</v>
      </c>
      <c r="O949" t="n">
        <v>0</v>
      </c>
      <c r="P949" t="n">
        <v>0</v>
      </c>
      <c r="Q949" t="n">
        <v>0</v>
      </c>
      <c r="R949" s="2" t="inlineStr"/>
    </row>
    <row r="950" ht="15" customHeight="1">
      <c r="A950" t="inlineStr">
        <is>
          <t>A 59931-2025</t>
        </is>
      </c>
      <c r="B950" s="1" t="n">
        <v>45993.40177083333</v>
      </c>
      <c r="C950" s="1" t="n">
        <v>46049</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60062-2025</t>
        </is>
      </c>
      <c r="B951" s="1" t="n">
        <v>45993.65694444445</v>
      </c>
      <c r="C951" s="1" t="n">
        <v>46049</v>
      </c>
      <c r="D951" t="inlineStr">
        <is>
          <t>JÄMTLANDS LÄN</t>
        </is>
      </c>
      <c r="E951" t="inlineStr">
        <is>
          <t>RAGUNDA</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2173-2026</t>
        </is>
      </c>
      <c r="B952" s="1" t="n">
        <v>46036.44984953704</v>
      </c>
      <c r="C952" s="1" t="n">
        <v>46049</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58564-2024</t>
        </is>
      </c>
      <c r="B953" s="1" t="n">
        <v>45635.47243055556</v>
      </c>
      <c r="C953" s="1" t="n">
        <v>46049</v>
      </c>
      <c r="D953" t="inlineStr">
        <is>
          <t>JÄMTLANDS LÄN</t>
        </is>
      </c>
      <c r="E953" t="inlineStr">
        <is>
          <t>RAGUNDA</t>
        </is>
      </c>
      <c r="G953" t="n">
        <v>2.6</v>
      </c>
      <c r="H953" t="n">
        <v>0</v>
      </c>
      <c r="I953" t="n">
        <v>0</v>
      </c>
      <c r="J953" t="n">
        <v>0</v>
      </c>
      <c r="K953" t="n">
        <v>0</v>
      </c>
      <c r="L953" t="n">
        <v>0</v>
      </c>
      <c r="M953" t="n">
        <v>0</v>
      </c>
      <c r="N953" t="n">
        <v>0</v>
      </c>
      <c r="O953" t="n">
        <v>0</v>
      </c>
      <c r="P953" t="n">
        <v>0</v>
      </c>
      <c r="Q953" t="n">
        <v>0</v>
      </c>
      <c r="R953" s="2" t="inlineStr"/>
    </row>
    <row r="954" ht="15" customHeight="1">
      <c r="A954" t="inlineStr">
        <is>
          <t>A 53144-2024</t>
        </is>
      </c>
      <c r="B954" s="1" t="n">
        <v>45611</v>
      </c>
      <c r="C954" s="1" t="n">
        <v>46049</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5806-2025</t>
        </is>
      </c>
      <c r="B955" s="1" t="n">
        <v>45694.69826388889</v>
      </c>
      <c r="C955" s="1" t="n">
        <v>46049</v>
      </c>
      <c r="D955" t="inlineStr">
        <is>
          <t>JÄMTLANDS LÄN</t>
        </is>
      </c>
      <c r="E955" t="inlineStr">
        <is>
          <t>RAGUNDA</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60128-2025</t>
        </is>
      </c>
      <c r="B956" s="1" t="n">
        <v>45994.34456018519</v>
      </c>
      <c r="C956" s="1" t="n">
        <v>46049</v>
      </c>
      <c r="D956" t="inlineStr">
        <is>
          <t>JÄMTLANDS LÄN</t>
        </is>
      </c>
      <c r="E956" t="inlineStr">
        <is>
          <t>RAGUNDA</t>
        </is>
      </c>
      <c r="G956" t="n">
        <v>7.1</v>
      </c>
      <c r="H956" t="n">
        <v>0</v>
      </c>
      <c r="I956" t="n">
        <v>0</v>
      </c>
      <c r="J956" t="n">
        <v>0</v>
      </c>
      <c r="K956" t="n">
        <v>0</v>
      </c>
      <c r="L956" t="n">
        <v>0</v>
      </c>
      <c r="M956" t="n">
        <v>0</v>
      </c>
      <c r="N956" t="n">
        <v>0</v>
      </c>
      <c r="O956" t="n">
        <v>0</v>
      </c>
      <c r="P956" t="n">
        <v>0</v>
      </c>
      <c r="Q956" t="n">
        <v>0</v>
      </c>
      <c r="R956" s="2" t="inlineStr"/>
    </row>
    <row r="957" ht="15" customHeight="1">
      <c r="A957" t="inlineStr">
        <is>
          <t>A 60307-2025</t>
        </is>
      </c>
      <c r="B957" s="1" t="n">
        <v>45994.6842824074</v>
      </c>
      <c r="C957" s="1" t="n">
        <v>46049</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20773-2024</t>
        </is>
      </c>
      <c r="B958" s="1" t="n">
        <v>45436.94636574074</v>
      </c>
      <c r="C958" s="1" t="n">
        <v>46049</v>
      </c>
      <c r="D958" t="inlineStr">
        <is>
          <t>JÄMTLANDS LÄN</t>
        </is>
      </c>
      <c r="E958" t="inlineStr">
        <is>
          <t>RAGUNDA</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2156-2026</t>
        </is>
      </c>
      <c r="B959" s="1" t="n">
        <v>46036.42771990741</v>
      </c>
      <c r="C959" s="1" t="n">
        <v>46049</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2271-2026</t>
        </is>
      </c>
      <c r="B960" s="1" t="n">
        <v>46036.57347222222</v>
      </c>
      <c r="C960" s="1" t="n">
        <v>46049</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2282-2026</t>
        </is>
      </c>
      <c r="B961" s="1" t="n">
        <v>46036.57798611111</v>
      </c>
      <c r="C961" s="1" t="n">
        <v>46049</v>
      </c>
      <c r="D961" t="inlineStr">
        <is>
          <t>JÄMTLANDS LÄN</t>
        </is>
      </c>
      <c r="E961" t="inlineStr">
        <is>
          <t>RAGUNDA</t>
        </is>
      </c>
      <c r="G961" t="n">
        <v>2</v>
      </c>
      <c r="H961" t="n">
        <v>0</v>
      </c>
      <c r="I961" t="n">
        <v>0</v>
      </c>
      <c r="J961" t="n">
        <v>0</v>
      </c>
      <c r="K961" t="n">
        <v>0</v>
      </c>
      <c r="L961" t="n">
        <v>0</v>
      </c>
      <c r="M961" t="n">
        <v>0</v>
      </c>
      <c r="N961" t="n">
        <v>0</v>
      </c>
      <c r="O961" t="n">
        <v>0</v>
      </c>
      <c r="P961" t="n">
        <v>0</v>
      </c>
      <c r="Q961" t="n">
        <v>0</v>
      </c>
      <c r="R961" s="2" t="inlineStr"/>
    </row>
    <row r="962" ht="15" customHeight="1">
      <c r="A962" t="inlineStr">
        <is>
          <t>A 14076-2023</t>
        </is>
      </c>
      <c r="B962" s="1" t="n">
        <v>45009.0897337963</v>
      </c>
      <c r="C962" s="1" t="n">
        <v>46049</v>
      </c>
      <c r="D962" t="inlineStr">
        <is>
          <t>JÄMTLANDS LÄN</t>
        </is>
      </c>
      <c r="E962" t="inlineStr">
        <is>
          <t>RAGUNDA</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45335-2023</t>
        </is>
      </c>
      <c r="B963" s="1" t="n">
        <v>45191</v>
      </c>
      <c r="C963" s="1" t="n">
        <v>46049</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2233-2026</t>
        </is>
      </c>
      <c r="B964" s="1" t="n">
        <v>46036.53207175926</v>
      </c>
      <c r="C964" s="1" t="n">
        <v>46049</v>
      </c>
      <c r="D964" t="inlineStr">
        <is>
          <t>JÄMTLANDS LÄN</t>
        </is>
      </c>
      <c r="E964" t="inlineStr">
        <is>
          <t>RAGUNDA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10972-2022</t>
        </is>
      </c>
      <c r="B965" s="1" t="n">
        <v>44628</v>
      </c>
      <c r="C965" s="1" t="n">
        <v>46049</v>
      </c>
      <c r="D965" t="inlineStr">
        <is>
          <t>JÄMTLANDS LÄN</t>
        </is>
      </c>
      <c r="E965" t="inlineStr">
        <is>
          <t>RAGUNDA</t>
        </is>
      </c>
      <c r="G965" t="n">
        <v>9.5</v>
      </c>
      <c r="H965" t="n">
        <v>0</v>
      </c>
      <c r="I965" t="n">
        <v>0</v>
      </c>
      <c r="J965" t="n">
        <v>0</v>
      </c>
      <c r="K965" t="n">
        <v>0</v>
      </c>
      <c r="L965" t="n">
        <v>0</v>
      </c>
      <c r="M965" t="n">
        <v>0</v>
      </c>
      <c r="N965" t="n">
        <v>0</v>
      </c>
      <c r="O965" t="n">
        <v>0</v>
      </c>
      <c r="P965" t="n">
        <v>0</v>
      </c>
      <c r="Q965" t="n">
        <v>0</v>
      </c>
      <c r="R965" s="2" t="inlineStr"/>
    </row>
    <row r="966" ht="15" customHeight="1">
      <c r="A966" t="inlineStr">
        <is>
          <t>A 60389-2025</t>
        </is>
      </c>
      <c r="B966" s="1" t="n">
        <v>45995.38628472222</v>
      </c>
      <c r="C966" s="1" t="n">
        <v>46049</v>
      </c>
      <c r="D966" t="inlineStr">
        <is>
          <t>JÄMTLANDS LÄN</t>
        </is>
      </c>
      <c r="E966" t="inlineStr">
        <is>
          <t>RAGUNDA</t>
        </is>
      </c>
      <c r="G966" t="n">
        <v>3.3</v>
      </c>
      <c r="H966" t="n">
        <v>0</v>
      </c>
      <c r="I966" t="n">
        <v>0</v>
      </c>
      <c r="J966" t="n">
        <v>0</v>
      </c>
      <c r="K966" t="n">
        <v>0</v>
      </c>
      <c r="L966" t="n">
        <v>0</v>
      </c>
      <c r="M966" t="n">
        <v>0</v>
      </c>
      <c r="N966" t="n">
        <v>0</v>
      </c>
      <c r="O966" t="n">
        <v>0</v>
      </c>
      <c r="P966" t="n">
        <v>0</v>
      </c>
      <c r="Q966" t="n">
        <v>0</v>
      </c>
      <c r="R966" s="2" t="inlineStr"/>
    </row>
    <row r="967" ht="15" customHeight="1">
      <c r="A967" t="inlineStr">
        <is>
          <t>A 43102-2023</t>
        </is>
      </c>
      <c r="B967" s="1" t="n">
        <v>45182</v>
      </c>
      <c r="C967" s="1" t="n">
        <v>46049</v>
      </c>
      <c r="D967" t="inlineStr">
        <is>
          <t>JÄMTLANDS LÄN</t>
        </is>
      </c>
      <c r="E967" t="inlineStr">
        <is>
          <t>RAGUNDA</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60387-2025</t>
        </is>
      </c>
      <c r="B968" s="1" t="n">
        <v>45995.38611111111</v>
      </c>
      <c r="C968" s="1" t="n">
        <v>46049</v>
      </c>
      <c r="D968" t="inlineStr">
        <is>
          <t>JÄMTLANDS LÄN</t>
        </is>
      </c>
      <c r="E968" t="inlineStr">
        <is>
          <t>RAGUNDA</t>
        </is>
      </c>
      <c r="G968" t="n">
        <v>8.5</v>
      </c>
      <c r="H968" t="n">
        <v>0</v>
      </c>
      <c r="I968" t="n">
        <v>0</v>
      </c>
      <c r="J968" t="n">
        <v>0</v>
      </c>
      <c r="K968" t="n">
        <v>0</v>
      </c>
      <c r="L968" t="n">
        <v>0</v>
      </c>
      <c r="M968" t="n">
        <v>0</v>
      </c>
      <c r="N968" t="n">
        <v>0</v>
      </c>
      <c r="O968" t="n">
        <v>0</v>
      </c>
      <c r="P968" t="n">
        <v>0</v>
      </c>
      <c r="Q968" t="n">
        <v>0</v>
      </c>
      <c r="R968" s="2" t="inlineStr"/>
    </row>
    <row r="969" ht="15" customHeight="1">
      <c r="A969" t="inlineStr">
        <is>
          <t>A 6694-2024</t>
        </is>
      </c>
      <c r="B969" s="1" t="n">
        <v>45341.95381944445</v>
      </c>
      <c r="C969" s="1" t="n">
        <v>46049</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62490-2025</t>
        </is>
      </c>
      <c r="B970" s="1" t="n">
        <v>46007.5697337963</v>
      </c>
      <c r="C970" s="1" t="n">
        <v>46049</v>
      </c>
      <c r="D970" t="inlineStr">
        <is>
          <t>JÄMTLANDS LÄN</t>
        </is>
      </c>
      <c r="E970" t="inlineStr">
        <is>
          <t>RAGUNDA</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21083-2024</t>
        </is>
      </c>
      <c r="B971" s="1" t="n">
        <v>45439.92752314815</v>
      </c>
      <c r="C971" s="1" t="n">
        <v>46049</v>
      </c>
      <c r="D971" t="inlineStr">
        <is>
          <t>JÄMTLANDS LÄN</t>
        </is>
      </c>
      <c r="E971" t="inlineStr">
        <is>
          <t>RAGUNDA</t>
        </is>
      </c>
      <c r="G971" t="n">
        <v>1.5</v>
      </c>
      <c r="H971" t="n">
        <v>0</v>
      </c>
      <c r="I971" t="n">
        <v>0</v>
      </c>
      <c r="J971" t="n">
        <v>0</v>
      </c>
      <c r="K971" t="n">
        <v>0</v>
      </c>
      <c r="L971" t="n">
        <v>0</v>
      </c>
      <c r="M971" t="n">
        <v>0</v>
      </c>
      <c r="N971" t="n">
        <v>0</v>
      </c>
      <c r="O971" t="n">
        <v>0</v>
      </c>
      <c r="P971" t="n">
        <v>0</v>
      </c>
      <c r="Q971" t="n">
        <v>0</v>
      </c>
      <c r="R971" s="2" t="inlineStr"/>
    </row>
    <row r="972" ht="15" customHeight="1">
      <c r="A972" t="inlineStr">
        <is>
          <t>A 59759-2024</t>
        </is>
      </c>
      <c r="B972" s="1" t="n">
        <v>45639.55240740741</v>
      </c>
      <c r="C972" s="1" t="n">
        <v>46049</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60630-2025</t>
        </is>
      </c>
      <c r="B973" s="1" t="n">
        <v>45996.42120370371</v>
      </c>
      <c r="C973" s="1" t="n">
        <v>46049</v>
      </c>
      <c r="D973" t="inlineStr">
        <is>
          <t>JÄMTLANDS LÄN</t>
        </is>
      </c>
      <c r="E973" t="inlineStr">
        <is>
          <t>RAGUNDA</t>
        </is>
      </c>
      <c r="G973" t="n">
        <v>13.2</v>
      </c>
      <c r="H973" t="n">
        <v>0</v>
      </c>
      <c r="I973" t="n">
        <v>0</v>
      </c>
      <c r="J973" t="n">
        <v>0</v>
      </c>
      <c r="K973" t="n">
        <v>0</v>
      </c>
      <c r="L973" t="n">
        <v>0</v>
      </c>
      <c r="M973" t="n">
        <v>0</v>
      </c>
      <c r="N973" t="n">
        <v>0</v>
      </c>
      <c r="O973" t="n">
        <v>0</v>
      </c>
      <c r="P973" t="n">
        <v>0</v>
      </c>
      <c r="Q973" t="n">
        <v>0</v>
      </c>
      <c r="R973" s="2" t="inlineStr"/>
    </row>
    <row r="974" ht="15" customHeight="1">
      <c r="A974" t="inlineStr">
        <is>
          <t>A 12204-2025</t>
        </is>
      </c>
      <c r="B974" s="1" t="n">
        <v>45729.51074074074</v>
      </c>
      <c r="C974" s="1" t="n">
        <v>46049</v>
      </c>
      <c r="D974" t="inlineStr">
        <is>
          <t>JÄMTLANDS LÄN</t>
        </is>
      </c>
      <c r="E974" t="inlineStr">
        <is>
          <t>RAGUNDA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11245-2025</t>
        </is>
      </c>
      <c r="B975" s="1" t="n">
        <v>45726.38575231482</v>
      </c>
      <c r="C975" s="1" t="n">
        <v>46049</v>
      </c>
      <c r="D975" t="inlineStr">
        <is>
          <t>JÄMTLANDS LÄN</t>
        </is>
      </c>
      <c r="E975" t="inlineStr">
        <is>
          <t>RAGUNDA</t>
        </is>
      </c>
      <c r="G975" t="n">
        <v>2.3</v>
      </c>
      <c r="H975" t="n">
        <v>0</v>
      </c>
      <c r="I975" t="n">
        <v>0</v>
      </c>
      <c r="J975" t="n">
        <v>0</v>
      </c>
      <c r="K975" t="n">
        <v>0</v>
      </c>
      <c r="L975" t="n">
        <v>0</v>
      </c>
      <c r="M975" t="n">
        <v>0</v>
      </c>
      <c r="N975" t="n">
        <v>0</v>
      </c>
      <c r="O975" t="n">
        <v>0</v>
      </c>
      <c r="P975" t="n">
        <v>0</v>
      </c>
      <c r="Q975" t="n">
        <v>0</v>
      </c>
      <c r="R975" s="2" t="inlineStr"/>
    </row>
    <row r="976" ht="15" customHeight="1">
      <c r="A976" t="inlineStr">
        <is>
          <t>A 13905-2025</t>
        </is>
      </c>
      <c r="B976" s="1" t="n">
        <v>45737.63574074074</v>
      </c>
      <c r="C976" s="1" t="n">
        <v>46049</v>
      </c>
      <c r="D976" t="inlineStr">
        <is>
          <t>JÄMTLANDS LÄN</t>
        </is>
      </c>
      <c r="E976" t="inlineStr">
        <is>
          <t>RAGUNDA</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61233-2025</t>
        </is>
      </c>
      <c r="B977" s="1" t="n">
        <v>46000.6359837963</v>
      </c>
      <c r="C977" s="1" t="n">
        <v>46049</v>
      </c>
      <c r="D977" t="inlineStr">
        <is>
          <t>JÄMTLANDS LÄN</t>
        </is>
      </c>
      <c r="E977" t="inlineStr">
        <is>
          <t>RAGUNDA</t>
        </is>
      </c>
      <c r="F977" t="inlineStr">
        <is>
          <t>SCA</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61266-2025</t>
        </is>
      </c>
      <c r="B978" s="1" t="n">
        <v>46000.67784722222</v>
      </c>
      <c r="C978" s="1" t="n">
        <v>46049</v>
      </c>
      <c r="D978" t="inlineStr">
        <is>
          <t>JÄMTLANDS LÄN</t>
        </is>
      </c>
      <c r="E978" t="inlineStr">
        <is>
          <t>RAGUNDA</t>
        </is>
      </c>
      <c r="G978" t="n">
        <v>7.9</v>
      </c>
      <c r="H978" t="n">
        <v>0</v>
      </c>
      <c r="I978" t="n">
        <v>0</v>
      </c>
      <c r="J978" t="n">
        <v>0</v>
      </c>
      <c r="K978" t="n">
        <v>0</v>
      </c>
      <c r="L978" t="n">
        <v>0</v>
      </c>
      <c r="M978" t="n">
        <v>0</v>
      </c>
      <c r="N978" t="n">
        <v>0</v>
      </c>
      <c r="O978" t="n">
        <v>0</v>
      </c>
      <c r="P978" t="n">
        <v>0</v>
      </c>
      <c r="Q978" t="n">
        <v>0</v>
      </c>
      <c r="R978" s="2" t="inlineStr"/>
    </row>
    <row r="979" ht="15" customHeight="1">
      <c r="A979" t="inlineStr">
        <is>
          <t>A 4125-2024</t>
        </is>
      </c>
      <c r="B979" s="1" t="n">
        <v>45323</v>
      </c>
      <c r="C979" s="1" t="n">
        <v>46049</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44980-2023</t>
        </is>
      </c>
      <c r="B980" s="1" t="n">
        <v>45190</v>
      </c>
      <c r="C980" s="1" t="n">
        <v>46049</v>
      </c>
      <c r="D980" t="inlineStr">
        <is>
          <t>JÄMTLANDS LÄN</t>
        </is>
      </c>
      <c r="E980" t="inlineStr">
        <is>
          <t>RAGUNDA</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60775-2025</t>
        </is>
      </c>
      <c r="B981" s="1" t="n">
        <v>45999.3905787037</v>
      </c>
      <c r="C981" s="1" t="n">
        <v>46049</v>
      </c>
      <c r="D981" t="inlineStr">
        <is>
          <t>JÄMTLANDS LÄN</t>
        </is>
      </c>
      <c r="E981" t="inlineStr">
        <is>
          <t>RAGUNDA</t>
        </is>
      </c>
      <c r="G981" t="n">
        <v>15.7</v>
      </c>
      <c r="H981" t="n">
        <v>0</v>
      </c>
      <c r="I981" t="n">
        <v>0</v>
      </c>
      <c r="J981" t="n">
        <v>0</v>
      </c>
      <c r="K981" t="n">
        <v>0</v>
      </c>
      <c r="L981" t="n">
        <v>0</v>
      </c>
      <c r="M981" t="n">
        <v>0</v>
      </c>
      <c r="N981" t="n">
        <v>0</v>
      </c>
      <c r="O981" t="n">
        <v>0</v>
      </c>
      <c r="P981" t="n">
        <v>0</v>
      </c>
      <c r="Q981" t="n">
        <v>0</v>
      </c>
      <c r="R981" s="2" t="inlineStr"/>
    </row>
    <row r="982" ht="15" customHeight="1">
      <c r="A982" t="inlineStr">
        <is>
          <t>A 27777-2022</t>
        </is>
      </c>
      <c r="B982" s="1" t="n">
        <v>44743</v>
      </c>
      <c r="C982" s="1" t="n">
        <v>46049</v>
      </c>
      <c r="D982" t="inlineStr">
        <is>
          <t>JÄMTLANDS LÄN</t>
        </is>
      </c>
      <c r="E982" t="inlineStr">
        <is>
          <t>RAGUNDA</t>
        </is>
      </c>
      <c r="G982" t="n">
        <v>1.5</v>
      </c>
      <c r="H982" t="n">
        <v>0</v>
      </c>
      <c r="I982" t="n">
        <v>0</v>
      </c>
      <c r="J982" t="n">
        <v>0</v>
      </c>
      <c r="K982" t="n">
        <v>0</v>
      </c>
      <c r="L982" t="n">
        <v>0</v>
      </c>
      <c r="M982" t="n">
        <v>0</v>
      </c>
      <c r="N982" t="n">
        <v>0</v>
      </c>
      <c r="O982" t="n">
        <v>0</v>
      </c>
      <c r="P982" t="n">
        <v>0</v>
      </c>
      <c r="Q982" t="n">
        <v>0</v>
      </c>
      <c r="R982" s="2" t="inlineStr"/>
    </row>
    <row r="983" ht="15" customHeight="1">
      <c r="A983" t="inlineStr">
        <is>
          <t>A 51245-2024</t>
        </is>
      </c>
      <c r="B983" s="1" t="n">
        <v>45603.67850694444</v>
      </c>
      <c r="C983" s="1" t="n">
        <v>46049</v>
      </c>
      <c r="D983" t="inlineStr">
        <is>
          <t>JÄMTLANDS LÄN</t>
        </is>
      </c>
      <c r="E983" t="inlineStr">
        <is>
          <t>RAGUNDA</t>
        </is>
      </c>
      <c r="G983" t="n">
        <v>0.9</v>
      </c>
      <c r="H983" t="n">
        <v>0</v>
      </c>
      <c r="I983" t="n">
        <v>0</v>
      </c>
      <c r="J983" t="n">
        <v>0</v>
      </c>
      <c r="K983" t="n">
        <v>0</v>
      </c>
      <c r="L983" t="n">
        <v>0</v>
      </c>
      <c r="M983" t="n">
        <v>0</v>
      </c>
      <c r="N983" t="n">
        <v>0</v>
      </c>
      <c r="O983" t="n">
        <v>0</v>
      </c>
      <c r="P983" t="n">
        <v>0</v>
      </c>
      <c r="Q983" t="n">
        <v>0</v>
      </c>
      <c r="R983" s="2" t="inlineStr"/>
    </row>
    <row r="984" ht="15" customHeight="1">
      <c r="A984" t="inlineStr">
        <is>
          <t>A 61923-2024</t>
        </is>
      </c>
      <c r="B984" s="1" t="n">
        <v>45653.44836805556</v>
      </c>
      <c r="C984" s="1" t="n">
        <v>46049</v>
      </c>
      <c r="D984" t="inlineStr">
        <is>
          <t>JÄMTLANDS LÄN</t>
        </is>
      </c>
      <c r="E984" t="inlineStr">
        <is>
          <t>RAGUNDA</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50503-2024</t>
        </is>
      </c>
      <c r="B985" s="1" t="n">
        <v>45601.5315625</v>
      </c>
      <c r="C985" s="1" t="n">
        <v>46049</v>
      </c>
      <c r="D985" t="inlineStr">
        <is>
          <t>JÄMTLANDS LÄN</t>
        </is>
      </c>
      <c r="E985" t="inlineStr">
        <is>
          <t>RAGUNDA</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3065-2026</t>
        </is>
      </c>
      <c r="B986" s="1" t="n">
        <v>46040.47866898148</v>
      </c>
      <c r="C986" s="1" t="n">
        <v>46049</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59556-2024</t>
        </is>
      </c>
      <c r="B987" s="1" t="n">
        <v>45638.63600694444</v>
      </c>
      <c r="C987" s="1" t="n">
        <v>46049</v>
      </c>
      <c r="D987" t="inlineStr">
        <is>
          <t>JÄMTLANDS LÄN</t>
        </is>
      </c>
      <c r="E987" t="inlineStr">
        <is>
          <t>RAGUNDA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13302-2022</t>
        </is>
      </c>
      <c r="B988" s="1" t="n">
        <v>44644</v>
      </c>
      <c r="C988" s="1" t="n">
        <v>46049</v>
      </c>
      <c r="D988" t="inlineStr">
        <is>
          <t>JÄMTLANDS LÄN</t>
        </is>
      </c>
      <c r="E988" t="inlineStr">
        <is>
          <t>RAGUNDA</t>
        </is>
      </c>
      <c r="F988" t="inlineStr">
        <is>
          <t>SCA</t>
        </is>
      </c>
      <c r="G988" t="n">
        <v>35.6</v>
      </c>
      <c r="H988" t="n">
        <v>0</v>
      </c>
      <c r="I988" t="n">
        <v>0</v>
      </c>
      <c r="J988" t="n">
        <v>0</v>
      </c>
      <c r="K988" t="n">
        <v>0</v>
      </c>
      <c r="L988" t="n">
        <v>0</v>
      </c>
      <c r="M988" t="n">
        <v>0</v>
      </c>
      <c r="N988" t="n">
        <v>0</v>
      </c>
      <c r="O988" t="n">
        <v>0</v>
      </c>
      <c r="P988" t="n">
        <v>0</v>
      </c>
      <c r="Q988" t="n">
        <v>0</v>
      </c>
      <c r="R988" s="2" t="inlineStr"/>
    </row>
    <row r="989" ht="15" customHeight="1">
      <c r="A989" t="inlineStr">
        <is>
          <t>A 18225-2024</t>
        </is>
      </c>
      <c r="B989" s="1" t="n">
        <v>45420</v>
      </c>
      <c r="C989" s="1" t="n">
        <v>46049</v>
      </c>
      <c r="D989" t="inlineStr">
        <is>
          <t>JÄMTLANDS LÄN</t>
        </is>
      </c>
      <c r="E989" t="inlineStr">
        <is>
          <t>RAGUNDA</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3561-2026</t>
        </is>
      </c>
      <c r="B990" s="1" t="n">
        <v>46042.67142361111</v>
      </c>
      <c r="C990" s="1" t="n">
        <v>46049</v>
      </c>
      <c r="D990" t="inlineStr">
        <is>
          <t>JÄMTLANDS LÄN</t>
        </is>
      </c>
      <c r="E990" t="inlineStr">
        <is>
          <t>RAGUNDA</t>
        </is>
      </c>
      <c r="G990" t="n">
        <v>3.8</v>
      </c>
      <c r="H990" t="n">
        <v>0</v>
      </c>
      <c r="I990" t="n">
        <v>0</v>
      </c>
      <c r="J990" t="n">
        <v>0</v>
      </c>
      <c r="K990" t="n">
        <v>0</v>
      </c>
      <c r="L990" t="n">
        <v>0</v>
      </c>
      <c r="M990" t="n">
        <v>0</v>
      </c>
      <c r="N990" t="n">
        <v>0</v>
      </c>
      <c r="O990" t="n">
        <v>0</v>
      </c>
      <c r="P990" t="n">
        <v>0</v>
      </c>
      <c r="Q990" t="n">
        <v>0</v>
      </c>
      <c r="R990" s="2" t="inlineStr"/>
    </row>
    <row r="991" ht="15" customHeight="1">
      <c r="A991" t="inlineStr">
        <is>
          <t>A 61598-2024</t>
        </is>
      </c>
      <c r="B991" s="1" t="n">
        <v>45646.63605324074</v>
      </c>
      <c r="C991" s="1" t="n">
        <v>46049</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60760-2025</t>
        </is>
      </c>
      <c r="B992" s="1" t="n">
        <v>45999.38597222222</v>
      </c>
      <c r="C992" s="1" t="n">
        <v>46049</v>
      </c>
      <c r="D992" t="inlineStr">
        <is>
          <t>JÄMTLANDS LÄN</t>
        </is>
      </c>
      <c r="E992" t="inlineStr">
        <is>
          <t>RAGUNDA</t>
        </is>
      </c>
      <c r="F992" t="inlineStr">
        <is>
          <t>SCA</t>
        </is>
      </c>
      <c r="G992" t="n">
        <v>5.6</v>
      </c>
      <c r="H992" t="n">
        <v>0</v>
      </c>
      <c r="I992" t="n">
        <v>0</v>
      </c>
      <c r="J992" t="n">
        <v>0</v>
      </c>
      <c r="K992" t="n">
        <v>0</v>
      </c>
      <c r="L992" t="n">
        <v>0</v>
      </c>
      <c r="M992" t="n">
        <v>0</v>
      </c>
      <c r="N992" t="n">
        <v>0</v>
      </c>
      <c r="O992" t="n">
        <v>0</v>
      </c>
      <c r="P992" t="n">
        <v>0</v>
      </c>
      <c r="Q992" t="n">
        <v>0</v>
      </c>
      <c r="R992" s="2" t="inlineStr"/>
    </row>
    <row r="993" ht="15" customHeight="1">
      <c r="A993" t="inlineStr">
        <is>
          <t>A 7280-2024</t>
        </is>
      </c>
      <c r="B993" s="1" t="n">
        <v>45344</v>
      </c>
      <c r="C993" s="1" t="n">
        <v>46049</v>
      </c>
      <c r="D993" t="inlineStr">
        <is>
          <t>JÄMTLANDS LÄN</t>
        </is>
      </c>
      <c r="E993" t="inlineStr">
        <is>
          <t>RAGUNDA</t>
        </is>
      </c>
      <c r="G993" t="n">
        <v>1.6</v>
      </c>
      <c r="H993" t="n">
        <v>0</v>
      </c>
      <c r="I993" t="n">
        <v>0</v>
      </c>
      <c r="J993" t="n">
        <v>0</v>
      </c>
      <c r="K993" t="n">
        <v>0</v>
      </c>
      <c r="L993" t="n">
        <v>0</v>
      </c>
      <c r="M993" t="n">
        <v>0</v>
      </c>
      <c r="N993" t="n">
        <v>0</v>
      </c>
      <c r="O993" t="n">
        <v>0</v>
      </c>
      <c r="P993" t="n">
        <v>0</v>
      </c>
      <c r="Q993" t="n">
        <v>0</v>
      </c>
      <c r="R993" s="2" t="inlineStr"/>
    </row>
    <row r="994" ht="15" customHeight="1">
      <c r="A994" t="inlineStr">
        <is>
          <t>A 21662-2023</t>
        </is>
      </c>
      <c r="B994" s="1" t="n">
        <v>45063</v>
      </c>
      <c r="C994" s="1" t="n">
        <v>46049</v>
      </c>
      <c r="D994" t="inlineStr">
        <is>
          <t>JÄMTLANDS LÄN</t>
        </is>
      </c>
      <c r="E994" t="inlineStr">
        <is>
          <t>RAGUNDA</t>
        </is>
      </c>
      <c r="G994" t="n">
        <v>1.8</v>
      </c>
      <c r="H994" t="n">
        <v>0</v>
      </c>
      <c r="I994" t="n">
        <v>0</v>
      </c>
      <c r="J994" t="n">
        <v>0</v>
      </c>
      <c r="K994" t="n">
        <v>0</v>
      </c>
      <c r="L994" t="n">
        <v>0</v>
      </c>
      <c r="M994" t="n">
        <v>0</v>
      </c>
      <c r="N994" t="n">
        <v>0</v>
      </c>
      <c r="O994" t="n">
        <v>0</v>
      </c>
      <c r="P994" t="n">
        <v>0</v>
      </c>
      <c r="Q994" t="n">
        <v>0</v>
      </c>
      <c r="R994" s="2" t="inlineStr"/>
    </row>
    <row r="995" ht="15" customHeight="1">
      <c r="A995" t="inlineStr">
        <is>
          <t>A 61107-2024</t>
        </is>
      </c>
      <c r="B995" s="1" t="n">
        <v>45645.55665509259</v>
      </c>
      <c r="C995" s="1" t="n">
        <v>46049</v>
      </c>
      <c r="D995" t="inlineStr">
        <is>
          <t>JÄMTLANDS LÄN</t>
        </is>
      </c>
      <c r="E995" t="inlineStr">
        <is>
          <t>RAGUNDA</t>
        </is>
      </c>
      <c r="G995" t="n">
        <v>3.2</v>
      </c>
      <c r="H995" t="n">
        <v>0</v>
      </c>
      <c r="I995" t="n">
        <v>0</v>
      </c>
      <c r="J995" t="n">
        <v>0</v>
      </c>
      <c r="K995" t="n">
        <v>0</v>
      </c>
      <c r="L995" t="n">
        <v>0</v>
      </c>
      <c r="M995" t="n">
        <v>0</v>
      </c>
      <c r="N995" t="n">
        <v>0</v>
      </c>
      <c r="O995" t="n">
        <v>0</v>
      </c>
      <c r="P995" t="n">
        <v>0</v>
      </c>
      <c r="Q995" t="n">
        <v>0</v>
      </c>
      <c r="R995" s="2" t="inlineStr"/>
    </row>
    <row r="996" ht="15" customHeight="1">
      <c r="A996" t="inlineStr">
        <is>
          <t>A 5313-2025</t>
        </is>
      </c>
      <c r="B996" s="1" t="n">
        <v>45692.51069444444</v>
      </c>
      <c r="C996" s="1" t="n">
        <v>46049</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5357-2025</t>
        </is>
      </c>
      <c r="B997" s="1" t="n">
        <v>45692.57326388889</v>
      </c>
      <c r="C997" s="1" t="n">
        <v>46049</v>
      </c>
      <c r="D997" t="inlineStr">
        <is>
          <t>JÄMTLANDS LÄN</t>
        </is>
      </c>
      <c r="E997" t="inlineStr">
        <is>
          <t>RAGUNDA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4046-2026</t>
        </is>
      </c>
      <c r="B998" s="1" t="n">
        <v>46044.46921296296</v>
      </c>
      <c r="C998" s="1" t="n">
        <v>46049</v>
      </c>
      <c r="D998" t="inlineStr">
        <is>
          <t>JÄMTLANDS LÄN</t>
        </is>
      </c>
      <c r="E998" t="inlineStr">
        <is>
          <t>RAGUNDA</t>
        </is>
      </c>
      <c r="G998" t="n">
        <v>5.3</v>
      </c>
      <c r="H998" t="n">
        <v>0</v>
      </c>
      <c r="I998" t="n">
        <v>0</v>
      </c>
      <c r="J998" t="n">
        <v>0</v>
      </c>
      <c r="K998" t="n">
        <v>0</v>
      </c>
      <c r="L998" t="n">
        <v>0</v>
      </c>
      <c r="M998" t="n">
        <v>0</v>
      </c>
      <c r="N998" t="n">
        <v>0</v>
      </c>
      <c r="O998" t="n">
        <v>0</v>
      </c>
      <c r="P998" t="n">
        <v>0</v>
      </c>
      <c r="Q998" t="n">
        <v>0</v>
      </c>
      <c r="R998" s="2" t="inlineStr"/>
    </row>
    <row r="999" ht="15" customHeight="1">
      <c r="A999" t="inlineStr">
        <is>
          <t>A 61697-2025</t>
        </is>
      </c>
      <c r="B999" s="1" t="n">
        <v>46002</v>
      </c>
      <c r="C999" s="1" t="n">
        <v>46049</v>
      </c>
      <c r="D999" t="inlineStr">
        <is>
          <t>JÄMTLANDS LÄN</t>
        </is>
      </c>
      <c r="E999" t="inlineStr">
        <is>
          <t>RAGUNDA</t>
        </is>
      </c>
      <c r="G999" t="n">
        <v>1.3</v>
      </c>
      <c r="H999" t="n">
        <v>0</v>
      </c>
      <c r="I999" t="n">
        <v>0</v>
      </c>
      <c r="J999" t="n">
        <v>0</v>
      </c>
      <c r="K999" t="n">
        <v>0</v>
      </c>
      <c r="L999" t="n">
        <v>0</v>
      </c>
      <c r="M999" t="n">
        <v>0</v>
      </c>
      <c r="N999" t="n">
        <v>0</v>
      </c>
      <c r="O999" t="n">
        <v>0</v>
      </c>
      <c r="P999" t="n">
        <v>0</v>
      </c>
      <c r="Q999" t="n">
        <v>0</v>
      </c>
      <c r="R999" s="2" t="inlineStr"/>
    </row>
    <row r="1000" ht="15" customHeight="1">
      <c r="A1000" t="inlineStr">
        <is>
          <t>A 4047-2026</t>
        </is>
      </c>
      <c r="B1000" s="1" t="n">
        <v>46044.46944444445</v>
      </c>
      <c r="C1000" s="1" t="n">
        <v>46049</v>
      </c>
      <c r="D1000" t="inlineStr">
        <is>
          <t>JÄMTLANDS LÄN</t>
        </is>
      </c>
      <c r="E1000" t="inlineStr">
        <is>
          <t>RAGUNDA</t>
        </is>
      </c>
      <c r="F1000" t="inlineStr">
        <is>
          <t>SCA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4073-2026</t>
        </is>
      </c>
      <c r="B1001" s="1" t="n">
        <v>46044.53168981482</v>
      </c>
      <c r="C1001" s="1" t="n">
        <v>46049</v>
      </c>
      <c r="D1001" t="inlineStr">
        <is>
          <t>JÄMTLANDS LÄN</t>
        </is>
      </c>
      <c r="E1001" t="inlineStr">
        <is>
          <t>RAGUNDA</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44494-2024</t>
        </is>
      </c>
      <c r="B1002" s="1" t="n">
        <v>45574.39081018518</v>
      </c>
      <c r="C1002" s="1" t="n">
        <v>46049</v>
      </c>
      <c r="D1002" t="inlineStr">
        <is>
          <t>JÄMTLANDS LÄN</t>
        </is>
      </c>
      <c r="E1002" t="inlineStr">
        <is>
          <t>RAGUNDA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12983-2025</t>
        </is>
      </c>
      <c r="B1003" s="1" t="n">
        <v>45734.4633912037</v>
      </c>
      <c r="C1003" s="1" t="n">
        <v>46049</v>
      </c>
      <c r="D1003" t="inlineStr">
        <is>
          <t>JÄMTLANDS LÄN</t>
        </is>
      </c>
      <c r="E1003" t="inlineStr">
        <is>
          <t>RAGUNDA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39626-2024</t>
        </is>
      </c>
      <c r="B1004" s="1" t="n">
        <v>45552.44096064815</v>
      </c>
      <c r="C1004" s="1" t="n">
        <v>46049</v>
      </c>
      <c r="D1004" t="inlineStr">
        <is>
          <t>JÄMTLANDS LÄN</t>
        </is>
      </c>
      <c r="E1004" t="inlineStr">
        <is>
          <t>RAGUNDA</t>
        </is>
      </c>
      <c r="G1004" t="n">
        <v>23.5</v>
      </c>
      <c r="H1004" t="n">
        <v>0</v>
      </c>
      <c r="I1004" t="n">
        <v>0</v>
      </c>
      <c r="J1004" t="n">
        <v>0</v>
      </c>
      <c r="K1004" t="n">
        <v>0</v>
      </c>
      <c r="L1004" t="n">
        <v>0</v>
      </c>
      <c r="M1004" t="n">
        <v>0</v>
      </c>
      <c r="N1004" t="n">
        <v>0</v>
      </c>
      <c r="O1004" t="n">
        <v>0</v>
      </c>
      <c r="P1004" t="n">
        <v>0</v>
      </c>
      <c r="Q1004" t="n">
        <v>0</v>
      </c>
      <c r="R1004" s="2" t="inlineStr"/>
    </row>
    <row r="1005" ht="15" customHeight="1">
      <c r="A1005" t="inlineStr">
        <is>
          <t>A 3841-2026</t>
        </is>
      </c>
      <c r="B1005" s="1" t="n">
        <v>46043</v>
      </c>
      <c r="C1005" s="1" t="n">
        <v>46049</v>
      </c>
      <c r="D1005" t="inlineStr">
        <is>
          <t>JÄMTLANDS LÄN</t>
        </is>
      </c>
      <c r="E1005" t="inlineStr">
        <is>
          <t>RAGUNDA</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45631-2024</t>
        </is>
      </c>
      <c r="B1006" s="1" t="n">
        <v>45579.47052083333</v>
      </c>
      <c r="C1006" s="1" t="n">
        <v>46049</v>
      </c>
      <c r="D1006" t="inlineStr">
        <is>
          <t>JÄMTLANDS LÄN</t>
        </is>
      </c>
      <c r="E1006" t="inlineStr">
        <is>
          <t>RAGUNDA</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61509-2025</t>
        </is>
      </c>
      <c r="B1007" s="1" t="n">
        <v>46001.68189814815</v>
      </c>
      <c r="C1007" s="1" t="n">
        <v>46049</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62135-2024</t>
        </is>
      </c>
      <c r="B1008" s="1" t="n">
        <v>45656.64223379629</v>
      </c>
      <c r="C1008" s="1" t="n">
        <v>46049</v>
      </c>
      <c r="D1008" t="inlineStr">
        <is>
          <t>JÄMTLANDS LÄN</t>
        </is>
      </c>
      <c r="E1008" t="inlineStr">
        <is>
          <t>RAGUNDA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8802-2022</t>
        </is>
      </c>
      <c r="B1009" s="1" t="n">
        <v>44614</v>
      </c>
      <c r="C1009" s="1" t="n">
        <v>46049</v>
      </c>
      <c r="D1009" t="inlineStr">
        <is>
          <t>JÄMTLANDS LÄN</t>
        </is>
      </c>
      <c r="E1009" t="inlineStr">
        <is>
          <t>RAGUNDA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9823-2025</t>
        </is>
      </c>
      <c r="B1010" s="1" t="n">
        <v>45716</v>
      </c>
      <c r="C1010" s="1" t="n">
        <v>46049</v>
      </c>
      <c r="D1010" t="inlineStr">
        <is>
          <t>JÄMTLANDS LÄN</t>
        </is>
      </c>
      <c r="E1010" t="inlineStr">
        <is>
          <t>RAGUNDA</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46049</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3813-2026</t>
        </is>
      </c>
      <c r="B1012" s="1" t="n">
        <v>46043.58447916667</v>
      </c>
      <c r="C1012" s="1" t="n">
        <v>46049</v>
      </c>
      <c r="D1012" t="inlineStr">
        <is>
          <t>JÄMTLANDS LÄN</t>
        </is>
      </c>
      <c r="E1012" t="inlineStr">
        <is>
          <t>RAGUNDA</t>
        </is>
      </c>
      <c r="F1012" t="inlineStr">
        <is>
          <t>SCA</t>
        </is>
      </c>
      <c r="G1012" t="n">
        <v>23.2</v>
      </c>
      <c r="H1012" t="n">
        <v>0</v>
      </c>
      <c r="I1012" t="n">
        <v>0</v>
      </c>
      <c r="J1012" t="n">
        <v>0</v>
      </c>
      <c r="K1012" t="n">
        <v>0</v>
      </c>
      <c r="L1012" t="n">
        <v>0</v>
      </c>
      <c r="M1012" t="n">
        <v>0</v>
      </c>
      <c r="N1012" t="n">
        <v>0</v>
      </c>
      <c r="O1012" t="n">
        <v>0</v>
      </c>
      <c r="P1012" t="n">
        <v>0</v>
      </c>
      <c r="Q1012" t="n">
        <v>0</v>
      </c>
      <c r="R1012" s="2" t="inlineStr"/>
    </row>
    <row r="1013" ht="15" customHeight="1">
      <c r="A1013" t="inlineStr">
        <is>
          <t>A 4099-2026</t>
        </is>
      </c>
      <c r="B1013" s="1" t="n">
        <v>46044.57357638889</v>
      </c>
      <c r="C1013" s="1" t="n">
        <v>46049</v>
      </c>
      <c r="D1013" t="inlineStr">
        <is>
          <t>JÄMTLANDS LÄN</t>
        </is>
      </c>
      <c r="E1013" t="inlineStr">
        <is>
          <t>RAGUNDA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20987-2023</t>
        </is>
      </c>
      <c r="B1014" s="1" t="n">
        <v>45056</v>
      </c>
      <c r="C1014" s="1" t="n">
        <v>46049</v>
      </c>
      <c r="D1014" t="inlineStr">
        <is>
          <t>JÄMTLANDS LÄN</t>
        </is>
      </c>
      <c r="E1014" t="inlineStr">
        <is>
          <t>RAGUNDA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20994-2023</t>
        </is>
      </c>
      <c r="B1015" s="1" t="n">
        <v>45056</v>
      </c>
      <c r="C1015" s="1" t="n">
        <v>46049</v>
      </c>
      <c r="D1015" t="inlineStr">
        <is>
          <t>JÄMTLANDS LÄN</t>
        </is>
      </c>
      <c r="E1015" t="inlineStr">
        <is>
          <t>RAGUNDA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61755-2025</t>
        </is>
      </c>
      <c r="B1016" s="1" t="n">
        <v>46002</v>
      </c>
      <c r="C1016" s="1" t="n">
        <v>46049</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6490-2022</t>
        </is>
      </c>
      <c r="B1017" s="1" t="n">
        <v>44601</v>
      </c>
      <c r="C1017" s="1" t="n">
        <v>46049</v>
      </c>
      <c r="D1017" t="inlineStr">
        <is>
          <t>JÄMTLANDS LÄN</t>
        </is>
      </c>
      <c r="E1017" t="inlineStr">
        <is>
          <t>RAGUNDA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23287-2024</t>
        </is>
      </c>
      <c r="B1018" s="1" t="n">
        <v>45453.42041666667</v>
      </c>
      <c r="C1018" s="1" t="n">
        <v>46049</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53740-2024</t>
        </is>
      </c>
      <c r="B1019" s="1" t="n">
        <v>45615.47091435185</v>
      </c>
      <c r="C1019" s="1" t="n">
        <v>46049</v>
      </c>
      <c r="D1019" t="inlineStr">
        <is>
          <t>JÄMTLANDS LÄN</t>
        </is>
      </c>
      <c r="E1019" t="inlineStr">
        <is>
          <t>RAGUNDA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4142-2026</t>
        </is>
      </c>
      <c r="B1020" s="1" t="n">
        <v>46044.63607638889</v>
      </c>
      <c r="C1020" s="1" t="n">
        <v>46049</v>
      </c>
      <c r="D1020" t="inlineStr">
        <is>
          <t>JÄMTLANDS LÄN</t>
        </is>
      </c>
      <c r="E1020" t="inlineStr">
        <is>
          <t>RAGUNDA</t>
        </is>
      </c>
      <c r="F1020" t="inlineStr">
        <is>
          <t>SCA</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1325-2025</t>
        </is>
      </c>
      <c r="B1021" s="1" t="n">
        <v>45667.57342592593</v>
      </c>
      <c r="C1021" s="1" t="n">
        <v>46049</v>
      </c>
      <c r="D1021" t="inlineStr">
        <is>
          <t>JÄMTLANDS LÄN</t>
        </is>
      </c>
      <c r="E1021" t="inlineStr">
        <is>
          <t>RAGUNDA</t>
        </is>
      </c>
      <c r="F1021" t="inlineStr">
        <is>
          <t>SCA</t>
        </is>
      </c>
      <c r="G1021" t="n">
        <v>20.2</v>
      </c>
      <c r="H1021" t="n">
        <v>0</v>
      </c>
      <c r="I1021" t="n">
        <v>0</v>
      </c>
      <c r="J1021" t="n">
        <v>0</v>
      </c>
      <c r="K1021" t="n">
        <v>0</v>
      </c>
      <c r="L1021" t="n">
        <v>0</v>
      </c>
      <c r="M1021" t="n">
        <v>0</v>
      </c>
      <c r="N1021" t="n">
        <v>0</v>
      </c>
      <c r="O1021" t="n">
        <v>0</v>
      </c>
      <c r="P1021" t="n">
        <v>0</v>
      </c>
      <c r="Q1021" t="n">
        <v>0</v>
      </c>
      <c r="R1021" s="2" t="inlineStr"/>
    </row>
    <row r="1022" ht="15" customHeight="1">
      <c r="A1022" t="inlineStr">
        <is>
          <t>A 1326-2025</t>
        </is>
      </c>
      <c r="B1022" s="1" t="n">
        <v>45667.57347222222</v>
      </c>
      <c r="C1022" s="1" t="n">
        <v>46049</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14696-2022</t>
        </is>
      </c>
      <c r="B1023" s="1" t="n">
        <v>44655</v>
      </c>
      <c r="C1023" s="1" t="n">
        <v>46049</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4616-2026</t>
        </is>
      </c>
      <c r="B1024" s="1" t="n">
        <v>46048.37070601852</v>
      </c>
      <c r="C1024" s="1" t="n">
        <v>46049</v>
      </c>
      <c r="D1024" t="inlineStr">
        <is>
          <t>JÄMTLANDS LÄN</t>
        </is>
      </c>
      <c r="E1024" t="inlineStr">
        <is>
          <t>RAGUNDA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45952-2023</t>
        </is>
      </c>
      <c r="B1025" s="1" t="n">
        <v>45195</v>
      </c>
      <c r="C1025" s="1" t="n">
        <v>46049</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45954-2023</t>
        </is>
      </c>
      <c r="B1026" s="1" t="n">
        <v>45195.94679398148</v>
      </c>
      <c r="C1026" s="1" t="n">
        <v>46049</v>
      </c>
      <c r="D1026" t="inlineStr">
        <is>
          <t>JÄMTLANDS LÄN</t>
        </is>
      </c>
      <c r="E1026" t="inlineStr">
        <is>
          <t>RAGUNDA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45955-2023</t>
        </is>
      </c>
      <c r="B1027" s="1" t="n">
        <v>45195.94685185186</v>
      </c>
      <c r="C1027" s="1" t="n">
        <v>46049</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8787-2022</t>
        </is>
      </c>
      <c r="B1028" s="1" t="n">
        <v>44614</v>
      </c>
      <c r="C1028" s="1" t="n">
        <v>46049</v>
      </c>
      <c r="D1028" t="inlineStr">
        <is>
          <t>JÄMTLANDS LÄN</t>
        </is>
      </c>
      <c r="E1028" t="inlineStr">
        <is>
          <t>RAGUNDA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5308-2025</t>
        </is>
      </c>
      <c r="B1029" s="1" t="n">
        <v>45692.49008101852</v>
      </c>
      <c r="C1029" s="1" t="n">
        <v>46049</v>
      </c>
      <c r="D1029" t="inlineStr">
        <is>
          <t>JÄMTLANDS LÄN</t>
        </is>
      </c>
      <c r="E1029" t="inlineStr">
        <is>
          <t>RAGUNDA</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45253-2023</t>
        </is>
      </c>
      <c r="B1030" s="1" t="n">
        <v>45187</v>
      </c>
      <c r="C1030" s="1" t="n">
        <v>46049</v>
      </c>
      <c r="D1030" t="inlineStr">
        <is>
          <t>JÄMTLANDS LÄN</t>
        </is>
      </c>
      <c r="E1030" t="inlineStr">
        <is>
          <t>RAGUNDA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4629-2026</t>
        </is>
      </c>
      <c r="B1031" s="1" t="n">
        <v>46048.38622685185</v>
      </c>
      <c r="C1031" s="1" t="n">
        <v>46049</v>
      </c>
      <c r="D1031" t="inlineStr">
        <is>
          <t>JÄMTLANDS LÄN</t>
        </is>
      </c>
      <c r="E1031" t="inlineStr">
        <is>
          <t>RAGUNDA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3104-2025</t>
        </is>
      </c>
      <c r="B1032" s="1" t="n">
        <v>45678.67761574074</v>
      </c>
      <c r="C1032" s="1" t="n">
        <v>46049</v>
      </c>
      <c r="D1032" t="inlineStr">
        <is>
          <t>JÄMTLANDS LÄN</t>
        </is>
      </c>
      <c r="E1032" t="inlineStr">
        <is>
          <t>RAGUNDA</t>
        </is>
      </c>
      <c r="F1032" t="inlineStr">
        <is>
          <t>SCA</t>
        </is>
      </c>
      <c r="G1032" t="n">
        <v>46.2</v>
      </c>
      <c r="H1032" t="n">
        <v>0</v>
      </c>
      <c r="I1032" t="n">
        <v>0</v>
      </c>
      <c r="J1032" t="n">
        <v>0</v>
      </c>
      <c r="K1032" t="n">
        <v>0</v>
      </c>
      <c r="L1032" t="n">
        <v>0</v>
      </c>
      <c r="M1032" t="n">
        <v>0</v>
      </c>
      <c r="N1032" t="n">
        <v>0</v>
      </c>
      <c r="O1032" t="n">
        <v>0</v>
      </c>
      <c r="P1032" t="n">
        <v>0</v>
      </c>
      <c r="Q1032" t="n">
        <v>0</v>
      </c>
      <c r="R1032" s="2" t="inlineStr"/>
    </row>
    <row r="1033" ht="15" customHeight="1">
      <c r="A1033" t="inlineStr">
        <is>
          <t>A 36046-2023</t>
        </is>
      </c>
      <c r="B1033" s="1" t="n">
        <v>45148</v>
      </c>
      <c r="C1033" s="1" t="n">
        <v>46049</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18193-2022</t>
        </is>
      </c>
      <c r="B1034" s="1" t="n">
        <v>44684.94032407407</v>
      </c>
      <c r="C1034" s="1" t="n">
        <v>46049</v>
      </c>
      <c r="D1034" t="inlineStr">
        <is>
          <t>JÄMTLANDS LÄN</t>
        </is>
      </c>
      <c r="E1034" t="inlineStr">
        <is>
          <t>RAGUNDA</t>
        </is>
      </c>
      <c r="F1034" t="inlineStr">
        <is>
          <t>SCA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34323-2023</t>
        </is>
      </c>
      <c r="B1035" s="1" t="n">
        <v>45138.94925925926</v>
      </c>
      <c r="C1035" s="1" t="n">
        <v>46049</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4627-2026</t>
        </is>
      </c>
      <c r="B1036" s="1" t="n">
        <v>46048.3860300926</v>
      </c>
      <c r="C1036" s="1" t="n">
        <v>46049</v>
      </c>
      <c r="D1036" t="inlineStr">
        <is>
          <t>JÄMTLANDS LÄN</t>
        </is>
      </c>
      <c r="E1036" t="inlineStr">
        <is>
          <t>RAGUNDA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58843-2024</t>
        </is>
      </c>
      <c r="B1037" s="1" t="n">
        <v>45636.38599537037</v>
      </c>
      <c r="C1037" s="1" t="n">
        <v>46049</v>
      </c>
      <c r="D1037" t="inlineStr">
        <is>
          <t>JÄMTLANDS LÄN</t>
        </is>
      </c>
      <c r="E1037" t="inlineStr">
        <is>
          <t>RAGUNDA</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45953-2023</t>
        </is>
      </c>
      <c r="B1038" s="1" t="n">
        <v>45195.94672453704</v>
      </c>
      <c r="C1038" s="1" t="n">
        <v>46049</v>
      </c>
      <c r="D1038" t="inlineStr">
        <is>
          <t>JÄMTLANDS LÄN</t>
        </is>
      </c>
      <c r="E1038" t="inlineStr">
        <is>
          <t>RAGUNDA</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4628-2026</t>
        </is>
      </c>
      <c r="B1039" s="1" t="n">
        <v>46048.3862037037</v>
      </c>
      <c r="C1039" s="1" t="n">
        <v>46049</v>
      </c>
      <c r="D1039" t="inlineStr">
        <is>
          <t>JÄMTLANDS LÄN</t>
        </is>
      </c>
      <c r="E1039" t="inlineStr">
        <is>
          <t>RAGUNDA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4839-2026</t>
        </is>
      </c>
      <c r="B1040" s="1" t="n">
        <v>46048.61520833334</v>
      </c>
      <c r="C1040" s="1" t="n">
        <v>46049</v>
      </c>
      <c r="D1040" t="inlineStr">
        <is>
          <t>JÄMTLANDS LÄN</t>
        </is>
      </c>
      <c r="E1040" t="inlineStr">
        <is>
          <t>RAGUNDA</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4841-2026</t>
        </is>
      </c>
      <c r="B1041" s="1" t="n">
        <v>46048.61550925926</v>
      </c>
      <c r="C1041" s="1" t="n">
        <v>46049</v>
      </c>
      <c r="D1041" t="inlineStr">
        <is>
          <t>JÄMTLANDS LÄN</t>
        </is>
      </c>
      <c r="E1041" t="inlineStr">
        <is>
          <t>RAGUNDA</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30824-2023</t>
        </is>
      </c>
      <c r="B1042" s="1" t="n">
        <v>45112.94303240741</v>
      </c>
      <c r="C1042" s="1" t="n">
        <v>46049</v>
      </c>
      <c r="D1042" t="inlineStr">
        <is>
          <t>JÄMTLANDS LÄN</t>
        </is>
      </c>
      <c r="E1042" t="inlineStr">
        <is>
          <t>RAGUNDA</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30825-2023</t>
        </is>
      </c>
      <c r="B1043" s="1" t="n">
        <v>45112.94310185185</v>
      </c>
      <c r="C1043" s="1" t="n">
        <v>46049</v>
      </c>
      <c r="D1043" t="inlineStr">
        <is>
          <t>JÄMTLANDS LÄN</t>
        </is>
      </c>
      <c r="E1043" t="inlineStr">
        <is>
          <t>RAGUNDA</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4237-2026</t>
        </is>
      </c>
      <c r="B1044" s="1" t="n">
        <v>46044.92743055556</v>
      </c>
      <c r="C1044" s="1" t="n">
        <v>46049</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31506-2024</t>
        </is>
      </c>
      <c r="B1045" s="1" t="n">
        <v>45505</v>
      </c>
      <c r="C1045" s="1" t="n">
        <v>46049</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55222-2024</t>
        </is>
      </c>
      <c r="B1046" s="1" t="n">
        <v>45621.57395833333</v>
      </c>
      <c r="C1046" s="1" t="n">
        <v>46049</v>
      </c>
      <c r="D1046" t="inlineStr">
        <is>
          <t>JÄMTLANDS LÄN</t>
        </is>
      </c>
      <c r="E1046" t="inlineStr">
        <is>
          <t>RAGUNDA</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44755-2024</t>
        </is>
      </c>
      <c r="B1047" s="1" t="n">
        <v>45574.61184027778</v>
      </c>
      <c r="C1047" s="1" t="n">
        <v>46049</v>
      </c>
      <c r="D1047" t="inlineStr">
        <is>
          <t>JÄMTLANDS LÄN</t>
        </is>
      </c>
      <c r="E1047" t="inlineStr">
        <is>
          <t>RAGUNDA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44766-2024</t>
        </is>
      </c>
      <c r="B1048" s="1" t="n">
        <v>45574.62297453704</v>
      </c>
      <c r="C1048" s="1" t="n">
        <v>46049</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44778-2024</t>
        </is>
      </c>
      <c r="B1049" s="1" t="n">
        <v>45574.63355324074</v>
      </c>
      <c r="C1049" s="1" t="n">
        <v>46049</v>
      </c>
      <c r="D1049" t="inlineStr">
        <is>
          <t>JÄMTLANDS LÄN</t>
        </is>
      </c>
      <c r="E1049" t="inlineStr">
        <is>
          <t>RAGUNDA</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8795-2022</t>
        </is>
      </c>
      <c r="B1050" s="1" t="n">
        <v>44614</v>
      </c>
      <c r="C1050" s="1" t="n">
        <v>46049</v>
      </c>
      <c r="D1050" t="inlineStr">
        <is>
          <t>JÄMTLANDS LÄN</t>
        </is>
      </c>
      <c r="E1050" t="inlineStr">
        <is>
          <t>RAGUNDA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14905-2022</t>
        </is>
      </c>
      <c r="B1051" s="1" t="n">
        <v>44656.94708333333</v>
      </c>
      <c r="C1051" s="1" t="n">
        <v>46049</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6257-2025</t>
        </is>
      </c>
      <c r="B1052" s="1" t="n">
        <v>45698.59409722222</v>
      </c>
      <c r="C1052" s="1" t="n">
        <v>46049</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42508-2023</t>
        </is>
      </c>
      <c r="B1053" s="1" t="n">
        <v>45180.95907407408</v>
      </c>
      <c r="C1053" s="1" t="n">
        <v>46049</v>
      </c>
      <c r="D1053" t="inlineStr">
        <is>
          <t>JÄMTLANDS LÄN</t>
        </is>
      </c>
      <c r="E1053" t="inlineStr">
        <is>
          <t>RAGUNDA</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59286-2023</t>
        </is>
      </c>
      <c r="B1054" s="1" t="n">
        <v>45253</v>
      </c>
      <c r="C1054" s="1" t="n">
        <v>46049</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7284-2025</t>
        </is>
      </c>
      <c r="B1055" s="1" t="n">
        <v>45702.63604166666</v>
      </c>
      <c r="C1055" s="1" t="n">
        <v>46049</v>
      </c>
      <c r="D1055" t="inlineStr">
        <is>
          <t>JÄMTLANDS LÄN</t>
        </is>
      </c>
      <c r="E1055" t="inlineStr">
        <is>
          <t>RAGUNDA</t>
        </is>
      </c>
      <c r="F1055" t="inlineStr">
        <is>
          <t>SCA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60012-2023</t>
        </is>
      </c>
      <c r="B1056" s="1" t="n">
        <v>45257</v>
      </c>
      <c r="C1056" s="1" t="n">
        <v>46049</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20221-2025</t>
        </is>
      </c>
      <c r="B1057" s="1" t="n">
        <v>45772.6565625</v>
      </c>
      <c r="C1057" s="1" t="n">
        <v>46049</v>
      </c>
      <c r="D1057" t="inlineStr">
        <is>
          <t>JÄMTLANDS LÄN</t>
        </is>
      </c>
      <c r="E1057" t="inlineStr">
        <is>
          <t>RAGUNDA</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35265-2023</t>
        </is>
      </c>
      <c r="B1058" s="1" t="n">
        <v>45145.95326388889</v>
      </c>
      <c r="C1058" s="1" t="n">
        <v>46049</v>
      </c>
      <c r="D1058" t="inlineStr">
        <is>
          <t>JÄMTLANDS LÄN</t>
        </is>
      </c>
      <c r="E1058" t="inlineStr">
        <is>
          <t>RAGUNDA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31435-2022</t>
        </is>
      </c>
      <c r="B1059" s="1" t="n">
        <v>44774</v>
      </c>
      <c r="C1059" s="1" t="n">
        <v>46049</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50211-2023</t>
        </is>
      </c>
      <c r="B1060" s="1" t="n">
        <v>45215.94657407407</v>
      </c>
      <c r="C1060" s="1" t="n">
        <v>46049</v>
      </c>
      <c r="D1060" t="inlineStr">
        <is>
          <t>JÄMTLANDS LÄN</t>
        </is>
      </c>
      <c r="E1060" t="inlineStr">
        <is>
          <t>RAGUNDA</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16529-2022</t>
        </is>
      </c>
      <c r="B1061" s="1" t="n">
        <v>44671</v>
      </c>
      <c r="C1061" s="1" t="n">
        <v>46049</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40269-2022</t>
        </is>
      </c>
      <c r="B1062" s="1" t="n">
        <v>44820</v>
      </c>
      <c r="C1062" s="1" t="n">
        <v>46049</v>
      </c>
      <c r="D1062" t="inlineStr">
        <is>
          <t>JÄMTLANDS LÄN</t>
        </is>
      </c>
      <c r="E1062" t="inlineStr">
        <is>
          <t>RAGUNDA</t>
        </is>
      </c>
      <c r="F1062" t="inlineStr">
        <is>
          <t>SCA</t>
        </is>
      </c>
      <c r="G1062" t="n">
        <v>77.8</v>
      </c>
      <c r="H1062" t="n">
        <v>0</v>
      </c>
      <c r="I1062" t="n">
        <v>0</v>
      </c>
      <c r="J1062" t="n">
        <v>0</v>
      </c>
      <c r="K1062" t="n">
        <v>0</v>
      </c>
      <c r="L1062" t="n">
        <v>0</v>
      </c>
      <c r="M1062" t="n">
        <v>0</v>
      </c>
      <c r="N1062" t="n">
        <v>0</v>
      </c>
      <c r="O1062" t="n">
        <v>0</v>
      </c>
      <c r="P1062" t="n">
        <v>0</v>
      </c>
      <c r="Q1062" t="n">
        <v>0</v>
      </c>
      <c r="R1062" s="2" t="inlineStr"/>
    </row>
    <row r="1063" ht="15" customHeight="1">
      <c r="A1063" t="inlineStr">
        <is>
          <t>A 44536-2022</t>
        </is>
      </c>
      <c r="B1063" s="1" t="n">
        <v>44839</v>
      </c>
      <c r="C1063" s="1" t="n">
        <v>46049</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36212-2023</t>
        </is>
      </c>
      <c r="B1064" s="1" t="n">
        <v>45149.95241898148</v>
      </c>
      <c r="C1064" s="1" t="n">
        <v>46049</v>
      </c>
      <c r="D1064" t="inlineStr">
        <is>
          <t>JÄMTLANDS LÄN</t>
        </is>
      </c>
      <c r="E1064" t="inlineStr">
        <is>
          <t>RAGUNDA</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53860-2023</t>
        </is>
      </c>
      <c r="B1065" s="1" t="n">
        <v>45224</v>
      </c>
      <c r="C1065" s="1" t="n">
        <v>46049</v>
      </c>
      <c r="D1065" t="inlineStr">
        <is>
          <t>JÄMTLANDS LÄN</t>
        </is>
      </c>
      <c r="E1065" t="inlineStr">
        <is>
          <t>RAGUNDA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54599-2023</t>
        </is>
      </c>
      <c r="B1066" s="1" t="n">
        <v>45233.92591435185</v>
      </c>
      <c r="C1066" s="1" t="n">
        <v>46049</v>
      </c>
      <c r="D1066" t="inlineStr">
        <is>
          <t>JÄMTLANDS LÄN</t>
        </is>
      </c>
      <c r="E1066" t="inlineStr">
        <is>
          <t>RAGUNDA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10610-2024</t>
        </is>
      </c>
      <c r="B1067" s="1" t="n">
        <v>45367.04693287037</v>
      </c>
      <c r="C1067" s="1" t="n">
        <v>46049</v>
      </c>
      <c r="D1067" t="inlineStr">
        <is>
          <t>JÄMTLANDS LÄN</t>
        </is>
      </c>
      <c r="E1067" t="inlineStr">
        <is>
          <t>RAGUNDA</t>
        </is>
      </c>
      <c r="F1067" t="inlineStr">
        <is>
          <t>SCA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8779-2025</t>
        </is>
      </c>
      <c r="B1068" s="1" t="n">
        <v>45712.61552083334</v>
      </c>
      <c r="C1068" s="1" t="n">
        <v>46049</v>
      </c>
      <c r="D1068" t="inlineStr">
        <is>
          <t>JÄMTLANDS LÄN</t>
        </is>
      </c>
      <c r="E1068" t="inlineStr">
        <is>
          <t>RAGUNDA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20574-2025</t>
        </is>
      </c>
      <c r="B1069" s="1" t="n">
        <v>45775.67747685185</v>
      </c>
      <c r="C1069" s="1" t="n">
        <v>46049</v>
      </c>
      <c r="D1069" t="inlineStr">
        <is>
          <t>JÄMTLANDS LÄN</t>
        </is>
      </c>
      <c r="E1069" t="inlineStr">
        <is>
          <t>RAGUNDA</t>
        </is>
      </c>
      <c r="F1069" t="inlineStr">
        <is>
          <t>SCA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16676-2022</t>
        </is>
      </c>
      <c r="B1070" s="1" t="n">
        <v>44672.94018518519</v>
      </c>
      <c r="C1070" s="1" t="n">
        <v>46049</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57078-2023</t>
        </is>
      </c>
      <c r="B1071" s="1" t="n">
        <v>45244.96774305555</v>
      </c>
      <c r="C1071" s="1" t="n">
        <v>46049</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12976-2025</t>
        </is>
      </c>
      <c r="B1072" s="1" t="n">
        <v>45734.45268518518</v>
      </c>
      <c r="C1072" s="1" t="n">
        <v>46049</v>
      </c>
      <c r="D1072" t="inlineStr">
        <is>
          <t>JÄMTLANDS LÄN</t>
        </is>
      </c>
      <c r="E1072" t="inlineStr">
        <is>
          <t>RAGUNDA</t>
        </is>
      </c>
      <c r="G1072" t="n">
        <v>24.2</v>
      </c>
      <c r="H1072" t="n">
        <v>0</v>
      </c>
      <c r="I1072" t="n">
        <v>0</v>
      </c>
      <c r="J1072" t="n">
        <v>0</v>
      </c>
      <c r="K1072" t="n">
        <v>0</v>
      </c>
      <c r="L1072" t="n">
        <v>0</v>
      </c>
      <c r="M1072" t="n">
        <v>0</v>
      </c>
      <c r="N1072" t="n">
        <v>0</v>
      </c>
      <c r="O1072" t="n">
        <v>0</v>
      </c>
      <c r="P1072" t="n">
        <v>0</v>
      </c>
      <c r="Q1072" t="n">
        <v>0</v>
      </c>
      <c r="R1072" s="2" t="inlineStr"/>
    </row>
    <row r="1073" ht="15" customHeight="1">
      <c r="A1073" t="inlineStr">
        <is>
          <t>A 56286-2023</t>
        </is>
      </c>
      <c r="B1073" s="1" t="n">
        <v>45241.95741898148</v>
      </c>
      <c r="C1073" s="1" t="n">
        <v>46049</v>
      </c>
      <c r="D1073" t="inlineStr">
        <is>
          <t>JÄMTLANDS LÄN</t>
        </is>
      </c>
      <c r="E1073" t="inlineStr">
        <is>
          <t>RAGUNDA</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56287-2023</t>
        </is>
      </c>
      <c r="B1074" s="1" t="n">
        <v>45241</v>
      </c>
      <c r="C1074" s="1" t="n">
        <v>46049</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59658-2023</t>
        </is>
      </c>
      <c r="B1075" s="1" t="n">
        <v>45254.96402777778</v>
      </c>
      <c r="C1075" s="1" t="n">
        <v>46049</v>
      </c>
      <c r="D1075" t="inlineStr">
        <is>
          <t>JÄMTLANDS LÄN</t>
        </is>
      </c>
      <c r="E1075" t="inlineStr">
        <is>
          <t>RAGUNDA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28081-2022</t>
        </is>
      </c>
      <c r="B1076" s="1" t="n">
        <v>44746</v>
      </c>
      <c r="C1076" s="1" t="n">
        <v>46049</v>
      </c>
      <c r="D1076" t="inlineStr">
        <is>
          <t>JÄMTLANDS LÄN</t>
        </is>
      </c>
      <c r="E1076" t="inlineStr">
        <is>
          <t>RAGUNDA</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37324-2022</t>
        </is>
      </c>
      <c r="B1077" s="1" t="n">
        <v>44806</v>
      </c>
      <c r="C1077" s="1" t="n">
        <v>46049</v>
      </c>
      <c r="D1077" t="inlineStr">
        <is>
          <t>JÄMTLANDS LÄN</t>
        </is>
      </c>
      <c r="E1077" t="inlineStr">
        <is>
          <t>RAGUNDA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62106-2023</t>
        </is>
      </c>
      <c r="B1078" s="1" t="n">
        <v>45266.95082175926</v>
      </c>
      <c r="C1078" s="1" t="n">
        <v>46049</v>
      </c>
      <c r="D1078" t="inlineStr">
        <is>
          <t>JÄMTLANDS LÄN</t>
        </is>
      </c>
      <c r="E1078" t="inlineStr">
        <is>
          <t>RAGUNDA</t>
        </is>
      </c>
      <c r="F1078" t="inlineStr">
        <is>
          <t>SCA</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4592-2024</t>
        </is>
      </c>
      <c r="B1079" s="1" t="n">
        <v>45327.94443287037</v>
      </c>
      <c r="C1079" s="1" t="n">
        <v>46049</v>
      </c>
      <c r="D1079" t="inlineStr">
        <is>
          <t>JÄMTLANDS LÄN</t>
        </is>
      </c>
      <c r="E1079" t="inlineStr">
        <is>
          <t>RAGUNDA</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18984-2023</t>
        </is>
      </c>
      <c r="B1080" s="1" t="n">
        <v>45044</v>
      </c>
      <c r="C1080" s="1" t="n">
        <v>46049</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8241-2024</t>
        </is>
      </c>
      <c r="B1081" s="1" t="n">
        <v>45351.98496527778</v>
      </c>
      <c r="C1081" s="1" t="n">
        <v>46049</v>
      </c>
      <c r="D1081" t="inlineStr">
        <is>
          <t>JÄMTLANDS LÄN</t>
        </is>
      </c>
      <c r="E1081" t="inlineStr">
        <is>
          <t>RAGUNDA</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14512-2025</t>
        </is>
      </c>
      <c r="B1082" s="1" t="n">
        <v>45741.63659722222</v>
      </c>
      <c r="C1082" s="1" t="n">
        <v>46049</v>
      </c>
      <c r="D1082" t="inlineStr">
        <is>
          <t>JÄMTLANDS LÄN</t>
        </is>
      </c>
      <c r="E1082" t="inlineStr">
        <is>
          <t>RAGUNDA</t>
        </is>
      </c>
      <c r="F1082" t="inlineStr">
        <is>
          <t>SCA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53019-2023</t>
        </is>
      </c>
      <c r="B1083" s="1" t="n">
        <v>45222</v>
      </c>
      <c r="C1083" s="1" t="n">
        <v>46049</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59996-2023</t>
        </is>
      </c>
      <c r="B1084" s="1" t="n">
        <v>45257.92826388889</v>
      </c>
      <c r="C1084" s="1" t="n">
        <v>46049</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1537-2024</t>
        </is>
      </c>
      <c r="B1085" s="1" t="n">
        <v>45306</v>
      </c>
      <c r="C1085" s="1" t="n">
        <v>46049</v>
      </c>
      <c r="D1085" t="inlineStr">
        <is>
          <t>JÄMTLANDS LÄN</t>
        </is>
      </c>
      <c r="E1085" t="inlineStr">
        <is>
          <t>RAGUNDA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29257-2024</t>
        </is>
      </c>
      <c r="B1086" s="1" t="n">
        <v>45482.94815972223</v>
      </c>
      <c r="C1086" s="1" t="n">
        <v>46049</v>
      </c>
      <c r="D1086" t="inlineStr">
        <is>
          <t>JÄMTLANDS LÄN</t>
        </is>
      </c>
      <c r="E1086" t="inlineStr">
        <is>
          <t>RAGUNDA</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55487-2023</t>
        </is>
      </c>
      <c r="B1087" s="1" t="n">
        <v>45238</v>
      </c>
      <c r="C1087" s="1" t="n">
        <v>46049</v>
      </c>
      <c r="D1087" t="inlineStr">
        <is>
          <t>JÄMTLANDS LÄN</t>
        </is>
      </c>
      <c r="E1087" t="inlineStr">
        <is>
          <t>RAGUNDA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20770-2024</t>
        </is>
      </c>
      <c r="B1088" s="1" t="n">
        <v>45436.94613425926</v>
      </c>
      <c r="C1088" s="1" t="n">
        <v>46049</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19383-2025</t>
        </is>
      </c>
      <c r="B1089" s="1" t="n">
        <v>45769.65688657408</v>
      </c>
      <c r="C1089" s="1" t="n">
        <v>46049</v>
      </c>
      <c r="D1089" t="inlineStr">
        <is>
          <t>JÄMTLANDS LÄN</t>
        </is>
      </c>
      <c r="E1089" t="inlineStr">
        <is>
          <t>RAGUNDA</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12783-2023</t>
        </is>
      </c>
      <c r="B1090" s="1" t="n">
        <v>45000</v>
      </c>
      <c r="C1090" s="1" t="n">
        <v>46049</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35153-2024</t>
        </is>
      </c>
      <c r="B1091" s="1" t="n">
        <v>45530</v>
      </c>
      <c r="C1091" s="1" t="n">
        <v>46049</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61197-2023</t>
        </is>
      </c>
      <c r="B1092" s="1" t="n">
        <v>45260</v>
      </c>
      <c r="C1092" s="1" t="n">
        <v>46049</v>
      </c>
      <c r="D1092" t="inlineStr">
        <is>
          <t>JÄMTLANDS LÄN</t>
        </is>
      </c>
      <c r="E1092" t="inlineStr">
        <is>
          <t>RAGUNDA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31135-2023</t>
        </is>
      </c>
      <c r="B1093" s="1" t="n">
        <v>45103</v>
      </c>
      <c r="C1093" s="1" t="n">
        <v>46049</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13767-2022</t>
        </is>
      </c>
      <c r="B1094" s="1" t="n">
        <v>44649.47048611111</v>
      </c>
      <c r="C1094" s="1" t="n">
        <v>46049</v>
      </c>
      <c r="D1094" t="inlineStr">
        <is>
          <t>JÄMTLANDS LÄN</t>
        </is>
      </c>
      <c r="E1094" t="inlineStr">
        <is>
          <t>RAGUNDA</t>
        </is>
      </c>
      <c r="F1094" t="inlineStr">
        <is>
          <t>Kommuner</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22569-2023</t>
        </is>
      </c>
      <c r="B1095" s="1" t="n">
        <v>45069</v>
      </c>
      <c r="C1095" s="1" t="n">
        <v>46049</v>
      </c>
      <c r="D1095" t="inlineStr">
        <is>
          <t>JÄMTLANDS LÄN</t>
        </is>
      </c>
      <c r="E1095" t="inlineStr">
        <is>
          <t>RAGUNDA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4212-2024</t>
        </is>
      </c>
      <c r="B1096" s="1" t="n">
        <v>45324</v>
      </c>
      <c r="C1096" s="1" t="n">
        <v>46049</v>
      </c>
      <c r="D1096" t="inlineStr">
        <is>
          <t>JÄMTLANDS LÄN</t>
        </is>
      </c>
      <c r="E1096" t="inlineStr">
        <is>
          <t>RAGUNDA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43405-2023</t>
        </is>
      </c>
      <c r="B1097" s="1" t="n">
        <v>45183.95563657407</v>
      </c>
      <c r="C1097" s="1" t="n">
        <v>46049</v>
      </c>
      <c r="D1097" t="inlineStr">
        <is>
          <t>JÄMTLANDS LÄN</t>
        </is>
      </c>
      <c r="E1097" t="inlineStr">
        <is>
          <t>RAGUNDA</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56984-2022</t>
        </is>
      </c>
      <c r="B1098" s="1" t="n">
        <v>44894.79018518519</v>
      </c>
      <c r="C1098" s="1" t="n">
        <v>46049</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5958-2023</t>
        </is>
      </c>
      <c r="B1099" s="1" t="n">
        <v>44963</v>
      </c>
      <c r="C1099" s="1" t="n">
        <v>46049</v>
      </c>
      <c r="D1099" t="inlineStr">
        <is>
          <t>JÄMTLANDS LÄN</t>
        </is>
      </c>
      <c r="E1099" t="inlineStr">
        <is>
          <t>RAGUNDA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50521-2024</t>
        </is>
      </c>
      <c r="B1100" s="1" t="n">
        <v>45601.55331018518</v>
      </c>
      <c r="C1100" s="1" t="n">
        <v>46049</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29920-2024</t>
        </is>
      </c>
      <c r="B1101" s="1" t="n">
        <v>45487.92856481481</v>
      </c>
      <c r="C1101" s="1" t="n">
        <v>46049</v>
      </c>
      <c r="D1101" t="inlineStr">
        <is>
          <t>JÄMTLANDS LÄN</t>
        </is>
      </c>
      <c r="E1101" t="inlineStr">
        <is>
          <t>RAGUNDA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62011-2022</t>
        </is>
      </c>
      <c r="B1102" s="1" t="n">
        <v>44914</v>
      </c>
      <c r="C1102" s="1" t="n">
        <v>46049</v>
      </c>
      <c r="D1102" t="inlineStr">
        <is>
          <t>JÄMTLANDS LÄN</t>
        </is>
      </c>
      <c r="E1102" t="inlineStr">
        <is>
          <t>RAGUNDA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22311-2024</t>
        </is>
      </c>
      <c r="B1103" s="1" t="n">
        <v>45446.57052083333</v>
      </c>
      <c r="C1103" s="1" t="n">
        <v>46049</v>
      </c>
      <c r="D1103" t="inlineStr">
        <is>
          <t>JÄMTLANDS LÄN</t>
        </is>
      </c>
      <c r="E1103" t="inlineStr">
        <is>
          <t>RAGUNDA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19866-2023</t>
        </is>
      </c>
      <c r="B1104" s="1" t="n">
        <v>45053.94313657407</v>
      </c>
      <c r="C1104" s="1" t="n">
        <v>46049</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53935-2022</t>
        </is>
      </c>
      <c r="B1105" s="1" t="n">
        <v>44880</v>
      </c>
      <c r="C1105" s="1" t="n">
        <v>46049</v>
      </c>
      <c r="D1105" t="inlineStr">
        <is>
          <t>JÄMTLANDS LÄN</t>
        </is>
      </c>
      <c r="E1105" t="inlineStr">
        <is>
          <t>RAGUNDA</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18631-2024</t>
        </is>
      </c>
      <c r="B1106" s="1" t="n">
        <v>45425.96494212963</v>
      </c>
      <c r="C1106" s="1" t="n">
        <v>46049</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12805-2025</t>
        </is>
      </c>
      <c r="B1107" s="1" t="n">
        <v>45733.61497685185</v>
      </c>
      <c r="C1107" s="1" t="n">
        <v>46049</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11062-2023</t>
        </is>
      </c>
      <c r="B1108" s="1" t="n">
        <v>44991</v>
      </c>
      <c r="C1108" s="1" t="n">
        <v>46049</v>
      </c>
      <c r="D1108" t="inlineStr">
        <is>
          <t>JÄMTLANDS LÄN</t>
        </is>
      </c>
      <c r="E1108" t="inlineStr">
        <is>
          <t>RAGUNDA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69153-2021</t>
        </is>
      </c>
      <c r="B1109" s="1" t="n">
        <v>44530.94694444445</v>
      </c>
      <c r="C1109" s="1" t="n">
        <v>46049</v>
      </c>
      <c r="D1109" t="inlineStr">
        <is>
          <t>JÄMTLANDS LÄN</t>
        </is>
      </c>
      <c r="E1109" t="inlineStr">
        <is>
          <t>RAGUNDA</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4882-2023</t>
        </is>
      </c>
      <c r="B1110" s="1" t="n">
        <v>44957.94075231482</v>
      </c>
      <c r="C1110" s="1" t="n">
        <v>46049</v>
      </c>
      <c r="D1110" t="inlineStr">
        <is>
          <t>JÄMTLANDS LÄN</t>
        </is>
      </c>
      <c r="E1110" t="inlineStr">
        <is>
          <t>RAGUNDA</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39608-2024</t>
        </is>
      </c>
      <c r="B1111" s="1" t="n">
        <v>45552.39113425926</v>
      </c>
      <c r="C1111" s="1" t="n">
        <v>46049</v>
      </c>
      <c r="D1111" t="inlineStr">
        <is>
          <t>JÄMTLANDS LÄN</t>
        </is>
      </c>
      <c r="E1111" t="inlineStr">
        <is>
          <t>RAGUNDA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18454-2021</t>
        </is>
      </c>
      <c r="B1112" s="1" t="n">
        <v>44305.92047453704</v>
      </c>
      <c r="C1112" s="1" t="n">
        <v>46049</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46049</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6801-2023</t>
        </is>
      </c>
      <c r="B1114" s="1" t="n">
        <v>44966.95328703704</v>
      </c>
      <c r="C1114" s="1" t="n">
        <v>46049</v>
      </c>
      <c r="D1114" t="inlineStr">
        <is>
          <t>JÄMTLANDS LÄN</t>
        </is>
      </c>
      <c r="E1114" t="inlineStr">
        <is>
          <t>RAGUNDA</t>
        </is>
      </c>
      <c r="F1114" t="inlineStr">
        <is>
          <t>SCA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5967-2021</t>
        </is>
      </c>
      <c r="B1115" s="1" t="n">
        <v>44231</v>
      </c>
      <c r="C1115" s="1" t="n">
        <v>46049</v>
      </c>
      <c r="D1115" t="inlineStr">
        <is>
          <t>JÄMTLANDS LÄN</t>
        </is>
      </c>
      <c r="E1115" t="inlineStr">
        <is>
          <t>RAGUNDA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10641-2024</t>
        </is>
      </c>
      <c r="B1116" s="1" t="n">
        <v>45367.69850694444</v>
      </c>
      <c r="C1116" s="1" t="n">
        <v>46049</v>
      </c>
      <c r="D1116" t="inlineStr">
        <is>
          <t>JÄMTLANDS LÄN</t>
        </is>
      </c>
      <c r="E1116" t="inlineStr">
        <is>
          <t>RAGUNDA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10644-2024</t>
        </is>
      </c>
      <c r="B1117" s="1" t="n">
        <v>45367.71348379629</v>
      </c>
      <c r="C1117" s="1" t="n">
        <v>46049</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17559-2023</t>
        </is>
      </c>
      <c r="B1118" s="1" t="n">
        <v>45034</v>
      </c>
      <c r="C1118" s="1" t="n">
        <v>46049</v>
      </c>
      <c r="D1118" t="inlineStr">
        <is>
          <t>JÄMTLANDS LÄN</t>
        </is>
      </c>
      <c r="E1118" t="inlineStr">
        <is>
          <t>RAGUNDA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30826-2023</t>
        </is>
      </c>
      <c r="B1119" s="1" t="n">
        <v>45112</v>
      </c>
      <c r="C1119" s="1" t="n">
        <v>46049</v>
      </c>
      <c r="D1119" t="inlineStr">
        <is>
          <t>JÄMTLANDS LÄN</t>
        </is>
      </c>
      <c r="E1119" t="inlineStr">
        <is>
          <t>RAGUNDA</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56191-2022</t>
        </is>
      </c>
      <c r="B1120" s="1" t="n">
        <v>44889.95015046297</v>
      </c>
      <c r="C1120" s="1" t="n">
        <v>46049</v>
      </c>
      <c r="D1120" t="inlineStr">
        <is>
          <t>JÄMTLANDS LÄN</t>
        </is>
      </c>
      <c r="E1120" t="inlineStr">
        <is>
          <t>RAGUNDA</t>
        </is>
      </c>
      <c r="F1120" t="inlineStr">
        <is>
          <t>Sveaskog</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33621-2023</t>
        </is>
      </c>
      <c r="B1121" s="1" t="n">
        <v>45119</v>
      </c>
      <c r="C1121" s="1" t="n">
        <v>46049</v>
      </c>
      <c r="D1121" t="inlineStr">
        <is>
          <t>JÄMTLANDS LÄN</t>
        </is>
      </c>
      <c r="E1121" t="inlineStr">
        <is>
          <t>RAGUNDA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65216-2023</t>
        </is>
      </c>
      <c r="B1122" s="1" t="n">
        <v>45289</v>
      </c>
      <c r="C1122" s="1" t="n">
        <v>46049</v>
      </c>
      <c r="D1122" t="inlineStr">
        <is>
          <t>JÄMTLANDS LÄN</t>
        </is>
      </c>
      <c r="E1122" t="inlineStr">
        <is>
          <t>RAGUNDA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60838-2023</t>
        </is>
      </c>
      <c r="B1123" s="1" t="n">
        <v>45260.92561342593</v>
      </c>
      <c r="C1123" s="1" t="n">
        <v>46049</v>
      </c>
      <c r="D1123" t="inlineStr">
        <is>
          <t>JÄMTLANDS LÄN</t>
        </is>
      </c>
      <c r="E1123" t="inlineStr">
        <is>
          <t>RAGUNDA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2133-2023</t>
        </is>
      </c>
      <c r="B1124" s="1" t="n">
        <v>44939</v>
      </c>
      <c r="C1124" s="1" t="n">
        <v>46049</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49647-2024</t>
        </is>
      </c>
      <c r="B1125" s="1" t="n">
        <v>45596.61533564814</v>
      </c>
      <c r="C1125" s="1" t="n">
        <v>46049</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6802-2021</t>
        </is>
      </c>
      <c r="B1126" s="1" t="n">
        <v>44236</v>
      </c>
      <c r="C1126" s="1" t="n">
        <v>46049</v>
      </c>
      <c r="D1126" t="inlineStr">
        <is>
          <t>JÄMTLANDS LÄN</t>
        </is>
      </c>
      <c r="E1126" t="inlineStr">
        <is>
          <t>RAGUNDA</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64415-2023</t>
        </is>
      </c>
      <c r="B1127" s="1" t="n">
        <v>45280</v>
      </c>
      <c r="C1127" s="1" t="n">
        <v>46049</v>
      </c>
      <c r="D1127" t="inlineStr">
        <is>
          <t>JÄMTLANDS LÄN</t>
        </is>
      </c>
      <c r="E1127" t="inlineStr">
        <is>
          <t>RAGUNDA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38782-2021</t>
        </is>
      </c>
      <c r="B1128" s="1" t="n">
        <v>44410</v>
      </c>
      <c r="C1128" s="1" t="n">
        <v>46049</v>
      </c>
      <c r="D1128" t="inlineStr">
        <is>
          <t>JÄMTLANDS LÄN</t>
        </is>
      </c>
      <c r="E1128" t="inlineStr">
        <is>
          <t>RAGUNDA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16250-2022</t>
        </is>
      </c>
      <c r="B1129" s="1" t="n">
        <v>44670</v>
      </c>
      <c r="C1129" s="1" t="n">
        <v>46049</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13334-2024</t>
        </is>
      </c>
      <c r="B1130" s="1" t="n">
        <v>45386</v>
      </c>
      <c r="C1130" s="1" t="n">
        <v>46049</v>
      </c>
      <c r="D1130" t="inlineStr">
        <is>
          <t>JÄMTLANDS LÄN</t>
        </is>
      </c>
      <c r="E1130" t="inlineStr">
        <is>
          <t>RAGUNDA</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55669-2023</t>
        </is>
      </c>
      <c r="B1131" s="1" t="n">
        <v>45238.96797453704</v>
      </c>
      <c r="C1131" s="1" t="n">
        <v>46049</v>
      </c>
      <c r="D1131" t="inlineStr">
        <is>
          <t>JÄMTLANDS LÄN</t>
        </is>
      </c>
      <c r="E1131" t="inlineStr">
        <is>
          <t>RAGUNDA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51389-2024</t>
        </is>
      </c>
      <c r="B1132" s="1" t="n">
        <v>45604.40540509259</v>
      </c>
      <c r="C1132" s="1" t="n">
        <v>46049</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51393-2024</t>
        </is>
      </c>
      <c r="B1133" s="1" t="n">
        <v>45604.41625</v>
      </c>
      <c r="C1133" s="1" t="n">
        <v>46049</v>
      </c>
      <c r="D1133" t="inlineStr">
        <is>
          <t>JÄMTLANDS LÄN</t>
        </is>
      </c>
      <c r="E1133" t="inlineStr">
        <is>
          <t>RAGUNDA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43339-2024</t>
        </is>
      </c>
      <c r="B1134" s="1" t="n">
        <v>45568.51075231482</v>
      </c>
      <c r="C1134" s="1" t="n">
        <v>46049</v>
      </c>
      <c r="D1134" t="inlineStr">
        <is>
          <t>JÄMTLANDS LÄN</t>
        </is>
      </c>
      <c r="E1134" t="inlineStr">
        <is>
          <t>RAGUNDA</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38548-2024</t>
        </is>
      </c>
      <c r="B1135" s="1" t="n">
        <v>45546</v>
      </c>
      <c r="C1135" s="1" t="n">
        <v>46049</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26026-2024</t>
        </is>
      </c>
      <c r="B1136" s="1" t="n">
        <v>45467.96207175926</v>
      </c>
      <c r="C1136" s="1" t="n">
        <v>46049</v>
      </c>
      <c r="D1136" t="inlineStr">
        <is>
          <t>JÄMTLANDS LÄN</t>
        </is>
      </c>
      <c r="E1136" t="inlineStr">
        <is>
          <t>RAGUNDA</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5971-2025</t>
        </is>
      </c>
      <c r="B1137" s="1" t="n">
        <v>45695.51070601852</v>
      </c>
      <c r="C1137" s="1" t="n">
        <v>46049</v>
      </c>
      <c r="D1137" t="inlineStr">
        <is>
          <t>JÄMTLANDS LÄN</t>
        </is>
      </c>
      <c r="E1137" t="inlineStr">
        <is>
          <t>RAGUNDA</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51537-2022</t>
        </is>
      </c>
      <c r="B1138" s="1" t="n">
        <v>44869</v>
      </c>
      <c r="C1138" s="1" t="n">
        <v>46049</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12995-2023</t>
        </is>
      </c>
      <c r="B1139" s="1" t="n">
        <v>45002.0328125</v>
      </c>
      <c r="C1139" s="1" t="n">
        <v>46049</v>
      </c>
      <c r="D1139" t="inlineStr">
        <is>
          <t>JÄMTLANDS LÄN</t>
        </is>
      </c>
      <c r="E1139" t="inlineStr">
        <is>
          <t>RAGUNDA</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8800-2025</t>
        </is>
      </c>
      <c r="B1140" s="1" t="n">
        <v>45712.65671296296</v>
      </c>
      <c r="C1140" s="1" t="n">
        <v>46049</v>
      </c>
      <c r="D1140" t="inlineStr">
        <is>
          <t>JÄMTLANDS LÄN</t>
        </is>
      </c>
      <c r="E1140" t="inlineStr">
        <is>
          <t>RAGUNDA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56284-2023</t>
        </is>
      </c>
      <c r="B1141" s="1" t="n">
        <v>45241.95724537037</v>
      </c>
      <c r="C1141" s="1" t="n">
        <v>46049</v>
      </c>
      <c r="D1141" t="inlineStr">
        <is>
          <t>JÄMTLANDS LÄN</t>
        </is>
      </c>
      <c r="E1141" t="inlineStr">
        <is>
          <t>RAGUNDA</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18610-2024</t>
        </is>
      </c>
      <c r="B1142" s="1" t="n">
        <v>45425.96230324074</v>
      </c>
      <c r="C1142" s="1" t="n">
        <v>46049</v>
      </c>
      <c r="D1142" t="inlineStr">
        <is>
          <t>JÄMTLANDS LÄN</t>
        </is>
      </c>
      <c r="E1142" t="inlineStr">
        <is>
          <t>RAGUNDA</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30563-2023</t>
        </is>
      </c>
      <c r="B1143" s="1" t="n">
        <v>45111.92793981481</v>
      </c>
      <c r="C1143" s="1" t="n">
        <v>46049</v>
      </c>
      <c r="D1143" t="inlineStr">
        <is>
          <t>JÄMTLANDS LÄN</t>
        </is>
      </c>
      <c r="E1143" t="inlineStr">
        <is>
          <t>RAGUNDA</t>
        </is>
      </c>
      <c r="F1143" t="inlineStr">
        <is>
          <t>Övriga Aktiebolag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8886-2024</t>
        </is>
      </c>
      <c r="B1144" s="1" t="n">
        <v>45357.05300925926</v>
      </c>
      <c r="C1144" s="1" t="n">
        <v>46049</v>
      </c>
      <c r="D1144" t="inlineStr">
        <is>
          <t>JÄMTLANDS LÄN</t>
        </is>
      </c>
      <c r="E1144" t="inlineStr">
        <is>
          <t>RAGUNDA</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18615-2024</t>
        </is>
      </c>
      <c r="B1145" s="1" t="n">
        <v>45425.96275462963</v>
      </c>
      <c r="C1145" s="1" t="n">
        <v>46049</v>
      </c>
      <c r="D1145" t="inlineStr">
        <is>
          <t>JÄMTLANDS LÄN</t>
        </is>
      </c>
      <c r="E1145" t="inlineStr">
        <is>
          <t>RAGUNDA</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23303-2024</t>
        </is>
      </c>
      <c r="B1146" s="1" t="n">
        <v>45453.4444212963</v>
      </c>
      <c r="C1146" s="1" t="n">
        <v>46049</v>
      </c>
      <c r="D1146" t="inlineStr">
        <is>
          <t>JÄMTLANDS LÄN</t>
        </is>
      </c>
      <c r="E1146" t="inlineStr">
        <is>
          <t>RAGUNDA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465-2023</t>
        </is>
      </c>
      <c r="B1147" s="1" t="n">
        <v>44929</v>
      </c>
      <c r="C1147" s="1" t="n">
        <v>46049</v>
      </c>
      <c r="D1147" t="inlineStr">
        <is>
          <t>JÄMTLANDS LÄN</t>
        </is>
      </c>
      <c r="E1147" t="inlineStr">
        <is>
          <t>RAGUNDA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32832-2021</t>
        </is>
      </c>
      <c r="B1148" s="1" t="n">
        <v>44375</v>
      </c>
      <c r="C1148" s="1" t="n">
        <v>46049</v>
      </c>
      <c r="D1148" t="inlineStr">
        <is>
          <t>JÄMTLANDS LÄN</t>
        </is>
      </c>
      <c r="E1148" t="inlineStr">
        <is>
          <t>RAGUNDA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3938-2024</t>
        </is>
      </c>
      <c r="B1149" s="1" t="n">
        <v>45322</v>
      </c>
      <c r="C1149" s="1" t="n">
        <v>46049</v>
      </c>
      <c r="D1149" t="inlineStr">
        <is>
          <t>JÄMTLANDS LÄN</t>
        </is>
      </c>
      <c r="E1149" t="inlineStr">
        <is>
          <t>RAGUNDA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62081-2022</t>
        </is>
      </c>
      <c r="B1150" s="1" t="n">
        <v>44918</v>
      </c>
      <c r="C1150" s="1" t="n">
        <v>46049</v>
      </c>
      <c r="D1150" t="inlineStr">
        <is>
          <t>JÄMTLANDS LÄN</t>
        </is>
      </c>
      <c r="E1150" t="inlineStr">
        <is>
          <t>RAGUNDA</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55508-2024</t>
        </is>
      </c>
      <c r="B1151" s="1" t="n">
        <v>45622.46200231482</v>
      </c>
      <c r="C1151" s="1" t="n">
        <v>46049</v>
      </c>
      <c r="D1151" t="inlineStr">
        <is>
          <t>JÄMTLANDS LÄN</t>
        </is>
      </c>
      <c r="E1151" t="inlineStr">
        <is>
          <t>RAGUNDA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12521-2023</t>
        </is>
      </c>
      <c r="B1152" s="1" t="n">
        <v>45000</v>
      </c>
      <c r="C1152" s="1" t="n">
        <v>46049</v>
      </c>
      <c r="D1152" t="inlineStr">
        <is>
          <t>JÄMTLANDS LÄN</t>
        </is>
      </c>
      <c r="E1152" t="inlineStr">
        <is>
          <t>RAGUNDA</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3720-2025</t>
        </is>
      </c>
      <c r="B1153" s="1" t="n">
        <v>45681.5315625</v>
      </c>
      <c r="C1153" s="1" t="n">
        <v>46049</v>
      </c>
      <c r="D1153" t="inlineStr">
        <is>
          <t>JÄMTLANDS LÄN</t>
        </is>
      </c>
      <c r="E1153" t="inlineStr">
        <is>
          <t>RAGUNDA</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2339-2025</t>
        </is>
      </c>
      <c r="B1154" s="1" t="n">
        <v>45673.66358796296</v>
      </c>
      <c r="C1154" s="1" t="n">
        <v>46049</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17742-2022</t>
        </is>
      </c>
      <c r="B1155" s="1" t="n">
        <v>44680.95246527778</v>
      </c>
      <c r="C1155" s="1" t="n">
        <v>46049</v>
      </c>
      <c r="D1155" t="inlineStr">
        <is>
          <t>JÄMTLANDS LÄN</t>
        </is>
      </c>
      <c r="E1155" t="inlineStr">
        <is>
          <t>RAGUNDA</t>
        </is>
      </c>
      <c r="F1155" t="inlineStr">
        <is>
          <t>SCA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50555-2024</t>
        </is>
      </c>
      <c r="B1156" s="1" t="n">
        <v>45601.59518518519</v>
      </c>
      <c r="C1156" s="1" t="n">
        <v>46049</v>
      </c>
      <c r="D1156" t="inlineStr">
        <is>
          <t>JÄMTLANDS LÄN</t>
        </is>
      </c>
      <c r="E1156" t="inlineStr">
        <is>
          <t>RAGUNDA</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53676-2022</t>
        </is>
      </c>
      <c r="B1157" s="1" t="n">
        <v>44879</v>
      </c>
      <c r="C1157" s="1" t="n">
        <v>46049</v>
      </c>
      <c r="D1157" t="inlineStr">
        <is>
          <t>JÄMTLANDS LÄN</t>
        </is>
      </c>
      <c r="E1157" t="inlineStr">
        <is>
          <t>RAGUNDA</t>
        </is>
      </c>
      <c r="F1157" t="inlineStr">
        <is>
          <t>Sveaskog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14212-2023</t>
        </is>
      </c>
      <c r="B1158" s="1" t="n">
        <v>45009</v>
      </c>
      <c r="C1158" s="1" t="n">
        <v>46049</v>
      </c>
      <c r="D1158" t="inlineStr">
        <is>
          <t>JÄMTLANDS LÄN</t>
        </is>
      </c>
      <c r="E1158" t="inlineStr">
        <is>
          <t>RAGUNDA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20772-2024</t>
        </is>
      </c>
      <c r="B1159" s="1" t="n">
        <v>45436.94628472222</v>
      </c>
      <c r="C1159" s="1" t="n">
        <v>46049</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18614-2024</t>
        </is>
      </c>
      <c r="B1160" s="1" t="n">
        <v>45425.96263888889</v>
      </c>
      <c r="C1160" s="1" t="n">
        <v>46049</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53757-2024</t>
        </is>
      </c>
      <c r="B1161" s="1" t="n">
        <v>45615.50034722222</v>
      </c>
      <c r="C1161" s="1" t="n">
        <v>46049</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19246-2023</t>
        </is>
      </c>
      <c r="B1162" s="1" t="n">
        <v>45048.94340277778</v>
      </c>
      <c r="C1162" s="1" t="n">
        <v>46049</v>
      </c>
      <c r="D1162" t="inlineStr">
        <is>
          <t>JÄMTLANDS LÄN</t>
        </is>
      </c>
      <c r="E1162" t="inlineStr">
        <is>
          <t>RAGUNDA</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464-2023</t>
        </is>
      </c>
      <c r="B1163" s="1" t="n">
        <v>44929.92489583333</v>
      </c>
      <c r="C1163" s="1" t="n">
        <v>46049</v>
      </c>
      <c r="D1163" t="inlineStr">
        <is>
          <t>JÄMTLANDS LÄN</t>
        </is>
      </c>
      <c r="E1163" t="inlineStr">
        <is>
          <t>RAGUNDA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49649-2024</t>
        </is>
      </c>
      <c r="B1164" s="1" t="n">
        <v>45596.61553240741</v>
      </c>
      <c r="C1164" s="1" t="n">
        <v>46049</v>
      </c>
      <c r="D1164" t="inlineStr">
        <is>
          <t>JÄMTLANDS LÄN</t>
        </is>
      </c>
      <c r="E1164" t="inlineStr">
        <is>
          <t>RAGUNDA</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20426-2024</t>
        </is>
      </c>
      <c r="B1165" s="1" t="n">
        <v>45435</v>
      </c>
      <c r="C1165" s="1" t="n">
        <v>46049</v>
      </c>
      <c r="D1165" t="inlineStr">
        <is>
          <t>JÄMTLANDS LÄN</t>
        </is>
      </c>
      <c r="E1165" t="inlineStr">
        <is>
          <t>RAGUNDA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41344-2024</t>
        </is>
      </c>
      <c r="B1166" s="1" t="n">
        <v>45559.67759259259</v>
      </c>
      <c r="C1166" s="1" t="n">
        <v>46049</v>
      </c>
      <c r="D1166" t="inlineStr">
        <is>
          <t>JÄMTLANDS LÄN</t>
        </is>
      </c>
      <c r="E1166" t="inlineStr">
        <is>
          <t>RAGUNDA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58955-2024</t>
        </is>
      </c>
      <c r="B1167" s="1" t="n">
        <v>45636.57329861111</v>
      </c>
      <c r="C1167" s="1" t="n">
        <v>46049</v>
      </c>
      <c r="D1167" t="inlineStr">
        <is>
          <t>JÄMTLANDS LÄN</t>
        </is>
      </c>
      <c r="E1167" t="inlineStr">
        <is>
          <t>RAGUNDA</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4878-2022</t>
        </is>
      </c>
      <c r="B1168" s="1" t="n">
        <v>44593</v>
      </c>
      <c r="C1168" s="1" t="n">
        <v>46049</v>
      </c>
      <c r="D1168" t="inlineStr">
        <is>
          <t>JÄMTLANDS LÄN</t>
        </is>
      </c>
      <c r="E1168" t="inlineStr">
        <is>
          <t>RAGUNDA</t>
        </is>
      </c>
      <c r="G1168" t="n">
        <v>21.7</v>
      </c>
      <c r="H1168" t="n">
        <v>0</v>
      </c>
      <c r="I1168" t="n">
        <v>0</v>
      </c>
      <c r="J1168" t="n">
        <v>0</v>
      </c>
      <c r="K1168" t="n">
        <v>0</v>
      </c>
      <c r="L1168" t="n">
        <v>0</v>
      </c>
      <c r="M1168" t="n">
        <v>0</v>
      </c>
      <c r="N1168" t="n">
        <v>0</v>
      </c>
      <c r="O1168" t="n">
        <v>0</v>
      </c>
      <c r="P1168" t="n">
        <v>0</v>
      </c>
      <c r="Q1168" t="n">
        <v>0</v>
      </c>
      <c r="R1168" s="2" t="inlineStr"/>
    </row>
    <row r="1169" ht="15" customHeight="1">
      <c r="A1169" t="inlineStr">
        <is>
          <t>A 39489-2023</t>
        </is>
      </c>
      <c r="B1169" s="1" t="n">
        <v>45166</v>
      </c>
      <c r="C1169" s="1" t="n">
        <v>46049</v>
      </c>
      <c r="D1169" t="inlineStr">
        <is>
          <t>JÄMTLANDS LÄN</t>
        </is>
      </c>
      <c r="E1169" t="inlineStr">
        <is>
          <t>RAGUNDA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11058-2025</t>
        </is>
      </c>
      <c r="B1170" s="1" t="n">
        <v>45723.51079861111</v>
      </c>
      <c r="C1170" s="1" t="n">
        <v>46049</v>
      </c>
      <c r="D1170" t="inlineStr">
        <is>
          <t>JÄMTLANDS LÄN</t>
        </is>
      </c>
      <c r="E1170" t="inlineStr">
        <is>
          <t>RAGUNDA</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15554-2025</t>
        </is>
      </c>
      <c r="B1171" s="1" t="n">
        <v>45747.67739583334</v>
      </c>
      <c r="C1171" s="1" t="n">
        <v>46049</v>
      </c>
      <c r="D1171" t="inlineStr">
        <is>
          <t>JÄMTLANDS LÄN</t>
        </is>
      </c>
      <c r="E1171" t="inlineStr">
        <is>
          <t>RAGUNDA</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57170-2024</t>
        </is>
      </c>
      <c r="B1172" s="1" t="n">
        <v>45629.42759259259</v>
      </c>
      <c r="C1172" s="1" t="n">
        <v>46049</v>
      </c>
      <c r="D1172" t="inlineStr">
        <is>
          <t>JÄMTLANDS LÄN</t>
        </is>
      </c>
      <c r="E1172" t="inlineStr">
        <is>
          <t>RAGUNDA</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46049</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66471-2021</t>
        </is>
      </c>
      <c r="B1174" s="1" t="n">
        <v>44518</v>
      </c>
      <c r="C1174" s="1" t="n">
        <v>46049</v>
      </c>
      <c r="D1174" t="inlineStr">
        <is>
          <t>JÄMTLANDS LÄN</t>
        </is>
      </c>
      <c r="E1174" t="inlineStr">
        <is>
          <t>RAGUNDA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22731-2023</t>
        </is>
      </c>
      <c r="B1175" s="1" t="n">
        <v>45071</v>
      </c>
      <c r="C1175" s="1" t="n">
        <v>46049</v>
      </c>
      <c r="D1175" t="inlineStr">
        <is>
          <t>JÄMTLANDS LÄN</t>
        </is>
      </c>
      <c r="E1175" t="inlineStr">
        <is>
          <t>RAGUNDA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33877-2023</t>
        </is>
      </c>
      <c r="B1176" s="1" t="n">
        <v>45133</v>
      </c>
      <c r="C1176" s="1" t="n">
        <v>46049</v>
      </c>
      <c r="D1176" t="inlineStr">
        <is>
          <t>JÄMTLANDS LÄN</t>
        </is>
      </c>
      <c r="E1176" t="inlineStr">
        <is>
          <t>RAGUNDA</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8775-2025</t>
        </is>
      </c>
      <c r="B1177" s="1" t="n">
        <v>45712.61502314815</v>
      </c>
      <c r="C1177" s="1" t="n">
        <v>46049</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8776-2025</t>
        </is>
      </c>
      <c r="B1178" s="1" t="n">
        <v>45712.61510416667</v>
      </c>
      <c r="C1178" s="1" t="n">
        <v>46049</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57749-2024</t>
        </is>
      </c>
      <c r="B1179" s="1" t="n">
        <v>45630.7862037037</v>
      </c>
      <c r="C1179" s="1" t="n">
        <v>46049</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5067-2024</t>
        </is>
      </c>
      <c r="B1180" s="1" t="n">
        <v>45329.95806712963</v>
      </c>
      <c r="C1180" s="1" t="n">
        <v>46049</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5429-2024</t>
        </is>
      </c>
      <c r="B1181" s="1" t="n">
        <v>45331.92746527777</v>
      </c>
      <c r="C1181" s="1" t="n">
        <v>46049</v>
      </c>
      <c r="D1181" t="inlineStr">
        <is>
          <t>JÄMTLANDS LÄN</t>
        </is>
      </c>
      <c r="E1181" t="inlineStr">
        <is>
          <t>RAGUNDA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28742-2023</t>
        </is>
      </c>
      <c r="B1182" s="1" t="n">
        <v>45103</v>
      </c>
      <c r="C1182" s="1" t="n">
        <v>46049</v>
      </c>
      <c r="D1182" t="inlineStr">
        <is>
          <t>JÄMTLANDS LÄN</t>
        </is>
      </c>
      <c r="E1182" t="inlineStr">
        <is>
          <t>RAGUNDA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22981-2023</t>
        </is>
      </c>
      <c r="B1183" s="1" t="n">
        <v>45072.92737268518</v>
      </c>
      <c r="C1183" s="1" t="n">
        <v>46049</v>
      </c>
      <c r="D1183" t="inlineStr">
        <is>
          <t>JÄMTLANDS LÄN</t>
        </is>
      </c>
      <c r="E1183" t="inlineStr">
        <is>
          <t>RAGUNDA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21726-2023</t>
        </is>
      </c>
      <c r="B1184" s="1" t="n">
        <v>45065.42894675926</v>
      </c>
      <c r="C1184" s="1" t="n">
        <v>46049</v>
      </c>
      <c r="D1184" t="inlineStr">
        <is>
          <t>JÄMTLANDS LÄN</t>
        </is>
      </c>
      <c r="E1184" t="inlineStr">
        <is>
          <t>RAGUNDA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55514-2024</t>
        </is>
      </c>
      <c r="B1185" s="1" t="n">
        <v>45622.46910879629</v>
      </c>
      <c r="C1185" s="1" t="n">
        <v>46049</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24441-2024</t>
        </is>
      </c>
      <c r="B1186" s="1" t="n">
        <v>45457.96372685185</v>
      </c>
      <c r="C1186" s="1" t="n">
        <v>46049</v>
      </c>
      <c r="D1186" t="inlineStr">
        <is>
          <t>JÄMTLANDS LÄN</t>
        </is>
      </c>
      <c r="E1186" t="inlineStr">
        <is>
          <t>RAGUNDA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934-2023</t>
        </is>
      </c>
      <c r="B1187" s="1" t="n">
        <v>44932.93927083333</v>
      </c>
      <c r="C1187" s="1" t="n">
        <v>46049</v>
      </c>
      <c r="D1187" t="inlineStr">
        <is>
          <t>JÄMTLANDS LÄN</t>
        </is>
      </c>
      <c r="E1187" t="inlineStr">
        <is>
          <t>RAGUNDA</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37242-2024</t>
        </is>
      </c>
      <c r="B1188" s="1" t="n">
        <v>45540.34428240741</v>
      </c>
      <c r="C1188" s="1" t="n">
        <v>46049</v>
      </c>
      <c r="D1188" t="inlineStr">
        <is>
          <t>JÄMTLANDS LÄN</t>
        </is>
      </c>
      <c r="E1188" t="inlineStr">
        <is>
          <t>RAGUNDA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9232-2025</t>
        </is>
      </c>
      <c r="B1189" s="1" t="n">
        <v>45714.55064814815</v>
      </c>
      <c r="C1189" s="1" t="n">
        <v>46049</v>
      </c>
      <c r="D1189" t="inlineStr">
        <is>
          <t>JÄMTLANDS LÄN</t>
        </is>
      </c>
      <c r="E1189" t="inlineStr">
        <is>
          <t>RAGUNDA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46049</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36317-2024</t>
        </is>
      </c>
      <c r="B1191" s="1" t="n">
        <v>45534.63537037037</v>
      </c>
      <c r="C1191" s="1" t="n">
        <v>46049</v>
      </c>
      <c r="D1191" t="inlineStr">
        <is>
          <t>JÄMTLANDS LÄN</t>
        </is>
      </c>
      <c r="E1191" t="inlineStr">
        <is>
          <t>RAGUNDA</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36226-2023</t>
        </is>
      </c>
      <c r="B1192" s="1" t="n">
        <v>45149.95372685185</v>
      </c>
      <c r="C1192" s="1" t="n">
        <v>46049</v>
      </c>
      <c r="D1192" t="inlineStr">
        <is>
          <t>JÄMTLANDS LÄN</t>
        </is>
      </c>
      <c r="E1192" t="inlineStr">
        <is>
          <t>RAGUNDA</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59368-2022</t>
        </is>
      </c>
      <c r="B1193" s="1" t="n">
        <v>44904.94824074074</v>
      </c>
      <c r="C1193" s="1" t="n">
        <v>46049</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893-2025</t>
        </is>
      </c>
      <c r="B1194" s="1" t="n">
        <v>45665.65684027778</v>
      </c>
      <c r="C1194" s="1" t="n">
        <v>46049</v>
      </c>
      <c r="D1194" t="inlineStr">
        <is>
          <t>JÄMTLANDS LÄN</t>
        </is>
      </c>
      <c r="E1194" t="inlineStr">
        <is>
          <t>RAGUNDA</t>
        </is>
      </c>
      <c r="F1194" t="inlineStr">
        <is>
          <t>SCA</t>
        </is>
      </c>
      <c r="G1194" t="n">
        <v>45.1</v>
      </c>
      <c r="H1194" t="n">
        <v>0</v>
      </c>
      <c r="I1194" t="n">
        <v>0</v>
      </c>
      <c r="J1194" t="n">
        <v>0</v>
      </c>
      <c r="K1194" t="n">
        <v>0</v>
      </c>
      <c r="L1194" t="n">
        <v>0</v>
      </c>
      <c r="M1194" t="n">
        <v>0</v>
      </c>
      <c r="N1194" t="n">
        <v>0</v>
      </c>
      <c r="O1194" t="n">
        <v>0</v>
      </c>
      <c r="P1194" t="n">
        <v>0</v>
      </c>
      <c r="Q1194" t="n">
        <v>0</v>
      </c>
      <c r="R1194" s="2" t="inlineStr"/>
    </row>
    <row r="1195" ht="15" customHeight="1">
      <c r="A1195" t="inlineStr">
        <is>
          <t>A 7520-2023</t>
        </is>
      </c>
      <c r="B1195" s="1" t="n">
        <v>44971</v>
      </c>
      <c r="C1195" s="1" t="n">
        <v>46049</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53549-2024</t>
        </is>
      </c>
      <c r="B1196" s="1" t="n">
        <v>45614.63869212963</v>
      </c>
      <c r="C1196" s="1" t="n">
        <v>46049</v>
      </c>
      <c r="D1196" t="inlineStr">
        <is>
          <t>JÄMTLANDS LÄN</t>
        </is>
      </c>
      <c r="E1196" t="inlineStr">
        <is>
          <t>RAGUNDA</t>
        </is>
      </c>
      <c r="F1196" t="inlineStr">
        <is>
          <t>Kyrkan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53955-2022</t>
        </is>
      </c>
      <c r="B1197" s="1" t="n">
        <v>44880.95741898148</v>
      </c>
      <c r="C1197" s="1" t="n">
        <v>46049</v>
      </c>
      <c r="D1197" t="inlineStr">
        <is>
          <t>JÄMTLANDS LÄN</t>
        </is>
      </c>
      <c r="E1197" t="inlineStr">
        <is>
          <t>RAGUNDA</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9567-2025</t>
        </is>
      </c>
      <c r="B1198" s="1" t="n">
        <v>45715.61523148148</v>
      </c>
      <c r="C1198" s="1" t="n">
        <v>46049</v>
      </c>
      <c r="D1198" t="inlineStr">
        <is>
          <t>JÄMTLANDS LÄN</t>
        </is>
      </c>
      <c r="E1198" t="inlineStr">
        <is>
          <t>RAGUNDA</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53287-2022</t>
        </is>
      </c>
      <c r="B1199" s="1" t="n">
        <v>44876</v>
      </c>
      <c r="C1199" s="1" t="n">
        <v>46049</v>
      </c>
      <c r="D1199" t="inlineStr">
        <is>
          <t>JÄMTLANDS LÄN</t>
        </is>
      </c>
      <c r="E1199" t="inlineStr">
        <is>
          <t>RAGUNDA</t>
        </is>
      </c>
      <c r="F1199" t="inlineStr">
        <is>
          <t>SCA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51646-2023</t>
        </is>
      </c>
      <c r="B1200" s="1" t="n">
        <v>45215</v>
      </c>
      <c r="C1200" s="1" t="n">
        <v>46049</v>
      </c>
      <c r="D1200" t="inlineStr">
        <is>
          <t>JÄMTLANDS LÄN</t>
        </is>
      </c>
      <c r="E1200" t="inlineStr">
        <is>
          <t>RAGUNDA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29319-2023</t>
        </is>
      </c>
      <c r="B1201" s="1" t="n">
        <v>45105</v>
      </c>
      <c r="C1201" s="1" t="n">
        <v>46049</v>
      </c>
      <c r="D1201" t="inlineStr">
        <is>
          <t>JÄMTLANDS LÄN</t>
        </is>
      </c>
      <c r="E1201" t="inlineStr">
        <is>
          <t>RAGUNDA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17323-2025</t>
        </is>
      </c>
      <c r="B1202" s="1" t="n">
        <v>45756.63601851852</v>
      </c>
      <c r="C1202" s="1" t="n">
        <v>46049</v>
      </c>
      <c r="D1202" t="inlineStr">
        <is>
          <t>JÄMTLANDS LÄN</t>
        </is>
      </c>
      <c r="E1202" t="inlineStr">
        <is>
          <t>RAGUNDA</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19486-2024</t>
        </is>
      </c>
      <c r="B1203" s="1" t="n">
        <v>45429</v>
      </c>
      <c r="C1203" s="1" t="n">
        <v>46049</v>
      </c>
      <c r="D1203" t="inlineStr">
        <is>
          <t>JÄMTLANDS LÄN</t>
        </is>
      </c>
      <c r="E1203" t="inlineStr">
        <is>
          <t>RAGUNDA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13941-2025</t>
        </is>
      </c>
      <c r="B1204" s="1" t="n">
        <v>45737.69822916666</v>
      </c>
      <c r="C1204" s="1" t="n">
        <v>46049</v>
      </c>
      <c r="D1204" t="inlineStr">
        <is>
          <t>JÄMTLANDS LÄN</t>
        </is>
      </c>
      <c r="E1204" t="inlineStr">
        <is>
          <t>RAGUNDA</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26646-2023</t>
        </is>
      </c>
      <c r="B1205" s="1" t="n">
        <v>45092</v>
      </c>
      <c r="C1205" s="1" t="n">
        <v>46049</v>
      </c>
      <c r="D1205" t="inlineStr">
        <is>
          <t>JÄMTLANDS LÄN</t>
        </is>
      </c>
      <c r="E1205" t="inlineStr">
        <is>
          <t>RAGUNDA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27291-2022</t>
        </is>
      </c>
      <c r="B1206" s="1" t="n">
        <v>44741.94070601852</v>
      </c>
      <c r="C1206" s="1" t="n">
        <v>46049</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49650-2024</t>
        </is>
      </c>
      <c r="B1207" s="1" t="n">
        <v>45596.61569444444</v>
      </c>
      <c r="C1207" s="1" t="n">
        <v>46049</v>
      </c>
      <c r="D1207" t="inlineStr">
        <is>
          <t>JÄMTLANDS LÄN</t>
        </is>
      </c>
      <c r="E1207" t="inlineStr">
        <is>
          <t>RAGUNDA</t>
        </is>
      </c>
      <c r="F1207" t="inlineStr">
        <is>
          <t>Naturvårdsverket</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49651-2024</t>
        </is>
      </c>
      <c r="B1208" s="1" t="n">
        <v>45596.61582175926</v>
      </c>
      <c r="C1208" s="1" t="n">
        <v>46049</v>
      </c>
      <c r="D1208" t="inlineStr">
        <is>
          <t>JÄMTLANDS LÄN</t>
        </is>
      </c>
      <c r="E1208" t="inlineStr">
        <is>
          <t>RAGUNDA</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6477-2024</t>
        </is>
      </c>
      <c r="B1209" s="1" t="n">
        <v>45338.95405092592</v>
      </c>
      <c r="C1209" s="1" t="n">
        <v>46049</v>
      </c>
      <c r="D1209" t="inlineStr">
        <is>
          <t>JÄMTLANDS LÄN</t>
        </is>
      </c>
      <c r="E1209" t="inlineStr">
        <is>
          <t>RAGUNDA</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60443-2023</t>
        </is>
      </c>
      <c r="B1210" s="1" t="n">
        <v>45258</v>
      </c>
      <c r="C1210" s="1" t="n">
        <v>46049</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44759-2024</t>
        </is>
      </c>
      <c r="B1211" s="1" t="n">
        <v>45574.61634259259</v>
      </c>
      <c r="C1211" s="1" t="n">
        <v>46049</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993-2025</t>
        </is>
      </c>
      <c r="B1212" s="1" t="n">
        <v>45666.44943287037</v>
      </c>
      <c r="C1212" s="1" t="n">
        <v>46049</v>
      </c>
      <c r="D1212" t="inlineStr">
        <is>
          <t>JÄMTLANDS LÄN</t>
        </is>
      </c>
      <c r="E1212" t="inlineStr">
        <is>
          <t>RAGUNDA</t>
        </is>
      </c>
      <c r="G1212" t="n">
        <v>11.3</v>
      </c>
      <c r="H1212" t="n">
        <v>0</v>
      </c>
      <c r="I1212" t="n">
        <v>0</v>
      </c>
      <c r="J1212" t="n">
        <v>0</v>
      </c>
      <c r="K1212" t="n">
        <v>0</v>
      </c>
      <c r="L1212" t="n">
        <v>0</v>
      </c>
      <c r="M1212" t="n">
        <v>0</v>
      </c>
      <c r="N1212" t="n">
        <v>0</v>
      </c>
      <c r="O1212" t="n">
        <v>0</v>
      </c>
      <c r="P1212" t="n">
        <v>0</v>
      </c>
      <c r="Q1212" t="n">
        <v>0</v>
      </c>
      <c r="R1212" s="2" t="inlineStr"/>
    </row>
    <row r="1213" ht="15" customHeight="1">
      <c r="A1213" t="inlineStr">
        <is>
          <t>A 57064-2024</t>
        </is>
      </c>
      <c r="B1213" s="1" t="n">
        <v>45629.35326388889</v>
      </c>
      <c r="C1213" s="1" t="n">
        <v>46049</v>
      </c>
      <c r="D1213" t="inlineStr">
        <is>
          <t>JÄMTLANDS LÄN</t>
        </is>
      </c>
      <c r="E1213" t="inlineStr">
        <is>
          <t>RAGUNDA</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60936-2024</t>
        </is>
      </c>
      <c r="B1214" s="1" t="n">
        <v>45645.36743055555</v>
      </c>
      <c r="C1214" s="1" t="n">
        <v>46049</v>
      </c>
      <c r="D1214" t="inlineStr">
        <is>
          <t>JÄMTLANDS LÄN</t>
        </is>
      </c>
      <c r="E1214" t="inlineStr">
        <is>
          <t>RAGUNDA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5930-2025</t>
        </is>
      </c>
      <c r="B1215" s="1" t="n">
        <v>45695.44724537037</v>
      </c>
      <c r="C1215" s="1" t="n">
        <v>46049</v>
      </c>
      <c r="D1215" t="inlineStr">
        <is>
          <t>JÄMTLANDS LÄN</t>
        </is>
      </c>
      <c r="E1215" t="inlineStr">
        <is>
          <t>RAGUNDA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58847-2024</t>
        </is>
      </c>
      <c r="B1216" s="1" t="n">
        <v>45636.3864699074</v>
      </c>
      <c r="C1216" s="1" t="n">
        <v>46049</v>
      </c>
      <c r="D1216" t="inlineStr">
        <is>
          <t>JÄMTLANDS LÄN</t>
        </is>
      </c>
      <c r="E1216" t="inlineStr">
        <is>
          <t>RAGUNDA</t>
        </is>
      </c>
      <c r="F1216" t="inlineStr">
        <is>
          <t>SCA</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7722-2023</t>
        </is>
      </c>
      <c r="B1217" s="1" t="n">
        <v>44972.94140046297</v>
      </c>
      <c r="C1217" s="1" t="n">
        <v>46049</v>
      </c>
      <c r="D1217" t="inlineStr">
        <is>
          <t>JÄMTLANDS LÄN</t>
        </is>
      </c>
      <c r="E1217" t="inlineStr">
        <is>
          <t>RAGUNDA</t>
        </is>
      </c>
      <c r="F1217" t="inlineStr">
        <is>
          <t>SCA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20653-2025</t>
        </is>
      </c>
      <c r="B1218" s="1" t="n">
        <v>45776.40311342593</v>
      </c>
      <c r="C1218" s="1" t="n">
        <v>46049</v>
      </c>
      <c r="D1218" t="inlineStr">
        <is>
          <t>JÄMTLANDS LÄN</t>
        </is>
      </c>
      <c r="E1218" t="inlineStr">
        <is>
          <t>RAGUNDA</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20777-2025</t>
        </is>
      </c>
      <c r="B1219" s="1" t="n">
        <v>45776.59422453704</v>
      </c>
      <c r="C1219" s="1" t="n">
        <v>46049</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20722-2025</t>
        </is>
      </c>
      <c r="B1220" s="1" t="n">
        <v>45776.50651620371</v>
      </c>
      <c r="C1220" s="1" t="n">
        <v>46049</v>
      </c>
      <c r="D1220" t="inlineStr">
        <is>
          <t>JÄMTLANDS LÄN</t>
        </is>
      </c>
      <c r="E1220" t="inlineStr">
        <is>
          <t>RAGUNDA</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20728-2025</t>
        </is>
      </c>
      <c r="B1221" s="1" t="n">
        <v>45776.51130787037</v>
      </c>
      <c r="C1221" s="1" t="n">
        <v>46049</v>
      </c>
      <c r="D1221" t="inlineStr">
        <is>
          <t>JÄMTLANDS LÄN</t>
        </is>
      </c>
      <c r="E1221" t="inlineStr">
        <is>
          <t>RAGUNDA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21430-2025</t>
        </is>
      </c>
      <c r="B1222" s="1" t="n">
        <v>45782.51099537037</v>
      </c>
      <c r="C1222" s="1" t="n">
        <v>46049</v>
      </c>
      <c r="D1222" t="inlineStr">
        <is>
          <t>JÄMTLANDS LÄN</t>
        </is>
      </c>
      <c r="E1222" t="inlineStr">
        <is>
          <t>RAGUNDA</t>
        </is>
      </c>
      <c r="F1222" t="inlineStr">
        <is>
          <t>SCA</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21432-2025</t>
        </is>
      </c>
      <c r="B1223" s="1" t="n">
        <v>45782.51109953703</v>
      </c>
      <c r="C1223" s="1" t="n">
        <v>46049</v>
      </c>
      <c r="D1223" t="inlineStr">
        <is>
          <t>JÄMTLANDS LÄN</t>
        </is>
      </c>
      <c r="E1223" t="inlineStr">
        <is>
          <t>RAGUNDA</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21550-2025</t>
        </is>
      </c>
      <c r="B1224" s="1" t="n">
        <v>45782.67758101852</v>
      </c>
      <c r="C1224" s="1" t="n">
        <v>46049</v>
      </c>
      <c r="D1224" t="inlineStr">
        <is>
          <t>JÄMTLANDS LÄN</t>
        </is>
      </c>
      <c r="E1224" t="inlineStr">
        <is>
          <t>RAGUNDA</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21451-2025</t>
        </is>
      </c>
      <c r="B1225" s="1" t="n">
        <v>45782.55287037037</v>
      </c>
      <c r="C1225" s="1" t="n">
        <v>46049</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21150-2025</t>
        </is>
      </c>
      <c r="B1226" s="1" t="n">
        <v>45779.34417824074</v>
      </c>
      <c r="C1226" s="1" t="n">
        <v>46049</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21331-2025</t>
        </is>
      </c>
      <c r="B1227" s="1" t="n">
        <v>45782.36494212963</v>
      </c>
      <c r="C1227" s="1" t="n">
        <v>46049</v>
      </c>
      <c r="D1227" t="inlineStr">
        <is>
          <t>JÄMTLANDS LÄN</t>
        </is>
      </c>
      <c r="E1227" t="inlineStr">
        <is>
          <t>RAGUNDA</t>
        </is>
      </c>
      <c r="F1227" t="inlineStr">
        <is>
          <t>SCA</t>
        </is>
      </c>
      <c r="G1227" t="n">
        <v>23.1</v>
      </c>
      <c r="H1227" t="n">
        <v>0</v>
      </c>
      <c r="I1227" t="n">
        <v>0</v>
      </c>
      <c r="J1227" t="n">
        <v>0</v>
      </c>
      <c r="K1227" t="n">
        <v>0</v>
      </c>
      <c r="L1227" t="n">
        <v>0</v>
      </c>
      <c r="M1227" t="n">
        <v>0</v>
      </c>
      <c r="N1227" t="n">
        <v>0</v>
      </c>
      <c r="O1227" t="n">
        <v>0</v>
      </c>
      <c r="P1227" t="n">
        <v>0</v>
      </c>
      <c r="Q1227" t="n">
        <v>0</v>
      </c>
      <c r="R1227" s="2" t="inlineStr"/>
      <c r="U1227">
        <f>HYPERLINK("https://klasma.github.io/Logging_2303/knärot/A 21331-2025 karta knärot.png", "A 21331-2025")</f>
        <v/>
      </c>
      <c r="V1227">
        <f>HYPERLINK("https://klasma.github.io/Logging_2303/klagomål/A 21331-2025 FSC-klagomål.docx", "A 21331-2025")</f>
        <v/>
      </c>
      <c r="W1227">
        <f>HYPERLINK("https://klasma.github.io/Logging_2303/klagomålsmail/A 21331-2025 FSC-klagomål mail.docx", "A 21331-2025")</f>
        <v/>
      </c>
      <c r="X1227">
        <f>HYPERLINK("https://klasma.github.io/Logging_2303/tillsyn/A 21331-2025 tillsynsbegäran.docx", "A 21331-2025")</f>
        <v/>
      </c>
      <c r="Y1227">
        <f>HYPERLINK("https://klasma.github.io/Logging_2303/tillsynsmail/A 21331-2025 tillsynsbegäran mail.docx", "A 21331-2025")</f>
        <v/>
      </c>
    </row>
    <row r="1228" ht="15" customHeight="1">
      <c r="A1228" t="inlineStr">
        <is>
          <t>A 21214-2025</t>
        </is>
      </c>
      <c r="B1228" s="1" t="n">
        <v>45779.49025462963</v>
      </c>
      <c r="C1228" s="1" t="n">
        <v>46049</v>
      </c>
      <c r="D1228" t="inlineStr">
        <is>
          <t>JÄMTLANDS LÄN</t>
        </is>
      </c>
      <c r="E1228" t="inlineStr">
        <is>
          <t>RAGUNDA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22941-2024</t>
        </is>
      </c>
      <c r="B1229" s="1" t="n">
        <v>45448.94520833333</v>
      </c>
      <c r="C1229" s="1" t="n">
        <v>46049</v>
      </c>
      <c r="D1229" t="inlineStr">
        <is>
          <t>JÄMTLANDS LÄN</t>
        </is>
      </c>
      <c r="E1229" t="inlineStr">
        <is>
          <t>RAGUNDA</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44881-2023</t>
        </is>
      </c>
      <c r="B1230" s="1" t="n">
        <v>45187</v>
      </c>
      <c r="C1230" s="1" t="n">
        <v>46049</v>
      </c>
      <c r="D1230" t="inlineStr">
        <is>
          <t>JÄMTLANDS LÄN</t>
        </is>
      </c>
      <c r="E1230" t="inlineStr">
        <is>
          <t>RAGUNDA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60629-2023</t>
        </is>
      </c>
      <c r="B1231" s="1" t="n">
        <v>45259</v>
      </c>
      <c r="C1231" s="1" t="n">
        <v>46049</v>
      </c>
      <c r="D1231" t="inlineStr">
        <is>
          <t>JÄMTLANDS LÄN</t>
        </is>
      </c>
      <c r="E1231" t="inlineStr">
        <is>
          <t>RAGUNDA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57889-2024</t>
        </is>
      </c>
      <c r="B1232" s="1" t="n">
        <v>45631.46665509259</v>
      </c>
      <c r="C1232" s="1" t="n">
        <v>46049</v>
      </c>
      <c r="D1232" t="inlineStr">
        <is>
          <t>JÄMTLANDS LÄN</t>
        </is>
      </c>
      <c r="E1232" t="inlineStr">
        <is>
          <t>RAGUNDA</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22388-2025</t>
        </is>
      </c>
      <c r="B1233" s="1" t="n">
        <v>45786.51077546296</v>
      </c>
      <c r="C1233" s="1" t="n">
        <v>46049</v>
      </c>
      <c r="D1233" t="inlineStr">
        <is>
          <t>JÄMTLANDS LÄN</t>
        </is>
      </c>
      <c r="E1233" t="inlineStr">
        <is>
          <t>RAGUNDA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22898-2025</t>
        </is>
      </c>
      <c r="B1234" s="1" t="n">
        <v>45790.40670138889</v>
      </c>
      <c r="C1234" s="1" t="n">
        <v>46049</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23405-2025</t>
        </is>
      </c>
      <c r="B1235" s="1" t="n">
        <v>45792.34527777778</v>
      </c>
      <c r="C1235" s="1" t="n">
        <v>46049</v>
      </c>
      <c r="D1235" t="inlineStr">
        <is>
          <t>JÄMTLANDS LÄN</t>
        </is>
      </c>
      <c r="E1235" t="inlineStr">
        <is>
          <t>RAGUNDA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23654-2025</t>
        </is>
      </c>
      <c r="B1236" s="1" t="n">
        <v>45792.71905092592</v>
      </c>
      <c r="C1236" s="1" t="n">
        <v>46049</v>
      </c>
      <c r="D1236" t="inlineStr">
        <is>
          <t>JÄMTLANDS LÄN</t>
        </is>
      </c>
      <c r="E1236" t="inlineStr">
        <is>
          <t>RAGUNDA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23507-2025</t>
        </is>
      </c>
      <c r="B1237" s="1" t="n">
        <v>45792.49023148148</v>
      </c>
      <c r="C1237" s="1" t="n">
        <v>46049</v>
      </c>
      <c r="D1237" t="inlineStr">
        <is>
          <t>JÄMTLANDS LÄN</t>
        </is>
      </c>
      <c r="E1237" t="inlineStr">
        <is>
          <t>RAGUNDA</t>
        </is>
      </c>
      <c r="F1237" t="inlineStr">
        <is>
          <t>SCA</t>
        </is>
      </c>
      <c r="G1237" t="n">
        <v>16.4</v>
      </c>
      <c r="H1237" t="n">
        <v>0</v>
      </c>
      <c r="I1237" t="n">
        <v>0</v>
      </c>
      <c r="J1237" t="n">
        <v>0</v>
      </c>
      <c r="K1237" t="n">
        <v>0</v>
      </c>
      <c r="L1237" t="n">
        <v>0</v>
      </c>
      <c r="M1237" t="n">
        <v>0</v>
      </c>
      <c r="N1237" t="n">
        <v>0</v>
      </c>
      <c r="O1237" t="n">
        <v>0</v>
      </c>
      <c r="P1237" t="n">
        <v>0</v>
      </c>
      <c r="Q1237" t="n">
        <v>0</v>
      </c>
      <c r="R1237" s="2" t="inlineStr"/>
    </row>
    <row r="1238" ht="15" customHeight="1">
      <c r="A1238" t="inlineStr">
        <is>
          <t>A 23586-2025</t>
        </is>
      </c>
      <c r="B1238" s="1" t="n">
        <v>45792.63584490741</v>
      </c>
      <c r="C1238" s="1" t="n">
        <v>46049</v>
      </c>
      <c r="D1238" t="inlineStr">
        <is>
          <t>JÄMTLANDS LÄN</t>
        </is>
      </c>
      <c r="E1238" t="inlineStr">
        <is>
          <t>RAGUNDA</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23413-2025</t>
        </is>
      </c>
      <c r="B1239" s="1" t="n">
        <v>45792.34606481482</v>
      </c>
      <c r="C1239" s="1" t="n">
        <v>46049</v>
      </c>
      <c r="D1239" t="inlineStr">
        <is>
          <t>JÄMTLANDS LÄN</t>
        </is>
      </c>
      <c r="E1239" t="inlineStr">
        <is>
          <t>RAGUNDA</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23253-2025</t>
        </is>
      </c>
      <c r="B1240" s="1" t="n">
        <v>45791.53238425926</v>
      </c>
      <c r="C1240" s="1" t="n">
        <v>46049</v>
      </c>
      <c r="D1240" t="inlineStr">
        <is>
          <t>JÄMTLANDS LÄN</t>
        </is>
      </c>
      <c r="E1240" t="inlineStr">
        <is>
          <t>RAGUNDA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18284-2025</t>
        </is>
      </c>
      <c r="B1241" s="1" t="n">
        <v>45762.39876157408</v>
      </c>
      <c r="C1241" s="1" t="n">
        <v>46049</v>
      </c>
      <c r="D1241" t="inlineStr">
        <is>
          <t>JÄMTLANDS LÄN</t>
        </is>
      </c>
      <c r="E1241" t="inlineStr">
        <is>
          <t>RAGUNDA</t>
        </is>
      </c>
      <c r="G1241" t="n">
        <v>0.2</v>
      </c>
      <c r="H1241" t="n">
        <v>0</v>
      </c>
      <c r="I1241" t="n">
        <v>0</v>
      </c>
      <c r="J1241" t="n">
        <v>0</v>
      </c>
      <c r="K1241" t="n">
        <v>0</v>
      </c>
      <c r="L1241" t="n">
        <v>0</v>
      </c>
      <c r="M1241" t="n">
        <v>0</v>
      </c>
      <c r="N1241" t="n">
        <v>0</v>
      </c>
      <c r="O1241" t="n">
        <v>0</v>
      </c>
      <c r="P1241" t="n">
        <v>0</v>
      </c>
      <c r="Q1241" t="n">
        <v>0</v>
      </c>
      <c r="R1241" s="2" t="inlineStr"/>
      <c r="U1241">
        <f>HYPERLINK("https://klasma.github.io/Logging_2303/knärot/A 18284-2025 karta knärot.png", "A 18284-2025")</f>
        <v/>
      </c>
      <c r="V1241">
        <f>HYPERLINK("https://klasma.github.io/Logging_2303/klagomål/A 18284-2025 FSC-klagomål.docx", "A 18284-2025")</f>
        <v/>
      </c>
      <c r="W1241">
        <f>HYPERLINK("https://klasma.github.io/Logging_2303/klagomålsmail/A 18284-2025 FSC-klagomål mail.docx", "A 18284-2025")</f>
        <v/>
      </c>
      <c r="X1241">
        <f>HYPERLINK("https://klasma.github.io/Logging_2303/tillsyn/A 18284-2025 tillsynsbegäran.docx", "A 18284-2025")</f>
        <v/>
      </c>
      <c r="Y1241">
        <f>HYPERLINK("https://klasma.github.io/Logging_2303/tillsynsmail/A 18284-2025 tillsynsbegäran mail.docx", "A 18284-2025")</f>
        <v/>
      </c>
    </row>
    <row r="1242" ht="15" customHeight="1">
      <c r="A1242" t="inlineStr">
        <is>
          <t>A 19263-2025</t>
        </is>
      </c>
      <c r="B1242" s="1" t="n">
        <v>45769.51075231482</v>
      </c>
      <c r="C1242" s="1" t="n">
        <v>46049</v>
      </c>
      <c r="D1242" t="inlineStr">
        <is>
          <t>JÄMTLANDS LÄN</t>
        </is>
      </c>
      <c r="E1242" t="inlineStr">
        <is>
          <t>RAGUNDA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23840-2025</t>
        </is>
      </c>
      <c r="B1243" s="1" t="n">
        <v>45793</v>
      </c>
      <c r="C1243" s="1" t="n">
        <v>46049</v>
      </c>
      <c r="D1243" t="inlineStr">
        <is>
          <t>JÄMTLANDS LÄN</t>
        </is>
      </c>
      <c r="E1243" t="inlineStr">
        <is>
          <t>RAGUNDA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24158-2025</t>
        </is>
      </c>
      <c r="B1244" s="1" t="n">
        <v>45796</v>
      </c>
      <c r="C1244" s="1" t="n">
        <v>46049</v>
      </c>
      <c r="D1244" t="inlineStr">
        <is>
          <t>JÄMTLANDS LÄN</t>
        </is>
      </c>
      <c r="E1244" t="inlineStr">
        <is>
          <t>RAGUNDA</t>
        </is>
      </c>
      <c r="G1244" t="n">
        <v>2.9</v>
      </c>
      <c r="H1244" t="n">
        <v>0</v>
      </c>
      <c r="I1244" t="n">
        <v>0</v>
      </c>
      <c r="J1244" t="n">
        <v>0</v>
      </c>
      <c r="K1244" t="n">
        <v>0</v>
      </c>
      <c r="L1244" t="n">
        <v>0</v>
      </c>
      <c r="M1244" t="n">
        <v>0</v>
      </c>
      <c r="N1244" t="n">
        <v>0</v>
      </c>
      <c r="O1244" t="n">
        <v>0</v>
      </c>
      <c r="P1244" t="n">
        <v>0</v>
      </c>
      <c r="Q1244" t="n">
        <v>0</v>
      </c>
      <c r="R1244" s="2" t="inlineStr"/>
      <c r="U1244">
        <f>HYPERLINK("https://klasma.github.io/Logging_2303/knärot/A 24158-2025 karta knärot.png", "A 24158-2025")</f>
        <v/>
      </c>
      <c r="V1244">
        <f>HYPERLINK("https://klasma.github.io/Logging_2303/klagomål/A 24158-2025 FSC-klagomål.docx", "A 24158-2025")</f>
        <v/>
      </c>
      <c r="W1244">
        <f>HYPERLINK("https://klasma.github.io/Logging_2303/klagomålsmail/A 24158-2025 FSC-klagomål mail.docx", "A 24158-2025")</f>
        <v/>
      </c>
      <c r="X1244">
        <f>HYPERLINK("https://klasma.github.io/Logging_2303/tillsyn/A 24158-2025 tillsynsbegäran.docx", "A 24158-2025")</f>
        <v/>
      </c>
      <c r="Y1244">
        <f>HYPERLINK("https://klasma.github.io/Logging_2303/tillsynsmail/A 24158-2025 tillsynsbegäran mail.docx", "A 24158-2025")</f>
        <v/>
      </c>
    </row>
    <row r="1245" ht="15" customHeight="1">
      <c r="A1245" t="inlineStr">
        <is>
          <t>A 24161-2025</t>
        </is>
      </c>
      <c r="B1245" s="1" t="n">
        <v>45796</v>
      </c>
      <c r="C1245" s="1" t="n">
        <v>46049</v>
      </c>
      <c r="D1245" t="inlineStr">
        <is>
          <t>JÄMTLANDS LÄN</t>
        </is>
      </c>
      <c r="E1245" t="inlineStr">
        <is>
          <t>RAGUNDA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23841-2025</t>
        </is>
      </c>
      <c r="B1246" s="1" t="n">
        <v>45793.61523148148</v>
      </c>
      <c r="C1246" s="1" t="n">
        <v>46049</v>
      </c>
      <c r="D1246" t="inlineStr">
        <is>
          <t>JÄMTLANDS LÄN</t>
        </is>
      </c>
      <c r="E1246" t="inlineStr">
        <is>
          <t>RAGUNDA</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24159-2025</t>
        </is>
      </c>
      <c r="B1247" s="1" t="n">
        <v>45796</v>
      </c>
      <c r="C1247" s="1" t="n">
        <v>46049</v>
      </c>
      <c r="D1247" t="inlineStr">
        <is>
          <t>JÄMTLANDS LÄN</t>
        </is>
      </c>
      <c r="E1247" t="inlineStr">
        <is>
          <t>RAGUNDA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21524-2024</t>
        </is>
      </c>
      <c r="B1248" s="1" t="n">
        <v>45441</v>
      </c>
      <c r="C1248" s="1" t="n">
        <v>46049</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62407-2023</t>
        </is>
      </c>
      <c r="B1249" s="1" t="n">
        <v>45266</v>
      </c>
      <c r="C1249" s="1" t="n">
        <v>46049</v>
      </c>
      <c r="D1249" t="inlineStr">
        <is>
          <t>JÄMTLANDS LÄN</t>
        </is>
      </c>
      <c r="E1249" t="inlineStr">
        <is>
          <t>RAGUNDA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38191-2024</t>
        </is>
      </c>
      <c r="B1250" s="1" t="n">
        <v>45545.49078703704</v>
      </c>
      <c r="C1250" s="1" t="n">
        <v>46049</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24391-2025</t>
        </is>
      </c>
      <c r="B1251" s="1" t="n">
        <v>45797.63627314815</v>
      </c>
      <c r="C1251" s="1" t="n">
        <v>46049</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25376-2025</t>
        </is>
      </c>
      <c r="B1252" s="1" t="n">
        <v>45800.63619212963</v>
      </c>
      <c r="C1252" s="1" t="n">
        <v>46049</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25350-2025</t>
        </is>
      </c>
      <c r="B1253" s="1" t="n">
        <v>45800</v>
      </c>
      <c r="C1253" s="1" t="n">
        <v>46049</v>
      </c>
      <c r="D1253" t="inlineStr">
        <is>
          <t>JÄMTLANDS LÄN</t>
        </is>
      </c>
      <c r="E1253" t="inlineStr">
        <is>
          <t>RAGUNDA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25152-2025</t>
        </is>
      </c>
      <c r="B1254" s="1" t="n">
        <v>45800.42743055556</v>
      </c>
      <c r="C1254" s="1" t="n">
        <v>46049</v>
      </c>
      <c r="D1254" t="inlineStr">
        <is>
          <t>JÄMTLANDS LÄN</t>
        </is>
      </c>
      <c r="E1254" t="inlineStr">
        <is>
          <t>RAGUNDA</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25175-2025</t>
        </is>
      </c>
      <c r="B1255" s="1" t="n">
        <v>45800.44822916666</v>
      </c>
      <c r="C1255" s="1" t="n">
        <v>46049</v>
      </c>
      <c r="D1255" t="inlineStr">
        <is>
          <t>JÄMTLANDS LÄN</t>
        </is>
      </c>
      <c r="E1255" t="inlineStr">
        <is>
          <t>RAGUNDA</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25177-2025</t>
        </is>
      </c>
      <c r="B1256" s="1" t="n">
        <v>45800.44862268519</v>
      </c>
      <c r="C1256" s="1" t="n">
        <v>46049</v>
      </c>
      <c r="D1256" t="inlineStr">
        <is>
          <t>JÄMTLANDS LÄN</t>
        </is>
      </c>
      <c r="E1256" t="inlineStr">
        <is>
          <t>RAGUNDA</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25631-2025</t>
        </is>
      </c>
      <c r="B1257" s="1" t="n">
        <v>45803.5946875</v>
      </c>
      <c r="C1257" s="1" t="n">
        <v>46049</v>
      </c>
      <c r="D1257" t="inlineStr">
        <is>
          <t>JÄMTLANDS LÄN</t>
        </is>
      </c>
      <c r="E1257" t="inlineStr">
        <is>
          <t>RAGUNDA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25659-2025</t>
        </is>
      </c>
      <c r="B1258" s="1" t="n">
        <v>45803.61552083334</v>
      </c>
      <c r="C1258" s="1" t="n">
        <v>46049</v>
      </c>
      <c r="D1258" t="inlineStr">
        <is>
          <t>JÄMTLANDS LÄN</t>
        </is>
      </c>
      <c r="E1258" t="inlineStr">
        <is>
          <t>RAGUNDA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25661-2025</t>
        </is>
      </c>
      <c r="B1259" s="1" t="n">
        <v>45803.61557870371</v>
      </c>
      <c r="C1259" s="1" t="n">
        <v>46049</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25944-2025</t>
        </is>
      </c>
      <c r="B1260" s="1" t="n">
        <v>45804.59487268519</v>
      </c>
      <c r="C1260" s="1" t="n">
        <v>46049</v>
      </c>
      <c r="D1260" t="inlineStr">
        <is>
          <t>JÄMTLANDS LÄN</t>
        </is>
      </c>
      <c r="E1260" t="inlineStr">
        <is>
          <t>RAGUNDA</t>
        </is>
      </c>
      <c r="F1260" t="inlineStr">
        <is>
          <t>SCA</t>
        </is>
      </c>
      <c r="G1260" t="n">
        <v>1</v>
      </c>
      <c r="H1260" t="n">
        <v>0</v>
      </c>
      <c r="I1260" t="n">
        <v>0</v>
      </c>
      <c r="J1260" t="n">
        <v>0</v>
      </c>
      <c r="K1260" t="n">
        <v>0</v>
      </c>
      <c r="L1260" t="n">
        <v>0</v>
      </c>
      <c r="M1260" t="n">
        <v>0</v>
      </c>
      <c r="N1260" t="n">
        <v>0</v>
      </c>
      <c r="O1260" t="n">
        <v>0</v>
      </c>
      <c r="P1260" t="n">
        <v>0</v>
      </c>
      <c r="Q1260" t="n">
        <v>0</v>
      </c>
      <c r="R1260" s="2" t="inlineStr"/>
    </row>
    <row r="1261">
      <c r="A1261" t="inlineStr">
        <is>
          <t>A 25814-2025</t>
        </is>
      </c>
      <c r="B1261" s="1" t="n">
        <v>45804.42642361111</v>
      </c>
      <c r="C1261" s="1" t="n">
        <v>46049</v>
      </c>
      <c r="D1261" t="inlineStr">
        <is>
          <t>JÄMTLANDS LÄN</t>
        </is>
      </c>
      <c r="E1261" t="inlineStr">
        <is>
          <t>RAGUNDA</t>
        </is>
      </c>
      <c r="G1261" t="n">
        <v>0.8</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2026-01-27T10:58:29Z</dcterms:created>
  <dcterms:modified xmlns:dcterms="http://purl.org/dc/terms/" xmlns:xsi="http://www.w3.org/2001/XMLSchema-instance" xsi:type="dcterms:W3CDTF">2026-01-27T10:58:30Z</dcterms:modified>
</cp:coreProperties>
</file>